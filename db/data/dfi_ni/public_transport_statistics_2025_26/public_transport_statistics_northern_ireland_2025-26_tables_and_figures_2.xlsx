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B:\CSRB - DRD\Transport Statistics Annual\Public Transport\Public Transport Report 2025-26\Website Docs\"/>
    </mc:Choice>
  </mc:AlternateContent>
  <xr:revisionPtr revIDLastSave="0" documentId="13_ncr:1_{4591CBB2-7F34-4B45-A1AA-FB489809D247}" xr6:coauthVersionLast="47" xr6:coauthVersionMax="47" xr10:uidLastSave="{00000000-0000-0000-0000-000000000000}"/>
  <bookViews>
    <workbookView xWindow="-30828" yWindow="-108" windowWidth="30936" windowHeight="16776" xr2:uid="{00000000-000D-0000-FFFF-FFFF00000000}"/>
  </bookViews>
  <sheets>
    <sheet name="Cover" sheetId="7" r:id="rId1"/>
    <sheet name="Introductory notes" sheetId="1" r:id="rId2"/>
    <sheet name="Contents" sheetId="2" r:id="rId3"/>
    <sheet name="Journeys" sheetId="3" r:id="rId4"/>
    <sheet name="Vehicles" sheetId="4" r:id="rId5"/>
    <sheet name="Staff" sheetId="5"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0" i="2" l="1"/>
  <c r="A28" i="2"/>
  <c r="A27" i="2"/>
  <c r="A26" i="2"/>
  <c r="A25" i="2"/>
  <c r="A24" i="2"/>
  <c r="A23" i="2"/>
  <c r="A22" i="2"/>
  <c r="A21" i="2"/>
  <c r="A20" i="2"/>
  <c r="A19" i="2"/>
  <c r="A18" i="2"/>
  <c r="A17" i="2"/>
  <c r="A16" i="2"/>
  <c r="A14" i="2"/>
  <c r="A13" i="2"/>
  <c r="A12" i="2"/>
  <c r="A11" i="2"/>
  <c r="A10" i="2"/>
  <c r="A9" i="2"/>
  <c r="A8" i="2"/>
  <c r="A7" i="2"/>
  <c r="A6" i="2"/>
  <c r="A5" i="2"/>
  <c r="A4" i="2"/>
</calcChain>
</file>

<file path=xl/sharedStrings.xml><?xml version="1.0" encoding="utf-8"?>
<sst xmlns="http://schemas.openxmlformats.org/spreadsheetml/2006/main" count="476" uniqueCount="240">
  <si>
    <t>Public Transport Statistics Northern Ireland 2025-26</t>
  </si>
  <si>
    <t>The following tables contain statistics on Public Transport in Northern Ireland. A list of tables is provided in the contents sheet.</t>
  </si>
  <si>
    <t/>
  </si>
  <si>
    <t>Linked report (and infographics):</t>
  </si>
  <si>
    <t>Published</t>
  </si>
  <si>
    <t>16 September 2026</t>
  </si>
  <si>
    <t>Quality Information:</t>
  </si>
  <si>
    <t>Rounding of figures:</t>
  </si>
  <si>
    <t>All calculations have been undertaken on the basis of unrounded figures where available.</t>
  </si>
  <si>
    <t>A number of tables contain rounded data and therefore there may be a slight discrepancy between the total and the sum of the constituent items.</t>
  </si>
  <si>
    <t>Accessibility:</t>
  </si>
  <si>
    <t>If this document is not in a format that meets your needs, please contact ASRB with your requirements.</t>
  </si>
  <si>
    <t>User Guidance:</t>
  </si>
  <si>
    <t>The  User Guidance can be found in Public Transport Statistics Northern Ireland 2025-26</t>
  </si>
  <si>
    <t>Contact Information:</t>
  </si>
  <si>
    <t>Analysis, Statistics and Research Branch
Department for Infrastructure
First Floor
James House
2-4 Cromac Avenue, Gasworks
Belfast 
BT7 2JA</t>
  </si>
  <si>
    <t>Background Quality Report: Public Transport Statistics Northern Ireland</t>
  </si>
  <si>
    <t>Quality Assurance of Administratice Data Public Transport Statistics Northern Ireland</t>
  </si>
  <si>
    <t>Table of Contents</t>
  </si>
  <si>
    <t>Public Transport Passenger Journeys: 2019-20 to 2025-26</t>
  </si>
  <si>
    <t>This worksheet contains eleven tables, presented vertically with one blank row in between, outlining public transport passenger journeys by vehicle, mileage and payment type</t>
  </si>
  <si>
    <t>Public Transport Journeys</t>
  </si>
  <si>
    <t>Figure 1: Public Transport Passenger Journeys: 2019-20 to 2025-26 (millions)</t>
  </si>
  <si>
    <t>Passenger Journeys:</t>
  </si>
  <si>
    <t>The data presented in this report cover Translink’s scheduled (timetabled) services only. However, non-scheduled services (such as private hire or tours) only account for a small part of Translink’s services.</t>
  </si>
  <si>
    <t>List of commercial bus permits Northern Ireland</t>
  </si>
  <si>
    <t>Passenger journeys include fare paying, concessions and school children. Free journeys given to health and social care workers during COVID-19 pandemic are excluded.</t>
  </si>
  <si>
    <t>Children aged 0-4 travel for free on Translink services and there is no assumption or adjustment made to the passenger number figures to account for the number of journeys travelled by 0-4-year-olds.</t>
  </si>
  <si>
    <t>Cross border journeys, receipts and miles are included in overall figures.</t>
  </si>
  <si>
    <t>Vehicle</t>
  </si>
  <si>
    <t>2019-20</t>
  </si>
  <si>
    <t>2020-21</t>
  </si>
  <si>
    <t>2021-22</t>
  </si>
  <si>
    <t>2022-23</t>
  </si>
  <si>
    <t>2023-24</t>
  </si>
  <si>
    <t>2024-25</t>
  </si>
  <si>
    <t>2025-26</t>
  </si>
  <si>
    <t>Bus</t>
  </si>
  <si>
    <t>Rail</t>
  </si>
  <si>
    <t>Total</t>
  </si>
  <si>
    <t>Figure 2: Monthly Public Transport Passenger Journeys: April 2019 to March 2026 (millions)</t>
  </si>
  <si>
    <t>Month</t>
  </si>
  <si>
    <t>Apr-19</t>
  </si>
  <si>
    <t>May-19</t>
  </si>
  <si>
    <t>Jun-19</t>
  </si>
  <si>
    <t>Jul-19</t>
  </si>
  <si>
    <t>Aug-19</t>
  </si>
  <si>
    <t>Sep-19</t>
  </si>
  <si>
    <t>Oct-19</t>
  </si>
  <si>
    <t>Nov-19</t>
  </si>
  <si>
    <t>Dec-19</t>
  </si>
  <si>
    <t>Jan-20</t>
  </si>
  <si>
    <t>Feb-20</t>
  </si>
  <si>
    <t>Mar-20</t>
  </si>
  <si>
    <t>Apr-20</t>
  </si>
  <si>
    <t>May-20</t>
  </si>
  <si>
    <t>Jun-20</t>
  </si>
  <si>
    <t>Jul-20</t>
  </si>
  <si>
    <t>Aug-20</t>
  </si>
  <si>
    <t>Sep-20</t>
  </si>
  <si>
    <t>Oct-20</t>
  </si>
  <si>
    <t>Nov-20</t>
  </si>
  <si>
    <t>Dec-20</t>
  </si>
  <si>
    <t>Jan-21</t>
  </si>
  <si>
    <t>Feb-21</t>
  </si>
  <si>
    <t>Mar-21</t>
  </si>
  <si>
    <t>Apr-21</t>
  </si>
  <si>
    <t>May-21</t>
  </si>
  <si>
    <t>Jun-21</t>
  </si>
  <si>
    <t>Jul-21</t>
  </si>
  <si>
    <t>Aug-21</t>
  </si>
  <si>
    <t>Sep-21</t>
  </si>
  <si>
    <t>Oct-21</t>
  </si>
  <si>
    <t>Nov-21</t>
  </si>
  <si>
    <t>Dec-21</t>
  </si>
  <si>
    <t>Jan-22</t>
  </si>
  <si>
    <t>Feb-22</t>
  </si>
  <si>
    <t>Mar-22</t>
  </si>
  <si>
    <t>Apr-22</t>
  </si>
  <si>
    <t>May-22</t>
  </si>
  <si>
    <t>Jun-22</t>
  </si>
  <si>
    <t>Jul-22</t>
  </si>
  <si>
    <t>Aug-22</t>
  </si>
  <si>
    <t>Sep-22</t>
  </si>
  <si>
    <t>Oct-22</t>
  </si>
  <si>
    <t>Nov-22</t>
  </si>
  <si>
    <t>Dec-22</t>
  </si>
  <si>
    <t>Jan-23</t>
  </si>
  <si>
    <t>Feb-23</t>
  </si>
  <si>
    <t>Mar-23</t>
  </si>
  <si>
    <t>Apr-23</t>
  </si>
  <si>
    <t>May-23</t>
  </si>
  <si>
    <t>Jun-23</t>
  </si>
  <si>
    <t>Jul-23</t>
  </si>
  <si>
    <t>Aug-23</t>
  </si>
  <si>
    <t>Sep-23</t>
  </si>
  <si>
    <t>Oct-23</t>
  </si>
  <si>
    <t>Nov-23</t>
  </si>
  <si>
    <t>Dec-23</t>
  </si>
  <si>
    <t>Jan-24</t>
  </si>
  <si>
    <t>Feb-24</t>
  </si>
  <si>
    <t>Mar-24</t>
  </si>
  <si>
    <t>Apr-24</t>
  </si>
  <si>
    <t>May-24</t>
  </si>
  <si>
    <t>Jun-24</t>
  </si>
  <si>
    <t>Jul-24</t>
  </si>
  <si>
    <t>Aug-24</t>
  </si>
  <si>
    <t>Sep-24</t>
  </si>
  <si>
    <t>Oct-24</t>
  </si>
  <si>
    <t>Nov-24</t>
  </si>
  <si>
    <t>Dec-24</t>
  </si>
  <si>
    <t>Jan-25</t>
  </si>
  <si>
    <t>Feb-25</t>
  </si>
  <si>
    <t>Mar-25</t>
  </si>
  <si>
    <t>Apr-25</t>
  </si>
  <si>
    <t>May-25</t>
  </si>
  <si>
    <t>Jun-25</t>
  </si>
  <si>
    <t>Jul-25</t>
  </si>
  <si>
    <t>Aug-25</t>
  </si>
  <si>
    <t>Sep-25</t>
  </si>
  <si>
    <t>Oct-25</t>
  </si>
  <si>
    <t>Nov-25</t>
  </si>
  <si>
    <t>Dec-25</t>
  </si>
  <si>
    <t>Jan-26</t>
  </si>
  <si>
    <t>Feb-26</t>
  </si>
  <si>
    <t>Mar-26</t>
  </si>
  <si>
    <t>Figure 3: Bus Passenger Journeys 2019-20 to 2025-26 (millions)</t>
  </si>
  <si>
    <t>Ulsterbus</t>
  </si>
  <si>
    <t>Metro</t>
  </si>
  <si>
    <t>Glider</t>
  </si>
  <si>
    <t>Figure 4: Rail Passenger Journeys 2019-20 to 2025-26 (millions)</t>
  </si>
  <si>
    <t>NI Railways (local)</t>
  </si>
  <si>
    <t>NI Railways (cross border)</t>
  </si>
  <si>
    <t>Figure 5: Public Transport Passenger Receipts 2019-20 to 2025-26</t>
  </si>
  <si>
    <t>Half-fare concessions: The element of the fare paid by the passenger (50%) is included in passenger receipts and the subsidy element (50%) that is paid for by DfI is included in subsidised fares.</t>
  </si>
  <si>
    <t>Metro/Glider</t>
  </si>
  <si>
    <t>Figure 6: Rail Passenger Miles 2019-20 to 2025-26 (millions)</t>
  </si>
  <si>
    <t>Passenger miles: Passenger miles for rail are calculated by multiplying the number of passenger journeys on a particular flow by the number of corresponding track miles between stations.</t>
  </si>
  <si>
    <t>Figure 7a: Bus Passenger Journeys by paid and subsidised travel: 2019-20 to 2025-26 (millions)</t>
  </si>
  <si>
    <t>Paying passengers: Any passengers who pay a fare on public transport. These include passengers who pay half-fare.</t>
  </si>
  <si>
    <t>Subsidised school: Subsidised school journeys are journeys subsidised by the Education Authority</t>
  </si>
  <si>
    <t>Full fare concessions: Full-fare concessions are subsidised by DfI for people aged 60-64 and 65+, war disablement pensioners and people who are registered blind.</t>
  </si>
  <si>
    <t>Journeys</t>
  </si>
  <si>
    <t>Paid</t>
  </si>
  <si>
    <t>Full fare concessions</t>
  </si>
  <si>
    <t>Subsidised school</t>
  </si>
  <si>
    <t>Figure 7b: Rail Passenger Journeys by paid and subsidised travel: 2019-20 to 2025-26 (millions)</t>
  </si>
  <si>
    <t>Figure 7c: Analysis of bus fare paying passenger journeys: 2019-20 to 2025-26 (millions)</t>
  </si>
  <si>
    <t>Figure 8a: Paid Bus Passenger Journeys by smart / non-smart methods: 2019-20 to  2025-26</t>
  </si>
  <si>
    <t>Smart: Smart methods of passenger journeys use Smartcard, mobile and ABT</t>
  </si>
  <si>
    <t>Non-smart: Non-smart methods use cash.</t>
  </si>
  <si>
    <t>ABT: Account Based Ticketing - provides capped contactless fares across Northern Ireland.</t>
  </si>
  <si>
    <t>Smart</t>
  </si>
  <si>
    <t>Non-smart</t>
  </si>
  <si>
    <t>Figure 8b: Paid Rail Passenger Journeys by smart / non-smart methods: 2019-20 to 2025-26</t>
  </si>
  <si>
    <t>Public Transport Vehicles: March 2020 to March 2026</t>
  </si>
  <si>
    <t>This worksheet contains thirteen tables, presented vertically with one blank row in between, outlining public transport vehicles</t>
  </si>
  <si>
    <t>Public Transport Vehicles</t>
  </si>
  <si>
    <t>Figure 9: Public Transport Vehicles: March 2020 to March 2026</t>
  </si>
  <si>
    <t>Fleet:  The fleet numbers refer to active fleet i.e. they include “normal” and “special” fleet (main service and others), but do not include reserve fleet (i.e.Tour Coaches, Training Academy vehicles and any other vehicles that are not used for normal timetabled service work).</t>
  </si>
  <si>
    <t>Year end dates: Figures relate to financial year end date i.e. the last Sunday in March.</t>
  </si>
  <si>
    <t>Rolling Stock: Locomotivesrefer to Diesel Locomotive Class 201 and Diesel Locomotive Class 071.</t>
  </si>
  <si>
    <t>March 2020</t>
  </si>
  <si>
    <t>March 2021</t>
  </si>
  <si>
    <t>March 2022</t>
  </si>
  <si>
    <t>March 2023</t>
  </si>
  <si>
    <t>March 2024</t>
  </si>
  <si>
    <t>March 2025</t>
  </si>
  <si>
    <t>March 2026</t>
  </si>
  <si>
    <t>Rail Carriages</t>
  </si>
  <si>
    <t>Table 1: Public Transport Vehicle average age: March 2020 to March 2026</t>
  </si>
  <si>
    <t>Bus Age :The average age of buses in Table 1 can go down from one year to the next if new buses are purchased during the year.</t>
  </si>
  <si>
    <t>Rail Age: The average age of rail carriages is provided to the nearest whole number.</t>
  </si>
  <si>
    <t>Vehicle Age</t>
  </si>
  <si>
    <t>Figure 10: Public Transport operating miles: 2019-20 to 2025-26</t>
  </si>
  <si>
    <t>Operating miles: Operating miles are the number of miles operated by buses and trains on public transport services.</t>
  </si>
  <si>
    <t>Figure 11a: Ulsterbus by fuel type March 2020 to March 2026</t>
  </si>
  <si>
    <t>Fuel</t>
  </si>
  <si>
    <t xml:space="preserve"> March 2020</t>
  </si>
  <si>
    <t xml:space="preserve"> March 2021</t>
  </si>
  <si>
    <t xml:space="preserve"> March 2022</t>
  </si>
  <si>
    <t xml:space="preserve"> March 2023</t>
  </si>
  <si>
    <t xml:space="preserve"> March 2024</t>
  </si>
  <si>
    <t xml:space="preserve"> March 2025</t>
  </si>
  <si>
    <t xml:space="preserve"> March 2026</t>
  </si>
  <si>
    <t>Diesel</t>
  </si>
  <si>
    <t>Diesel Hybrid</t>
  </si>
  <si>
    <t>Zero Emission</t>
  </si>
  <si>
    <t>Figure 11b: Metro by fuel type March 2020 to March 2026</t>
  </si>
  <si>
    <t>Figure 11c: Glider by fuel type March 2020 to March 2026</t>
  </si>
  <si>
    <t>Figure 12: Bus mileage by fuel type: 2019-20 to 2025-26</t>
  </si>
  <si>
    <t>Figure 12b: Buses by fuel type: 2019-20 to 2025-26</t>
  </si>
  <si>
    <t>Figure 13: Bus by onboard facilities: March 2020 to March 2026</t>
  </si>
  <si>
    <t>Wifi: a facility that provides passengers with free access to WiFi on board Translink vehicles</t>
  </si>
  <si>
    <t>Audio Visual: a facility that provides passengers with audio and visual information about their journey.</t>
  </si>
  <si>
    <t>Card Payments: a facility that provides passengers with the opportunity to pay for their journey by card.</t>
  </si>
  <si>
    <t>Charging ports: a facility that provides passengers with the opportunity to charge personal electronic devices.</t>
  </si>
  <si>
    <t>AVL Device: Automatic Vehicle Location is a facility that is used to track vehicle location in order to monitor punctuality and provide real time service information to customers.</t>
  </si>
  <si>
    <t>Closed Circuit Television (CCTV): a facility that uses video cameras to monitor the inside of a Translink vehicle.</t>
  </si>
  <si>
    <t>Bus (percentage)</t>
  </si>
  <si>
    <t>WiFi</t>
  </si>
  <si>
    <t>Audio Visual</t>
  </si>
  <si>
    <t>Card Payments</t>
  </si>
  <si>
    <t>Charging Ports</t>
  </si>
  <si>
    <t>AVL device</t>
  </si>
  <si>
    <t>CCTV</t>
  </si>
  <si>
    <t>Figure 14: Rail by onboard facilities: March 2020 to March 2026</t>
  </si>
  <si>
    <t>Figure 15: Compliance with accessibility regulations – buses: March 2020 to March 2026</t>
  </si>
  <si>
    <t>Data on the number of buses and coaches used as Public Service Vehicles are based on compliance with the Public Service Vehicle Accessibility Regulations (Northern Ireland) 2003 (PSVAR NI) as follows:</t>
  </si>
  <si>
    <t>Wheelchair accessible buses: compliant with Schedules 1 &amp; 2 of PSVAR NI. These are single or double decked buses.  compliant with Schedules 1 &amp; 3 of PSVAR NI. These are single or double decked coaches that meet step, handhold and destination screen requirements and are wheelchair accessible.</t>
  </si>
  <si>
    <t>Non-wheelchair accessible:  compliant with Schedule 3 only of PSVAR NI. These are single decked coaches built between 2003 and 2005 that meet step, handhold and destination screen requirements so that they are accessible to people with certain disabilities, albeit not wheelchair accessible.</t>
  </si>
  <si>
    <t>More details are included in the PSVAR NI 2003 legislation.</t>
  </si>
  <si>
    <t>Financial year</t>
  </si>
  <si>
    <t>Low floor buses (Wheelchair accessible)</t>
  </si>
  <si>
    <t>Goldline (Wheelchair accessible)</t>
  </si>
  <si>
    <t>Goldline (Non wheelchair accessible)</t>
  </si>
  <si>
    <t>School coaches (Non wheel chair accessible)</t>
  </si>
  <si>
    <t>Glider (wheelchair accessible)</t>
  </si>
  <si>
    <t>Total number of vehicles</t>
  </si>
  <si>
    <t>Table 2: Percentage of vehicles compliant with accessibility regulations - rail: March 2020 to March 2026</t>
  </si>
  <si>
    <t>Year end</t>
  </si>
  <si>
    <t>TSI PRM compliant vehicles</t>
  </si>
  <si>
    <t>RVAR compliant carriages</t>
  </si>
  <si>
    <t>Wheelchair accessible carriages</t>
  </si>
  <si>
    <t>Table 3: NI Rail service assets: March 2020 to March 2026</t>
  </si>
  <si>
    <t>Year end dates: Figures relate to financial year end date ie the last Sunday in March.</t>
  </si>
  <si>
    <t>Rolling Stock: Locomotives refer to Diesel Locomotive Class 201 and Diesel Locomotive Class 071.</t>
  </si>
  <si>
    <t>Route miles of track</t>
  </si>
  <si>
    <t>Rolling stock: locomotives</t>
  </si>
  <si>
    <t>Rolling stock: Passenger coaches</t>
  </si>
  <si>
    <t>Stations</t>
  </si>
  <si>
    <t>Public Transport Staff</t>
  </si>
  <si>
    <t>This worksheet contains one table, full time equivalent staff employed by translink</t>
  </si>
  <si>
    <t>Figure 16: Full time equivalent numer of staff employed by Translink: 2021-22 to 2025-26</t>
  </si>
  <si>
    <t>Full-time equivalent (FTE) figures for staff are presented in this report.</t>
  </si>
  <si>
    <t>Staff: In previous reports (2021-22 and 2022-23), figures were reported on the basis of the average number of staff.</t>
  </si>
  <si>
    <t>Figures for FTE are only available from 2021-22 onwards.</t>
  </si>
  <si>
    <t>Total Bus and Rail</t>
  </si>
  <si>
    <t>Public  Transport Statistics Northern Ireland 2025-26</t>
  </si>
  <si>
    <t>Total (paid)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</si>
</sst>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9" x14ac:knownFonts="1">
    <font>
      <sz val="12"/>
      <color rgb="FF000000"/>
      <name val="Arial"/>
    </font>
    <font>
      <sz val="11"/>
      <color theme="1"/>
      <name val="Calibri"/>
      <family val="2"/>
      <scheme val="minor"/>
    </font>
    <font>
      <b/>
      <sz val="15"/>
      <color rgb="FF000000"/>
      <name val="Arial"/>
    </font>
    <font>
      <b/>
      <sz val="12"/>
      <color rgb="FF000000"/>
      <name val="Arial"/>
    </font>
    <font>
      <u/>
      <sz val="12"/>
      <color theme="10"/>
      <name val="Arial"/>
    </font>
    <font>
      <sz val="48"/>
      <color theme="8" tint="-0.499984740745262"/>
      <name val="Calibri"/>
      <family val="2"/>
      <scheme val="minor"/>
    </font>
    <font>
      <sz val="48"/>
      <color rgb="FF1F497D"/>
      <name val="Arial"/>
      <family val="2"/>
    </font>
    <font>
      <b/>
      <sz val="14"/>
      <color indexed="10"/>
      <name val="Arial"/>
      <family val="2"/>
    </font>
    <font>
      <sz val="10"/>
      <color theme="1"/>
      <name val="Arial"/>
      <family val="2"/>
    </font>
  </fonts>
  <fills count="3">
    <fill>
      <patternFill patternType="none"/>
    </fill>
    <fill>
      <patternFill patternType="gray125"/>
    </fill>
    <fill>
      <patternFill patternType="solid">
        <fgColor indexed="9"/>
        <bgColor indexed="64"/>
      </patternFill>
    </fill>
  </fills>
  <borders count="4">
    <border>
      <left/>
      <right/>
      <top/>
      <bottom/>
      <diagonal/>
    </border>
    <border>
      <left/>
      <right/>
      <top style="thin">
        <color rgb="FF000000"/>
      </top>
      <bottom style="thick">
        <color rgb="FF000000"/>
      </bottom>
      <diagonal/>
    </border>
    <border>
      <left/>
      <right/>
      <top/>
      <bottom style="thick">
        <color rgb="FF000000"/>
      </bottom>
      <diagonal/>
    </border>
    <border>
      <left/>
      <right/>
      <top style="thin">
        <color indexed="64"/>
      </top>
      <bottom style="medium">
        <color indexed="64"/>
      </bottom>
      <diagonal/>
    </border>
  </borders>
  <cellStyleXfs count="2">
    <xf numFmtId="0" fontId="0" fillId="0" borderId="0"/>
    <xf numFmtId="0" fontId="1" fillId="0" borderId="0"/>
  </cellStyleXfs>
  <cellXfs count="33">
    <xf numFmtId="0" fontId="0" fillId="0" borderId="0" xfId="0"/>
    <xf numFmtId="0" fontId="2" fillId="0" borderId="0" xfId="0" applyFont="1"/>
    <xf numFmtId="0" fontId="0" fillId="0" borderId="0" xfId="0" applyAlignment="1">
      <alignment wrapText="1"/>
    </xf>
    <xf numFmtId="0" fontId="3" fillId="0" borderId="0" xfId="0" applyFont="1" applyAlignment="1">
      <alignment wrapText="1"/>
    </xf>
    <xf numFmtId="0" fontId="4" fillId="0" borderId="0" xfId="0" applyFont="1" applyAlignment="1">
      <alignment wrapText="1"/>
    </xf>
    <xf numFmtId="0" fontId="3" fillId="0" borderId="0" xfId="0" applyFont="1"/>
    <xf numFmtId="0" fontId="4" fillId="0" borderId="0" xfId="0" applyFont="1"/>
    <xf numFmtId="0" fontId="3" fillId="0" borderId="1" xfId="0" applyFont="1" applyBorder="1" applyAlignment="1">
      <alignment horizontal="right" wrapText="1"/>
    </xf>
    <xf numFmtId="0" fontId="3" fillId="0" borderId="1" xfId="0" applyFont="1" applyBorder="1" applyAlignment="1">
      <alignment horizontal="left" wrapText="1"/>
    </xf>
    <xf numFmtId="4" fontId="0" fillId="0" borderId="0" xfId="0" applyNumberFormat="1" applyAlignment="1">
      <alignment horizontal="right"/>
    </xf>
    <xf numFmtId="4" fontId="3" fillId="0" borderId="1" xfId="0" applyNumberFormat="1" applyFont="1" applyBorder="1" applyAlignment="1">
      <alignment horizontal="right"/>
    </xf>
    <xf numFmtId="0" fontId="3" fillId="0" borderId="1" xfId="0" applyFont="1" applyBorder="1"/>
    <xf numFmtId="4" fontId="0" fillId="0" borderId="2" xfId="0" applyNumberFormat="1" applyBorder="1" applyAlignment="1">
      <alignment horizontal="right"/>
    </xf>
    <xf numFmtId="0" fontId="3" fillId="0" borderId="2" xfId="0" applyFont="1" applyBorder="1"/>
    <xf numFmtId="164" fontId="0" fillId="0" borderId="0" xfId="0" applyNumberFormat="1" applyAlignment="1">
      <alignment horizontal="right"/>
    </xf>
    <xf numFmtId="164" fontId="3" fillId="0" borderId="1" xfId="0" applyNumberFormat="1" applyFont="1" applyBorder="1" applyAlignment="1">
      <alignment horizontal="right"/>
    </xf>
    <xf numFmtId="164" fontId="0" fillId="0" borderId="2" xfId="0" applyNumberFormat="1" applyBorder="1" applyAlignment="1">
      <alignment horizontal="right"/>
    </xf>
    <xf numFmtId="9" fontId="0" fillId="0" borderId="0" xfId="0" applyNumberFormat="1"/>
    <xf numFmtId="9" fontId="0" fillId="0" borderId="2" xfId="0" applyNumberFormat="1" applyBorder="1"/>
    <xf numFmtId="3" fontId="0" fillId="0" borderId="0" xfId="0" applyNumberFormat="1" applyAlignment="1">
      <alignment horizontal="right"/>
    </xf>
    <xf numFmtId="3" fontId="0" fillId="0" borderId="2" xfId="0" applyNumberFormat="1" applyBorder="1" applyAlignment="1">
      <alignment horizontal="right"/>
    </xf>
    <xf numFmtId="3" fontId="3" fillId="0" borderId="1" xfId="0" applyNumberFormat="1" applyFont="1" applyBorder="1" applyAlignment="1">
      <alignment horizontal="right"/>
    </xf>
    <xf numFmtId="165" fontId="0" fillId="0" borderId="0" xfId="0" applyNumberFormat="1"/>
    <xf numFmtId="165" fontId="0" fillId="0" borderId="2" xfId="0" applyNumberFormat="1" applyBorder="1"/>
    <xf numFmtId="0" fontId="5" fillId="2" borderId="0" xfId="1" applyFont="1" applyFill="1" applyAlignment="1">
      <alignment horizontal="center" wrapText="1"/>
    </xf>
    <xf numFmtId="0" fontId="6" fillId="2" borderId="0" xfId="1" applyFont="1" applyFill="1" applyAlignment="1">
      <alignment horizontal="center" wrapText="1"/>
    </xf>
    <xf numFmtId="0" fontId="7" fillId="2" borderId="0" xfId="1" applyFont="1" applyFill="1" applyAlignment="1">
      <alignment horizontal="center" vertical="center"/>
    </xf>
    <xf numFmtId="0" fontId="1" fillId="2" borderId="0" xfId="1" applyFill="1" applyAlignment="1">
      <alignment horizontal="center" vertical="center"/>
    </xf>
    <xf numFmtId="0" fontId="1" fillId="2" borderId="0" xfId="1" applyFill="1" applyAlignment="1">
      <alignment horizontal="center"/>
    </xf>
    <xf numFmtId="0" fontId="8" fillId="2" borderId="0" xfId="1" applyFont="1" applyFill="1" applyAlignment="1">
      <alignment horizontal="center"/>
    </xf>
    <xf numFmtId="0" fontId="1" fillId="2" borderId="0" xfId="1" applyFill="1"/>
    <xf numFmtId="0" fontId="3" fillId="0" borderId="3" xfId="0" applyFont="1" applyBorder="1" applyAlignment="1">
      <alignment horizontal="left" wrapText="1"/>
    </xf>
    <xf numFmtId="4" fontId="0" fillId="0" borderId="3" xfId="0" applyNumberFormat="1" applyBorder="1" applyAlignment="1">
      <alignment horizontal="right"/>
    </xf>
  </cellXfs>
  <cellStyles count="2">
    <cellStyle name="Normal" xfId="0" builtinId="0"/>
    <cellStyle name="Normal 2" xfId="1" xr:uid="{55D1BFF6-B5D4-424B-A308-71410841B5B7}"/>
  </cellStyles>
  <dxfs count="1">
    <dxf>
      <border>
        <bottom style="medium">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5181600</xdr:colOff>
      <xdr:row>5</xdr:row>
      <xdr:rowOff>174625</xdr:rowOff>
    </xdr:from>
    <xdr:to>
      <xdr:col>0</xdr:col>
      <xdr:colOff>7934325</xdr:colOff>
      <xdr:row>14</xdr:row>
      <xdr:rowOff>85725</xdr:rowOff>
    </xdr:to>
    <xdr:pic>
      <xdr:nvPicPr>
        <xdr:cNvPr id="2" name="Picture 6" descr="Department for Infrastructure Logo">
          <a:extLst>
            <a:ext uri="{FF2B5EF4-FFF2-40B4-BE49-F238E27FC236}">
              <a16:creationId xmlns:a16="http://schemas.microsoft.com/office/drawing/2014/main" id="{F2AA6D1A-9EFA-4B4E-8E43-EA947BDF5CD5}"/>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5181600" y="2502535"/>
          <a:ext cx="2750820" cy="1619885"/>
        </a:xfrm>
        <a:prstGeom prst="rect">
          <a:avLst/>
        </a:prstGeom>
        <a:noFill/>
        <a:ln w="9525">
          <a:noFill/>
          <a:miter lim="800000"/>
          <a:headEnd/>
          <a:tailEnd/>
        </a:ln>
      </xdr:spPr>
    </xdr:pic>
    <xdr:clientData/>
  </xdr:twoCellAnchor>
  <xdr:twoCellAnchor>
    <xdr:from>
      <xdr:col>0</xdr:col>
      <xdr:colOff>190500</xdr:colOff>
      <xdr:row>6</xdr:row>
      <xdr:rowOff>142875</xdr:rowOff>
    </xdr:from>
    <xdr:to>
      <xdr:col>0</xdr:col>
      <xdr:colOff>2868755</xdr:colOff>
      <xdr:row>13</xdr:row>
      <xdr:rowOff>90524</xdr:rowOff>
    </xdr:to>
    <xdr:pic>
      <xdr:nvPicPr>
        <xdr:cNvPr id="3" name="Picture 2" descr="NISRA Logo">
          <a:extLst>
            <a:ext uri="{FF2B5EF4-FFF2-40B4-BE49-F238E27FC236}">
              <a16:creationId xmlns:a16="http://schemas.microsoft.com/office/drawing/2014/main" id="{1C620504-8C07-45E8-ACCF-67A5D040E0F9}"/>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190500" y="2659380"/>
          <a:ext cx="2676350" cy="1283054"/>
        </a:xfrm>
        <a:prstGeom prst="rect">
          <a:avLst/>
        </a:prstGeom>
        <a:noFill/>
        <a:ln w="9525">
          <a:noFill/>
          <a:miter lim="800000"/>
          <a:headEnd/>
          <a:tailEnd/>
        </a:ln>
      </xdr:spPr>
    </xdr:pic>
    <xdr:clientData/>
  </xdr:twoCellAnchor>
  <xdr:twoCellAnchor editAs="oneCell">
    <xdr:from>
      <xdr:col>0</xdr:col>
      <xdr:colOff>3467100</xdr:colOff>
      <xdr:row>6</xdr:row>
      <xdr:rowOff>95250</xdr:rowOff>
    </xdr:from>
    <xdr:to>
      <xdr:col>0</xdr:col>
      <xdr:colOff>4727864</xdr:colOff>
      <xdr:row>13</xdr:row>
      <xdr:rowOff>35849</xdr:rowOff>
    </xdr:to>
    <xdr:pic>
      <xdr:nvPicPr>
        <xdr:cNvPr id="4" name="Picture 3">
          <a:extLst>
            <a:ext uri="{FF2B5EF4-FFF2-40B4-BE49-F238E27FC236}">
              <a16:creationId xmlns:a16="http://schemas.microsoft.com/office/drawing/2014/main" id="{76E42101-58C7-42C2-885A-5A8FAA6C0F0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467100" y="2613660"/>
          <a:ext cx="1262669" cy="1270289"/>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figure_1" displayName="figure_1" ref="A10:H13" totalsRowShown="0">
  <tableColumns count="8">
    <tableColumn id="1" xr3:uid="{00000000-0010-0000-0000-000001000000}" name="Vehicle"/>
    <tableColumn id="2" xr3:uid="{00000000-0010-0000-0000-000002000000}" name="2019-20"/>
    <tableColumn id="3" xr3:uid="{00000000-0010-0000-0000-000003000000}" name="2020-21"/>
    <tableColumn id="4" xr3:uid="{00000000-0010-0000-0000-000004000000}" name="2021-22"/>
    <tableColumn id="5" xr3:uid="{00000000-0010-0000-0000-000005000000}" name="2022-23"/>
    <tableColumn id="6" xr3:uid="{00000000-0010-0000-0000-000006000000}" name="2023-24"/>
    <tableColumn id="7" xr3:uid="{00000000-0010-0000-0000-000007000000}" name="2024-25"/>
    <tableColumn id="8" xr3:uid="{00000000-0010-0000-0000-000008000000}" name="2025-26"/>
  </tableColumns>
  <tableStyleInfo name="non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figure_2" displayName="figure_2" ref="A17:C101" totalsRowShown="0">
  <tableColumns count="3">
    <tableColumn id="1" xr3:uid="{00000000-0010-0000-0100-000001000000}" name="Month"/>
    <tableColumn id="2" xr3:uid="{00000000-0010-0000-0100-000002000000}" name="Bus"/>
    <tableColumn id="3" xr3:uid="{00000000-0010-0000-0100-000003000000}" name="Rail"/>
  </tableColumns>
  <tableStyleInfo name="non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figure_3" displayName="figure_3" ref="A104:H108" totalsRowShown="0">
  <tableColumns count="8">
    <tableColumn id="1" xr3:uid="{00000000-0010-0000-0200-000001000000}" name="Vehicle"/>
    <tableColumn id="2" xr3:uid="{00000000-0010-0000-0200-000002000000}" name="2019-20"/>
    <tableColumn id="3" xr3:uid="{00000000-0010-0000-0200-000003000000}" name="2020-21"/>
    <tableColumn id="4" xr3:uid="{00000000-0010-0000-0200-000004000000}" name="2021-22"/>
    <tableColumn id="5" xr3:uid="{00000000-0010-0000-0200-000005000000}" name="2022-23"/>
    <tableColumn id="6" xr3:uid="{00000000-0010-0000-0200-000006000000}" name="2023-24"/>
    <tableColumn id="7" xr3:uid="{00000000-0010-0000-0200-000007000000}" name="2024-25"/>
    <tableColumn id="8" xr3:uid="{00000000-0010-0000-0200-000008000000}" name="2025-26"/>
  </tableColumns>
  <tableStyleInfo name="non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figure_4" displayName="figure_4" ref="A111:H114" totalsRowShown="0">
  <tableColumns count="8">
    <tableColumn id="1" xr3:uid="{00000000-0010-0000-0300-000001000000}" name="Vehicle"/>
    <tableColumn id="2" xr3:uid="{00000000-0010-0000-0300-000002000000}" name="2019-20"/>
    <tableColumn id="3" xr3:uid="{00000000-0010-0000-0300-000003000000}" name="2020-21"/>
    <tableColumn id="4" xr3:uid="{00000000-0010-0000-0300-000004000000}" name="2021-22"/>
    <tableColumn id="5" xr3:uid="{00000000-0010-0000-0300-000005000000}" name="2022-23"/>
    <tableColumn id="6" xr3:uid="{00000000-0010-0000-0300-000006000000}" name="2023-24"/>
    <tableColumn id="7" xr3:uid="{00000000-0010-0000-0300-000007000000}" name="2024-25"/>
    <tableColumn id="8" xr3:uid="{00000000-0010-0000-0300-000008000000}" name="2025-26"/>
  </tableColumns>
  <tableStyleInfo name="non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4000000}" name="figure_5" displayName="figure_5" ref="A118:H122" totalsRowShown="0">
  <tableColumns count="8">
    <tableColumn id="1" xr3:uid="{00000000-0010-0000-0400-000001000000}" name="Vehicle"/>
    <tableColumn id="2" xr3:uid="{00000000-0010-0000-0400-000002000000}" name="2019-20"/>
    <tableColumn id="3" xr3:uid="{00000000-0010-0000-0400-000003000000}" name="2020-21"/>
    <tableColumn id="4" xr3:uid="{00000000-0010-0000-0400-000004000000}" name="2021-22"/>
    <tableColumn id="5" xr3:uid="{00000000-0010-0000-0400-000005000000}" name="2022-23"/>
    <tableColumn id="6" xr3:uid="{00000000-0010-0000-0400-000006000000}" name="2023-24"/>
    <tableColumn id="7" xr3:uid="{00000000-0010-0000-0400-000007000000}" name="2024-25"/>
    <tableColumn id="8" xr3:uid="{00000000-0010-0000-0400-000008000000}" name="2025-26"/>
  </tableColumns>
  <tableStyleInfo name="non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5000000}" name="figure_6" displayName="figure_6" ref="A126:H127" totalsRowShown="0" headerRowBorderDxfId="0">
  <tableColumns count="8">
    <tableColumn id="1" xr3:uid="{00000000-0010-0000-0500-000001000000}" name="Vehicle"/>
    <tableColumn id="2" xr3:uid="{00000000-0010-0000-0500-000002000000}" name="2019-20"/>
    <tableColumn id="3" xr3:uid="{00000000-0010-0000-0500-000003000000}" name="2020-21"/>
    <tableColumn id="4" xr3:uid="{00000000-0010-0000-0500-000004000000}" name="2021-22"/>
    <tableColumn id="5" xr3:uid="{00000000-0010-0000-0500-000005000000}" name="2022-23"/>
    <tableColumn id="6" xr3:uid="{00000000-0010-0000-0500-000006000000}" name="2023-24"/>
    <tableColumn id="7" xr3:uid="{00000000-0010-0000-0500-000007000000}" name="2024-25"/>
    <tableColumn id="8" xr3:uid="{00000000-0010-0000-0500-000008000000}" name="2025-26"/>
  </tableColumns>
  <tableStyleInfo name="non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6000000}" name="figure_7a" displayName="figure_7a" ref="A134:H138" totalsRowShown="0">
  <tableColumns count="8">
    <tableColumn id="1" xr3:uid="{00000000-0010-0000-0600-000001000000}" name="Journeys"/>
    <tableColumn id="2" xr3:uid="{00000000-0010-0000-0600-000002000000}" name="2019-20"/>
    <tableColumn id="3" xr3:uid="{00000000-0010-0000-0600-000003000000}" name="2020-21"/>
    <tableColumn id="4" xr3:uid="{00000000-0010-0000-0600-000004000000}" name="2021-22"/>
    <tableColumn id="5" xr3:uid="{00000000-0010-0000-0600-000005000000}" name="2022-23"/>
    <tableColumn id="6" xr3:uid="{00000000-0010-0000-0600-000006000000}" name="2023-24"/>
    <tableColumn id="7" xr3:uid="{00000000-0010-0000-0600-000007000000}" name="2024-25"/>
    <tableColumn id="8" xr3:uid="{00000000-0010-0000-0600-000008000000}" name="2025-26"/>
  </tableColumns>
  <tableStyleInfo name="non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7000000}" name="figure_7b" displayName="figure_7b" ref="A141:H145" totalsRowShown="0">
  <tableColumns count="8">
    <tableColumn id="1" xr3:uid="{00000000-0010-0000-0700-000001000000}" name="Journeys"/>
    <tableColumn id="2" xr3:uid="{00000000-0010-0000-0700-000002000000}" name="2019-20"/>
    <tableColumn id="3" xr3:uid="{00000000-0010-0000-0700-000003000000}" name="2020-21"/>
    <tableColumn id="4" xr3:uid="{00000000-0010-0000-0700-000004000000}" name="2021-22"/>
    <tableColumn id="5" xr3:uid="{00000000-0010-0000-0700-000005000000}" name="2022-23"/>
    <tableColumn id="6" xr3:uid="{00000000-0010-0000-0700-000006000000}" name="2023-24"/>
    <tableColumn id="7" xr3:uid="{00000000-0010-0000-0700-000007000000}" name="2024-25"/>
    <tableColumn id="8" xr3:uid="{00000000-0010-0000-0700-000008000000}" name="2025-26"/>
  </tableColumns>
  <tableStyleInfo name="non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8000000}" name="figure_7c" displayName="figure_7c" ref="A148:H152" totalsRowShown="0">
  <tableColumns count="8">
    <tableColumn id="1" xr3:uid="{00000000-0010-0000-0800-000001000000}" name="Journeys"/>
    <tableColumn id="2" xr3:uid="{00000000-0010-0000-0800-000002000000}" name="2019-20"/>
    <tableColumn id="3" xr3:uid="{00000000-0010-0000-0800-000003000000}" name="2020-21"/>
    <tableColumn id="4" xr3:uid="{00000000-0010-0000-0800-000004000000}" name="2021-22"/>
    <tableColumn id="5" xr3:uid="{00000000-0010-0000-0800-000005000000}" name="2022-23"/>
    <tableColumn id="6" xr3:uid="{00000000-0010-0000-0800-000006000000}" name="2023-24"/>
    <tableColumn id="7" xr3:uid="{00000000-0010-0000-0800-000007000000}" name="2024-25"/>
    <tableColumn id="8" xr3:uid="{00000000-0010-0000-0800-000008000000}" name="2025-26"/>
  </tableColumns>
  <tableStyleInfo name="non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9000000}" name="figure_8a" displayName="figure_8a" ref="A158:H161" totalsRowShown="0">
  <tableColumns count="8">
    <tableColumn id="1" xr3:uid="{00000000-0010-0000-0900-000001000000}" name="Journeys"/>
    <tableColumn id="2" xr3:uid="{00000000-0010-0000-0900-000002000000}" name="2019-20"/>
    <tableColumn id="3" xr3:uid="{00000000-0010-0000-0900-000003000000}" name="2020-21"/>
    <tableColumn id="4" xr3:uid="{00000000-0010-0000-0900-000004000000}" name="2021-22"/>
    <tableColumn id="5" xr3:uid="{00000000-0010-0000-0900-000005000000}" name="2022-23"/>
    <tableColumn id="6" xr3:uid="{00000000-0010-0000-0900-000006000000}" name="2023-24"/>
    <tableColumn id="7" xr3:uid="{00000000-0010-0000-0900-000007000000}" name="2024-25"/>
    <tableColumn id="8" xr3:uid="{00000000-0010-0000-0900-000008000000}" name="2025-26"/>
  </tableColumns>
  <tableStyleInfo name="non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A000000}" name="figure_8b" displayName="figure_8b" ref="A164:H167" totalsRowShown="0">
  <tableColumns count="8">
    <tableColumn id="1" xr3:uid="{00000000-0010-0000-0A00-000001000000}" name="Journeys"/>
    <tableColumn id="2" xr3:uid="{00000000-0010-0000-0A00-000002000000}" name="2019-20"/>
    <tableColumn id="3" xr3:uid="{00000000-0010-0000-0A00-000003000000}" name="2020-21"/>
    <tableColumn id="4" xr3:uid="{00000000-0010-0000-0A00-000004000000}" name="2021-22"/>
    <tableColumn id="5" xr3:uid="{00000000-0010-0000-0A00-000005000000}" name="2022-23"/>
    <tableColumn id="6" xr3:uid="{00000000-0010-0000-0A00-000006000000}" name="2023-24"/>
    <tableColumn id="7" xr3:uid="{00000000-0010-0000-0A00-000007000000}" name="2024-25"/>
    <tableColumn id="8" xr3:uid="{00000000-0010-0000-0A00-000008000000}" name="2025-26"/>
  </tableColumns>
  <tableStyleInfo name="non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B000000}" name="figure_9" displayName="figure_9" ref="A7:H11" totalsRowShown="0">
  <tableColumns count="8">
    <tableColumn id="1" xr3:uid="{00000000-0010-0000-0B00-000001000000}" name="Vehicle"/>
    <tableColumn id="2" xr3:uid="{00000000-0010-0000-0B00-000002000000}" name="March 2020"/>
    <tableColumn id="3" xr3:uid="{00000000-0010-0000-0B00-000003000000}" name="March 2021"/>
    <tableColumn id="4" xr3:uid="{00000000-0010-0000-0B00-000004000000}" name="March 2022"/>
    <tableColumn id="5" xr3:uid="{00000000-0010-0000-0B00-000005000000}" name="March 2023"/>
    <tableColumn id="6" xr3:uid="{00000000-0010-0000-0B00-000006000000}" name="March 2024"/>
    <tableColumn id="7" xr3:uid="{00000000-0010-0000-0B00-000007000000}" name="March 2025"/>
    <tableColumn id="8" xr3:uid="{00000000-0010-0000-0B00-000008000000}" name="March 2026"/>
  </tableColumns>
  <tableStyleInfo name="non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C000000}" name="table_1" displayName="table_1" ref="A16:H20" totalsRowShown="0">
  <tableColumns count="8">
    <tableColumn id="1" xr3:uid="{00000000-0010-0000-0C00-000001000000}" name="Vehicle Age"/>
    <tableColumn id="2" xr3:uid="{00000000-0010-0000-0C00-000002000000}" name="2019-20"/>
    <tableColumn id="3" xr3:uid="{00000000-0010-0000-0C00-000003000000}" name="2020-21"/>
    <tableColumn id="4" xr3:uid="{00000000-0010-0000-0C00-000004000000}" name="2021-22"/>
    <tableColumn id="5" xr3:uid="{00000000-0010-0000-0C00-000005000000}" name="2022-23"/>
    <tableColumn id="6" xr3:uid="{00000000-0010-0000-0C00-000006000000}" name="2023-24"/>
    <tableColumn id="7" xr3:uid="{00000000-0010-0000-0C00-000007000000}" name="2024-25"/>
    <tableColumn id="8" xr3:uid="{00000000-0010-0000-0C00-000008000000}" name="2025-26"/>
  </tableColumns>
  <tableStyleInfo name="non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D000000}" name="figure_10" displayName="figure_10" ref="A24:H28" totalsRowShown="0">
  <tableColumns count="8">
    <tableColumn id="1" xr3:uid="{00000000-0010-0000-0D00-000001000000}" name="Vehicle"/>
    <tableColumn id="2" xr3:uid="{00000000-0010-0000-0D00-000002000000}" name="2019-20"/>
    <tableColumn id="3" xr3:uid="{00000000-0010-0000-0D00-000003000000}" name="2020-21"/>
    <tableColumn id="4" xr3:uid="{00000000-0010-0000-0D00-000004000000}" name="2021-22"/>
    <tableColumn id="5" xr3:uid="{00000000-0010-0000-0D00-000005000000}" name="2022-23"/>
    <tableColumn id="6" xr3:uid="{00000000-0010-0000-0D00-000006000000}" name="2023-24"/>
    <tableColumn id="7" xr3:uid="{00000000-0010-0000-0D00-000007000000}" name="2024-25"/>
    <tableColumn id="8" xr3:uid="{00000000-0010-0000-0D00-000008000000}" name="2025-26"/>
  </tableColumns>
  <tableStyleInfo name="non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0E000000}" name="figure_11a" displayName="figure_11a" ref="A31:H35" totalsRowShown="0">
  <tableColumns count="8">
    <tableColumn id="1" xr3:uid="{00000000-0010-0000-0E00-000001000000}" name="Fuel"/>
    <tableColumn id="2" xr3:uid="{00000000-0010-0000-0E00-000002000000}" name=" March 2020"/>
    <tableColumn id="3" xr3:uid="{00000000-0010-0000-0E00-000003000000}" name=" March 2021"/>
    <tableColumn id="4" xr3:uid="{00000000-0010-0000-0E00-000004000000}" name=" March 2022"/>
    <tableColumn id="5" xr3:uid="{00000000-0010-0000-0E00-000005000000}" name=" March 2023"/>
    <tableColumn id="6" xr3:uid="{00000000-0010-0000-0E00-000006000000}" name=" March 2024"/>
    <tableColumn id="7" xr3:uid="{00000000-0010-0000-0E00-000007000000}" name=" March 2025"/>
    <tableColumn id="8" xr3:uid="{00000000-0010-0000-0E00-000008000000}" name=" March 2026"/>
  </tableColumns>
  <tableStyleInfo name="non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F000000}" name="figure_11b" displayName="figure_11b" ref="A38:H42" totalsRowShown="0">
  <tableColumns count="8">
    <tableColumn id="1" xr3:uid="{00000000-0010-0000-0F00-000001000000}" name="Fuel"/>
    <tableColumn id="2" xr3:uid="{00000000-0010-0000-0F00-000002000000}" name=" March 2020"/>
    <tableColumn id="3" xr3:uid="{00000000-0010-0000-0F00-000003000000}" name=" March 2021"/>
    <tableColumn id="4" xr3:uid="{00000000-0010-0000-0F00-000004000000}" name=" March 2022"/>
    <tableColumn id="5" xr3:uid="{00000000-0010-0000-0F00-000005000000}" name=" March 2023"/>
    <tableColumn id="6" xr3:uid="{00000000-0010-0000-0F00-000006000000}" name=" March 2024"/>
    <tableColumn id="7" xr3:uid="{00000000-0010-0000-0F00-000007000000}" name=" March 2025"/>
    <tableColumn id="8" xr3:uid="{00000000-0010-0000-0F00-000008000000}" name=" March 2026"/>
  </tableColumns>
  <tableStyleInfo name="non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0000000}" name="figure_11c" displayName="figure_11c" ref="A45:H49" totalsRowShown="0">
  <tableColumns count="8">
    <tableColumn id="1" xr3:uid="{00000000-0010-0000-1000-000001000000}" name="Fuel"/>
    <tableColumn id="2" xr3:uid="{00000000-0010-0000-1000-000002000000}" name=" March 2020"/>
    <tableColumn id="3" xr3:uid="{00000000-0010-0000-1000-000003000000}" name=" March 2021"/>
    <tableColumn id="4" xr3:uid="{00000000-0010-0000-1000-000004000000}" name=" March 2022"/>
    <tableColumn id="5" xr3:uid="{00000000-0010-0000-1000-000005000000}" name=" March 2023"/>
    <tableColumn id="6" xr3:uid="{00000000-0010-0000-1000-000006000000}" name=" March 2024"/>
    <tableColumn id="7" xr3:uid="{00000000-0010-0000-1000-000007000000}" name=" March 2025"/>
    <tableColumn id="8" xr3:uid="{00000000-0010-0000-1000-000008000000}" name=" March 2026"/>
  </tableColumns>
  <tableStyleInfo name="non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1000000}" name="figure_12" displayName="figure_12" ref="A53:H57" totalsRowShown="0">
  <tableColumns count="8">
    <tableColumn id="1" xr3:uid="{00000000-0010-0000-1100-000001000000}" name="Fuel"/>
    <tableColumn id="2" xr3:uid="{00000000-0010-0000-1100-000002000000}" name=" March 2020"/>
    <tableColumn id="3" xr3:uid="{00000000-0010-0000-1100-000003000000}" name=" March 2021"/>
    <tableColumn id="4" xr3:uid="{00000000-0010-0000-1100-000004000000}" name=" March 2022"/>
    <tableColumn id="5" xr3:uid="{00000000-0010-0000-1100-000005000000}" name=" March 2023"/>
    <tableColumn id="6" xr3:uid="{00000000-0010-0000-1100-000006000000}" name=" March 2024"/>
    <tableColumn id="7" xr3:uid="{00000000-0010-0000-1100-000007000000}" name=" March 2025"/>
    <tableColumn id="8" xr3:uid="{00000000-0010-0000-1100-000008000000}" name=" March 2026"/>
  </tableColumns>
  <tableStyleInfo name="non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2000000}" name="figure_12b" displayName="figure_12b" ref="A61:H65" totalsRowShown="0">
  <tableColumns count="8">
    <tableColumn id="1" xr3:uid="{00000000-0010-0000-1200-000001000000}" name="Fuel"/>
    <tableColumn id="2" xr3:uid="{00000000-0010-0000-1200-000002000000}" name="2019-20"/>
    <tableColumn id="3" xr3:uid="{00000000-0010-0000-1200-000003000000}" name="2020-21"/>
    <tableColumn id="4" xr3:uid="{00000000-0010-0000-1200-000004000000}" name="2021-22"/>
    <tableColumn id="5" xr3:uid="{00000000-0010-0000-1200-000005000000}" name="2022-23"/>
    <tableColumn id="6" xr3:uid="{00000000-0010-0000-1200-000006000000}" name="2023-24"/>
    <tableColumn id="7" xr3:uid="{00000000-0010-0000-1200-000007000000}" name="2024-25"/>
    <tableColumn id="8" xr3:uid="{00000000-0010-0000-1200-000008000000}" name="2025-26"/>
  </tableColumns>
  <tableStyleInfo name="non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3000000}" name="figure_13" displayName="figure_13" ref="A74:H80" totalsRowShown="0">
  <tableColumns count="8">
    <tableColumn id="1" xr3:uid="{00000000-0010-0000-1300-000001000000}" name="Bus (percentage)"/>
    <tableColumn id="2" xr3:uid="{00000000-0010-0000-1300-000002000000}" name="March 2020"/>
    <tableColumn id="3" xr3:uid="{00000000-0010-0000-1300-000003000000}" name="March 2021"/>
    <tableColumn id="4" xr3:uid="{00000000-0010-0000-1300-000004000000}" name="March 2022"/>
    <tableColumn id="5" xr3:uid="{00000000-0010-0000-1300-000005000000}" name="March 2023"/>
    <tableColumn id="6" xr3:uid="{00000000-0010-0000-1300-000006000000}" name="March 2024"/>
    <tableColumn id="7" xr3:uid="{00000000-0010-0000-1300-000007000000}" name="March 2025"/>
    <tableColumn id="8" xr3:uid="{00000000-0010-0000-1300-000008000000}" name="March 2026"/>
  </tableColumns>
  <tableStyleInfo name="non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4000000}" name="figure_14" displayName="figure_14" ref="A89:H94" totalsRowShown="0">
  <tableColumns count="8">
    <tableColumn id="1" xr3:uid="{00000000-0010-0000-1400-000001000000}" name="Rail"/>
    <tableColumn id="2" xr3:uid="{00000000-0010-0000-1400-000002000000}" name="March 2020"/>
    <tableColumn id="3" xr3:uid="{00000000-0010-0000-1400-000003000000}" name="March 2021"/>
    <tableColumn id="4" xr3:uid="{00000000-0010-0000-1400-000004000000}" name="March 2022"/>
    <tableColumn id="5" xr3:uid="{00000000-0010-0000-1400-000005000000}" name="March 2023"/>
    <tableColumn id="6" xr3:uid="{00000000-0010-0000-1400-000006000000}" name="March 2024"/>
    <tableColumn id="7" xr3:uid="{00000000-0010-0000-1400-000007000000}" name="March 2025"/>
    <tableColumn id="8" xr3:uid="{00000000-0010-0000-1400-000008000000}" name="March 2026"/>
  </tableColumns>
  <tableStyleInfo name="non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5000000}" name="figure_15" displayName="figure_15" ref="A101:G108" totalsRowShown="0">
  <tableColumns count="7">
    <tableColumn id="1" xr3:uid="{00000000-0010-0000-1500-000001000000}" name="Financial year"/>
    <tableColumn id="2" xr3:uid="{00000000-0010-0000-1500-000002000000}" name="Low floor buses (Wheelchair accessible)"/>
    <tableColumn id="3" xr3:uid="{00000000-0010-0000-1500-000003000000}" name="Goldline (Wheelchair accessible)"/>
    <tableColumn id="4" xr3:uid="{00000000-0010-0000-1500-000004000000}" name="Goldline (Non wheelchair accessible)"/>
    <tableColumn id="5" xr3:uid="{00000000-0010-0000-1500-000005000000}" name="School coaches (Non wheel chair accessible)"/>
    <tableColumn id="6" xr3:uid="{00000000-0010-0000-1500-000006000000}" name="Glider (wheelchair accessible)"/>
    <tableColumn id="7" xr3:uid="{00000000-0010-0000-1500-000007000000}" name="Total number of vehicles"/>
  </tableColumns>
  <tableStyleInfo name="non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6000000}" name="table_2" displayName="table_2" ref="A111:D118" totalsRowShown="0">
  <tableColumns count="4">
    <tableColumn id="1" xr3:uid="{00000000-0010-0000-1600-000001000000}" name="Year end"/>
    <tableColumn id="2" xr3:uid="{00000000-0010-0000-1600-000002000000}" name="TSI PRM compliant vehicles"/>
    <tableColumn id="3" xr3:uid="{00000000-0010-0000-1600-000003000000}" name="RVAR compliant carriages"/>
    <tableColumn id="4" xr3:uid="{00000000-0010-0000-1600-000004000000}" name="Wheelchair accessible carriages"/>
  </tableColumns>
  <tableStyleInfo name="non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7000000}" name="table_3" displayName="table_3" ref="A123:H127" totalsRowShown="0">
  <tableColumns count="8">
    <tableColumn id="1" xr3:uid="{00000000-0010-0000-1700-000001000000}" name="Vehicle"/>
    <tableColumn id="2" xr3:uid="{00000000-0010-0000-1700-000002000000}" name="March 2020"/>
    <tableColumn id="3" xr3:uid="{00000000-0010-0000-1700-000003000000}" name="March 2021"/>
    <tableColumn id="4" xr3:uid="{00000000-0010-0000-1700-000004000000}" name="March 2022"/>
    <tableColumn id="5" xr3:uid="{00000000-0010-0000-1700-000005000000}" name="March 2023"/>
    <tableColumn id="6" xr3:uid="{00000000-0010-0000-1700-000006000000}" name="March 2024"/>
    <tableColumn id="7" xr3:uid="{00000000-0010-0000-1700-000007000000}" name="March 2025"/>
    <tableColumn id="8" xr3:uid="{00000000-0010-0000-1700-000008000000}" name="March 2026"/>
  </tableColumns>
  <tableStyleInfo name="non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8000000}" name="figure_16" displayName="figure_16" ref="A7:F10" totalsRowShown="0">
  <tableColumns count="6">
    <tableColumn id="1" xr3:uid="{00000000-0010-0000-1800-000001000000}" name="Vehicle"/>
    <tableColumn id="2" xr3:uid="{00000000-0010-0000-1800-000002000000}" name="2021-22"/>
    <tableColumn id="3" xr3:uid="{00000000-0010-0000-1800-000003000000}" name="2022-23"/>
    <tableColumn id="4" xr3:uid="{00000000-0010-0000-1800-000004000000}" name="2023-24"/>
    <tableColumn id="5" xr3:uid="{00000000-0010-0000-1800-000005000000}" name="2024-25"/>
    <tableColumn id="6" xr3:uid="{00000000-0010-0000-1800-000006000000}" name="2025-26"/>
  </tableColumns>
  <tableStyleInfo name="none"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infrastructure-ni.gov.uk/articles/public-transport-statistics-northern-ireland-background-quality-report-bqr" TargetMode="External"/><Relationship Id="rId2" Type="http://schemas.openxmlformats.org/officeDocument/2006/relationships/hyperlink" Target="https://www.infrastructure-ni.gov.uk/publications/public-transport-statistics-northern-ireland-2025-26" TargetMode="External"/><Relationship Id="rId1" Type="http://schemas.openxmlformats.org/officeDocument/2006/relationships/hyperlink" Target="https://www.infrastructure-ni.gov.uk/publications/public-transport-statistics-northern-ireland-2025-26" TargetMode="External"/><Relationship Id="rId4" Type="http://schemas.openxmlformats.org/officeDocument/2006/relationships/hyperlink" Target="https://www.infrastructure-ni.gov.uk/articles/public-transport-statistics-northern-ireland-quality-assurance-administrative-data-qaad" TargetMode="External"/></Relationships>
</file>

<file path=xl/worksheets/_rels/sheet4.xml.rels><?xml version="1.0" encoding="UTF-8" standalone="yes"?>
<Relationships xmlns="http://schemas.openxmlformats.org/package/2006/relationships"><Relationship Id="rId8" Type="http://schemas.openxmlformats.org/officeDocument/2006/relationships/table" Target="../tables/table7.xml"/><Relationship Id="rId3" Type="http://schemas.openxmlformats.org/officeDocument/2006/relationships/table" Target="../tables/table2.xml"/><Relationship Id="rId7" Type="http://schemas.openxmlformats.org/officeDocument/2006/relationships/table" Target="../tables/table6.xml"/><Relationship Id="rId12" Type="http://schemas.openxmlformats.org/officeDocument/2006/relationships/table" Target="../tables/table11.xml"/><Relationship Id="rId2" Type="http://schemas.openxmlformats.org/officeDocument/2006/relationships/table" Target="../tables/table1.xml"/><Relationship Id="rId1" Type="http://schemas.openxmlformats.org/officeDocument/2006/relationships/hyperlink" Target="https://www.infrastructure-ni.gov.uk/publications/current-list-commercial-bus-service-permits-northern-ireland" TargetMode="External"/><Relationship Id="rId6" Type="http://schemas.openxmlformats.org/officeDocument/2006/relationships/table" Target="../tables/table5.xml"/><Relationship Id="rId11" Type="http://schemas.openxmlformats.org/officeDocument/2006/relationships/table" Target="../tables/table10.xml"/><Relationship Id="rId5" Type="http://schemas.openxmlformats.org/officeDocument/2006/relationships/table" Target="../tables/table4.xml"/><Relationship Id="rId10" Type="http://schemas.openxmlformats.org/officeDocument/2006/relationships/table" Target="../tables/table9.xml"/><Relationship Id="rId4" Type="http://schemas.openxmlformats.org/officeDocument/2006/relationships/table" Target="../tables/table3.xml"/><Relationship Id="rId9" Type="http://schemas.openxmlformats.org/officeDocument/2006/relationships/table" Target="../tables/table8.xml"/></Relationships>
</file>

<file path=xl/worksheets/_rels/sheet5.xml.rels><?xml version="1.0" encoding="UTF-8" standalone="yes"?>
<Relationships xmlns="http://schemas.openxmlformats.org/package/2006/relationships"><Relationship Id="rId8" Type="http://schemas.openxmlformats.org/officeDocument/2006/relationships/table" Target="../tables/table19.xml"/><Relationship Id="rId13" Type="http://schemas.openxmlformats.org/officeDocument/2006/relationships/table" Target="../tables/table24.xml"/><Relationship Id="rId3" Type="http://schemas.openxmlformats.org/officeDocument/2006/relationships/table" Target="../tables/table14.xml"/><Relationship Id="rId7" Type="http://schemas.openxmlformats.org/officeDocument/2006/relationships/table" Target="../tables/table18.xml"/><Relationship Id="rId12" Type="http://schemas.openxmlformats.org/officeDocument/2006/relationships/table" Target="../tables/table23.xml"/><Relationship Id="rId2" Type="http://schemas.openxmlformats.org/officeDocument/2006/relationships/table" Target="../tables/table13.xml"/><Relationship Id="rId1" Type="http://schemas.openxmlformats.org/officeDocument/2006/relationships/table" Target="../tables/table12.xml"/><Relationship Id="rId6" Type="http://schemas.openxmlformats.org/officeDocument/2006/relationships/table" Target="../tables/table17.xml"/><Relationship Id="rId11" Type="http://schemas.openxmlformats.org/officeDocument/2006/relationships/table" Target="../tables/table22.xml"/><Relationship Id="rId5" Type="http://schemas.openxmlformats.org/officeDocument/2006/relationships/table" Target="../tables/table16.xml"/><Relationship Id="rId10" Type="http://schemas.openxmlformats.org/officeDocument/2006/relationships/table" Target="../tables/table21.xml"/><Relationship Id="rId4" Type="http://schemas.openxmlformats.org/officeDocument/2006/relationships/table" Target="../tables/table15.xml"/><Relationship Id="rId9" Type="http://schemas.openxmlformats.org/officeDocument/2006/relationships/table" Target="../tables/table20.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9F033C-8B29-47F9-89C6-0482D1B80262}">
  <dimension ref="A1:D15"/>
  <sheetViews>
    <sheetView tabSelected="1" workbookViewId="0"/>
  </sheetViews>
  <sheetFormatPr defaultColWidth="7.109375" defaultRowHeight="15" x14ac:dyDescent="0.25"/>
  <cols>
    <col min="1" max="1" width="96.88671875" style="30" customWidth="1"/>
    <col min="2" max="16384" width="7.109375" style="30"/>
  </cols>
  <sheetData>
    <row r="1" spans="1:4" s="27" customFormat="1" ht="123" x14ac:dyDescent="0.9">
      <c r="A1" s="24" t="s">
        <v>238</v>
      </c>
      <c r="B1" s="25"/>
      <c r="C1" s="26"/>
      <c r="D1" s="26"/>
    </row>
    <row r="2" spans="1:4" s="27" customFormat="1" x14ac:dyDescent="0.25">
      <c r="A2" s="28"/>
    </row>
    <row r="3" spans="1:4" s="27" customFormat="1" x14ac:dyDescent="0.2"/>
    <row r="4" spans="1:4" s="27" customFormat="1" x14ac:dyDescent="0.2">
      <c r="A4" s="29"/>
    </row>
    <row r="5" spans="1:4" s="27" customFormat="1" x14ac:dyDescent="0.2">
      <c r="A5" s="29"/>
    </row>
    <row r="6" spans="1:4" s="27" customFormat="1" x14ac:dyDescent="0.25">
      <c r="A6" s="28"/>
    </row>
    <row r="7" spans="1:4" s="27" customFormat="1" x14ac:dyDescent="0.25">
      <c r="A7" s="28"/>
    </row>
    <row r="8" spans="1:4" s="27" customFormat="1" x14ac:dyDescent="0.25">
      <c r="A8" s="28"/>
    </row>
    <row r="9" spans="1:4" s="27" customFormat="1" x14ac:dyDescent="0.25">
      <c r="A9" s="28"/>
    </row>
    <row r="10" spans="1:4" s="27" customFormat="1" x14ac:dyDescent="0.25">
      <c r="A10" s="28"/>
    </row>
    <row r="11" spans="1:4" s="27" customFormat="1" x14ac:dyDescent="0.25">
      <c r="A11" s="28"/>
    </row>
    <row r="12" spans="1:4" s="27" customFormat="1" x14ac:dyDescent="0.25">
      <c r="A12" s="28"/>
    </row>
    <row r="13" spans="1:4" s="27" customFormat="1" x14ac:dyDescent="0.25">
      <c r="A13" s="28"/>
    </row>
    <row r="14" spans="1:4" s="27" customFormat="1" x14ac:dyDescent="0.25">
      <c r="A14" s="28"/>
    </row>
    <row r="15" spans="1:4" s="27" customFormat="1" x14ac:dyDescent="0.25">
      <c r="A15" s="28"/>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5"/>
  <sheetViews>
    <sheetView workbookViewId="0"/>
  </sheetViews>
  <sheetFormatPr defaultColWidth="11.5546875" defaultRowHeight="15" x14ac:dyDescent="0.2"/>
  <cols>
    <col min="1" max="1" width="112.6640625" customWidth="1"/>
  </cols>
  <sheetData>
    <row r="1" spans="1:1" ht="20.100000000000001" customHeight="1" x14ac:dyDescent="0.3">
      <c r="A1" s="1" t="s">
        <v>0</v>
      </c>
    </row>
    <row r="2" spans="1:1" ht="24.95" customHeight="1" x14ac:dyDescent="0.2">
      <c r="A2" s="2" t="s">
        <v>1</v>
      </c>
    </row>
    <row r="3" spans="1:1" x14ac:dyDescent="0.2">
      <c r="A3" s="2" t="s">
        <v>2</v>
      </c>
    </row>
    <row r="4" spans="1:1" ht="20.100000000000001" customHeight="1" x14ac:dyDescent="0.25">
      <c r="A4" s="3" t="s">
        <v>3</v>
      </c>
    </row>
    <row r="5" spans="1:1" x14ac:dyDescent="0.2">
      <c r="A5" s="4" t="s">
        <v>0</v>
      </c>
    </row>
    <row r="6" spans="1:1" x14ac:dyDescent="0.2">
      <c r="A6" s="2" t="s">
        <v>4</v>
      </c>
    </row>
    <row r="7" spans="1:1" x14ac:dyDescent="0.2">
      <c r="A7" s="2" t="s">
        <v>5</v>
      </c>
    </row>
    <row r="8" spans="1:1" x14ac:dyDescent="0.2">
      <c r="A8" s="2" t="s">
        <v>2</v>
      </c>
    </row>
    <row r="9" spans="1:1" ht="20.100000000000001" customHeight="1" x14ac:dyDescent="0.25">
      <c r="A9" s="3" t="s">
        <v>6</v>
      </c>
    </row>
    <row r="10" spans="1:1" x14ac:dyDescent="0.2">
      <c r="A10" s="4" t="s">
        <v>16</v>
      </c>
    </row>
    <row r="11" spans="1:1" x14ac:dyDescent="0.2">
      <c r="A11" s="4" t="s">
        <v>17</v>
      </c>
    </row>
    <row r="12" spans="1:1" x14ac:dyDescent="0.2">
      <c r="A12" s="2" t="s">
        <v>2</v>
      </c>
    </row>
    <row r="13" spans="1:1" ht="20.100000000000001" customHeight="1" x14ac:dyDescent="0.25">
      <c r="A13" s="3" t="s">
        <v>7</v>
      </c>
    </row>
    <row r="14" spans="1:1" x14ac:dyDescent="0.2">
      <c r="A14" s="2" t="s">
        <v>8</v>
      </c>
    </row>
    <row r="15" spans="1:1" ht="30" x14ac:dyDescent="0.2">
      <c r="A15" s="2" t="s">
        <v>9</v>
      </c>
    </row>
    <row r="16" spans="1:1" x14ac:dyDescent="0.2">
      <c r="A16" s="2" t="s">
        <v>2</v>
      </c>
    </row>
    <row r="17" spans="1:1" ht="20.100000000000001" customHeight="1" x14ac:dyDescent="0.25">
      <c r="A17" s="3" t="s">
        <v>10</v>
      </c>
    </row>
    <row r="18" spans="1:1" x14ac:dyDescent="0.2">
      <c r="A18" s="2" t="s">
        <v>11</v>
      </c>
    </row>
    <row r="19" spans="1:1" x14ac:dyDescent="0.2">
      <c r="A19" s="2" t="s">
        <v>2</v>
      </c>
    </row>
    <row r="20" spans="1:1" ht="20.100000000000001" customHeight="1" x14ac:dyDescent="0.25">
      <c r="A20" s="3" t="s">
        <v>12</v>
      </c>
    </row>
    <row r="21" spans="1:1" x14ac:dyDescent="0.2">
      <c r="A21" s="2" t="s">
        <v>13</v>
      </c>
    </row>
    <row r="22" spans="1:1" x14ac:dyDescent="0.2">
      <c r="A22" s="4" t="s">
        <v>0</v>
      </c>
    </row>
    <row r="23" spans="1:1" x14ac:dyDescent="0.2">
      <c r="A23" s="2" t="s">
        <v>2</v>
      </c>
    </row>
    <row r="24" spans="1:1" ht="20.100000000000001" customHeight="1" x14ac:dyDescent="0.25">
      <c r="A24" s="3" t="s">
        <v>14</v>
      </c>
    </row>
    <row r="25" spans="1:1" ht="105" x14ac:dyDescent="0.2">
      <c r="A25" s="2" t="s">
        <v>15</v>
      </c>
    </row>
  </sheetData>
  <hyperlinks>
    <hyperlink ref="A5" r:id="rId1" xr:uid="{00000000-0004-0000-0000-000000000000}"/>
    <hyperlink ref="A22" r:id="rId2" xr:uid="{00000000-0004-0000-0000-000001000000}"/>
    <hyperlink ref="A10" r:id="rId3" xr:uid="{00000000-0004-0000-0000-000002000000}"/>
    <hyperlink ref="A11" r:id="rId4" xr:uid="{00000000-0004-0000-0000-000003000000}"/>
  </hyperlinks>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30"/>
  <sheetViews>
    <sheetView workbookViewId="0"/>
  </sheetViews>
  <sheetFormatPr defaultColWidth="11.5546875" defaultRowHeight="15" x14ac:dyDescent="0.2"/>
  <cols>
    <col min="1" max="1" width="114.6640625" customWidth="1"/>
  </cols>
  <sheetData>
    <row r="1" spans="1:1" ht="19.5" x14ac:dyDescent="0.3">
      <c r="A1" s="1" t="s">
        <v>0</v>
      </c>
    </row>
    <row r="2" spans="1:1" ht="30" customHeight="1" x14ac:dyDescent="0.25">
      <c r="A2" s="5" t="s">
        <v>18</v>
      </c>
    </row>
    <row r="3" spans="1:1" ht="30" customHeight="1" x14ac:dyDescent="0.25">
      <c r="A3" s="5" t="s">
        <v>21</v>
      </c>
    </row>
    <row r="4" spans="1:1" x14ac:dyDescent="0.2">
      <c r="A4" s="6" t="str">
        <f>HYPERLINK("#'Journeys'!A9", "Figure 1: Public Transport Passenger Journeys: 2019-20 to 2025-26 (millions)")</f>
        <v>Figure 1: Public Transport Passenger Journeys: 2019-20 to 2025-26 (millions)</v>
      </c>
    </row>
    <row r="5" spans="1:1" x14ac:dyDescent="0.2">
      <c r="A5" s="6" t="str">
        <f>HYPERLINK("#'Journeys'!A16", "Figure 2: Monthly Public Transport Passenger Journeys: April 2019 to March 2026 (millions)")</f>
        <v>Figure 2: Monthly Public Transport Passenger Journeys: April 2019 to March 2026 (millions)</v>
      </c>
    </row>
    <row r="6" spans="1:1" x14ac:dyDescent="0.2">
      <c r="A6" s="6" t="str">
        <f>HYPERLINK("#'Journeys'!A103", "Figure 3: Bus Passenger Journeys 2019-20 to 2025-26 (millions)")</f>
        <v>Figure 3: Bus Passenger Journeys 2019-20 to 2025-26 (millions)</v>
      </c>
    </row>
    <row r="7" spans="1:1" x14ac:dyDescent="0.2">
      <c r="A7" s="6" t="str">
        <f>HYPERLINK("#'Journeys'!A110", "Figure 4: Rail Passenger Journeys 2019-20 to 2025-26 (millions)")</f>
        <v>Figure 4: Rail Passenger Journeys 2019-20 to 2025-26 (millions)</v>
      </c>
    </row>
    <row r="8" spans="1:1" x14ac:dyDescent="0.2">
      <c r="A8" s="6" t="str">
        <f>HYPERLINK("#'Journeys'!A117", "Figure 5: Public Transport Passenger Receipts 2019-20 to 2025-26")</f>
        <v>Figure 5: Public Transport Passenger Receipts 2019-20 to 2025-26</v>
      </c>
    </row>
    <row r="9" spans="1:1" x14ac:dyDescent="0.2">
      <c r="A9" s="6" t="str">
        <f>HYPERLINK("#'Journeys'!A125", "Figure 6: Rail Passenger Miles 2019-20 to 2025-26 (millions)")</f>
        <v>Figure 6: Rail Passenger Miles 2019-20 to 2025-26 (millions)</v>
      </c>
    </row>
    <row r="10" spans="1:1" x14ac:dyDescent="0.2">
      <c r="A10" s="6" t="str">
        <f>HYPERLINK("#'Journeys'!A133", "Figure 7a: Bus Passenger Journeys by paid and subsidised travel: 2019-20 to 2025-26 (millions)")</f>
        <v>Figure 7a: Bus Passenger Journeys by paid and subsidised travel: 2019-20 to 2025-26 (millions)</v>
      </c>
    </row>
    <row r="11" spans="1:1" x14ac:dyDescent="0.2">
      <c r="A11" s="6" t="str">
        <f>HYPERLINK("#'Journeys'!A140", "Figure 7b: Rail Passenger Journeys by paid and subsidised travel: 2019-20 to 2025-26 (millions)")</f>
        <v>Figure 7b: Rail Passenger Journeys by paid and subsidised travel: 2019-20 to 2025-26 (millions)</v>
      </c>
    </row>
    <row r="12" spans="1:1" x14ac:dyDescent="0.2">
      <c r="A12" s="6" t="str">
        <f>HYPERLINK("#'Journeys'!A147", "Figure 7c: Analysis of bus fare paying passenger journeys: 2019-20 to 2025-26 (millions)")</f>
        <v>Figure 7c: Analysis of bus fare paying passenger journeys: 2019-20 to 2025-26 (millions)</v>
      </c>
    </row>
    <row r="13" spans="1:1" x14ac:dyDescent="0.2">
      <c r="A13" s="6" t="str">
        <f>HYPERLINK("#'Journeys'!A157", "Figure 8a: Paid Bus Passenger Journeys by smart / non-smart methods: 2019-20 to  2025-26")</f>
        <v>Figure 8a: Paid Bus Passenger Journeys by smart / non-smart methods: 2019-20 to  2025-26</v>
      </c>
    </row>
    <row r="14" spans="1:1" x14ac:dyDescent="0.2">
      <c r="A14" s="6" t="str">
        <f>HYPERLINK("#'Journeys'!A163", "Figure 8b: Paid Rail Passenger Journeys by smart / non-smart methods: 2019-20 to 2025-26")</f>
        <v>Figure 8b: Paid Rail Passenger Journeys by smart / non-smart methods: 2019-20 to 2025-26</v>
      </c>
    </row>
    <row r="15" spans="1:1" ht="30" customHeight="1" x14ac:dyDescent="0.25">
      <c r="A15" s="5" t="s">
        <v>157</v>
      </c>
    </row>
    <row r="16" spans="1:1" x14ac:dyDescent="0.2">
      <c r="A16" s="6" t="str">
        <f>HYPERLINK("#'Vehicles'!A6", "Figure 9: Public Transport Vehicles: March 2020 to March 2026")</f>
        <v>Figure 9: Public Transport Vehicles: March 2020 to March 2026</v>
      </c>
    </row>
    <row r="17" spans="1:1" x14ac:dyDescent="0.2">
      <c r="A17" s="6" t="str">
        <f>HYPERLINK("#'Vehicles'!A15", "Table 1: Public Transport Vehicle average age: March 2020 to March 2026")</f>
        <v>Table 1: Public Transport Vehicle average age: March 2020 to March 2026</v>
      </c>
    </row>
    <row r="18" spans="1:1" x14ac:dyDescent="0.2">
      <c r="A18" s="6" t="str">
        <f>HYPERLINK("#'Vehicles'!A23", "Figure 10: Public Transport operating miles: 2019-20 to 2025-26")</f>
        <v>Figure 10: Public Transport operating miles: 2019-20 to 2025-26</v>
      </c>
    </row>
    <row r="19" spans="1:1" x14ac:dyDescent="0.2">
      <c r="A19" s="6" t="str">
        <f>HYPERLINK("#'Vehicles'!A30", "Figure 11a: Ulsterbus by fuel type March 2020 to March 2026")</f>
        <v>Figure 11a: Ulsterbus by fuel type March 2020 to March 2026</v>
      </c>
    </row>
    <row r="20" spans="1:1" x14ac:dyDescent="0.2">
      <c r="A20" s="6" t="str">
        <f>HYPERLINK("#'Vehicles'!A37", "Figure 11b: Metro by fuel type March 2020 to March 2026")</f>
        <v>Figure 11b: Metro by fuel type March 2020 to March 2026</v>
      </c>
    </row>
    <row r="21" spans="1:1" x14ac:dyDescent="0.2">
      <c r="A21" s="6" t="str">
        <f>HYPERLINK("#'Vehicles'!A44", "Figure 11c: Glider by fuel type March 2020 to March 2026")</f>
        <v>Figure 11c: Glider by fuel type March 2020 to March 2026</v>
      </c>
    </row>
    <row r="22" spans="1:1" x14ac:dyDescent="0.2">
      <c r="A22" s="6" t="str">
        <f>HYPERLINK("#'Vehicles'!A52", "Figure 12: Bus mileage by fuel type: 2019-20 to 2025-26")</f>
        <v>Figure 12: Bus mileage by fuel type: 2019-20 to 2025-26</v>
      </c>
    </row>
    <row r="23" spans="1:1" x14ac:dyDescent="0.2">
      <c r="A23" s="6" t="str">
        <f>HYPERLINK("#'Vehicles'!A60", "Figure 12b: Buses by fuel type: 2019-20 to 2025-26")</f>
        <v>Figure 12b: Buses by fuel type: 2019-20 to 2025-26</v>
      </c>
    </row>
    <row r="24" spans="1:1" x14ac:dyDescent="0.2">
      <c r="A24" s="6" t="str">
        <f>HYPERLINK("#'Vehicles'!A73", "Figure 13: Bus by onboard facilities: March 2020 to March 2026")</f>
        <v>Figure 13: Bus by onboard facilities: March 2020 to March 2026</v>
      </c>
    </row>
    <row r="25" spans="1:1" x14ac:dyDescent="0.2">
      <c r="A25" s="6" t="str">
        <f>HYPERLINK("#'Vehicles'!A88", "Figure 14: Rail by onboard facilities: March 2020 to March 2026")</f>
        <v>Figure 14: Rail by onboard facilities: March 2020 to March 2026</v>
      </c>
    </row>
    <row r="26" spans="1:1" x14ac:dyDescent="0.2">
      <c r="A26" s="6" t="str">
        <f>HYPERLINK("#'Vehicles'!A100", "Figure 15: Compliance with accessibility regulations – buses: March 2020 to March 2026")</f>
        <v>Figure 15: Compliance with accessibility regulations – buses: March 2020 to March 2026</v>
      </c>
    </row>
    <row r="27" spans="1:1" x14ac:dyDescent="0.2">
      <c r="A27" s="6" t="str">
        <f>HYPERLINK("#'Vehicles'!A110", "Table 2: Percentage of vehicles compliant with accessibility regulations - rail: March 2020 to March 2026")</f>
        <v>Table 2: Percentage of vehicles compliant with accessibility regulations - rail: March 2020 to March 2026</v>
      </c>
    </row>
    <row r="28" spans="1:1" x14ac:dyDescent="0.2">
      <c r="A28" s="6" t="str">
        <f>HYPERLINK("#'Vehicles'!A122", "Table 3: NI Rail service assets: March 2020 to March 2026")</f>
        <v>Table 3: NI Rail service assets: March 2020 to March 2026</v>
      </c>
    </row>
    <row r="29" spans="1:1" ht="30" customHeight="1" x14ac:dyDescent="0.25">
      <c r="A29" s="5" t="s">
        <v>231</v>
      </c>
    </row>
    <row r="30" spans="1:1" x14ac:dyDescent="0.2">
      <c r="A30" s="6" t="str">
        <f>HYPERLINK("#'Staff'!A6", "Figure 16: Full time equivalent numer of staff employed by Translink: 2021-22 to 2025-26")</f>
        <v>Figure 16: Full time equivalent numer of staff employed by Translink: 2021-22 to 2025-26</v>
      </c>
    </row>
  </sheetData>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67"/>
  <sheetViews>
    <sheetView workbookViewId="0"/>
  </sheetViews>
  <sheetFormatPr defaultColWidth="11.5546875" defaultRowHeight="15" x14ac:dyDescent="0.2"/>
  <cols>
    <col min="1" max="1" width="27.6640625" customWidth="1"/>
    <col min="2" max="8" width="12.6640625" customWidth="1"/>
  </cols>
  <sheetData>
    <row r="1" spans="1:8" ht="30" customHeight="1" x14ac:dyDescent="0.3">
      <c r="A1" s="1" t="s">
        <v>19</v>
      </c>
    </row>
    <row r="2" spans="1:8" x14ac:dyDescent="0.2">
      <c r="A2" t="s">
        <v>20</v>
      </c>
    </row>
    <row r="3" spans="1:8" ht="30" customHeight="1" x14ac:dyDescent="0.25">
      <c r="A3" s="5" t="s">
        <v>22</v>
      </c>
    </row>
    <row r="4" spans="1:8" x14ac:dyDescent="0.2">
      <c r="A4" t="s">
        <v>23</v>
      </c>
    </row>
    <row r="5" spans="1:8" x14ac:dyDescent="0.2">
      <c r="A5" t="s">
        <v>24</v>
      </c>
    </row>
    <row r="6" spans="1:8" x14ac:dyDescent="0.2">
      <c r="A6" s="6" t="s">
        <v>25</v>
      </c>
    </row>
    <row r="7" spans="1:8" x14ac:dyDescent="0.2">
      <c r="A7" t="s">
        <v>26</v>
      </c>
    </row>
    <row r="8" spans="1:8" x14ac:dyDescent="0.2">
      <c r="A8" t="s">
        <v>27</v>
      </c>
    </row>
    <row r="9" spans="1:8" x14ac:dyDescent="0.2">
      <c r="A9" t="s">
        <v>28</v>
      </c>
    </row>
    <row r="10" spans="1:8" ht="15.75" x14ac:dyDescent="0.25">
      <c r="A10" s="8" t="s">
        <v>29</v>
      </c>
      <c r="B10" s="7" t="s">
        <v>30</v>
      </c>
      <c r="C10" s="7" t="s">
        <v>31</v>
      </c>
      <c r="D10" s="7" t="s">
        <v>32</v>
      </c>
      <c r="E10" s="7" t="s">
        <v>33</v>
      </c>
      <c r="F10" s="7" t="s">
        <v>34</v>
      </c>
      <c r="G10" s="7" t="s">
        <v>35</v>
      </c>
      <c r="H10" s="7" t="s">
        <v>36</v>
      </c>
    </row>
    <row r="11" spans="1:8" ht="15.75" x14ac:dyDescent="0.25">
      <c r="A11" s="5" t="s">
        <v>37</v>
      </c>
      <c r="B11" s="9">
        <v>68.27</v>
      </c>
      <c r="C11" s="9">
        <v>22.36</v>
      </c>
      <c r="D11" s="9">
        <v>50.54</v>
      </c>
      <c r="E11" s="9">
        <v>60.576516089999998</v>
      </c>
      <c r="F11" s="9">
        <v>64.4178</v>
      </c>
      <c r="G11" s="9">
        <v>67.794551350000006</v>
      </c>
      <c r="H11" s="9">
        <v>68.143945000000002</v>
      </c>
    </row>
    <row r="12" spans="1:8" ht="15.75" x14ac:dyDescent="0.25">
      <c r="A12" s="5" t="s">
        <v>38</v>
      </c>
      <c r="B12" s="9">
        <v>15.11</v>
      </c>
      <c r="C12" s="9">
        <v>3.32</v>
      </c>
      <c r="D12" s="9">
        <v>8.7468800000000009</v>
      </c>
      <c r="E12" s="9">
        <v>12.895925999999999</v>
      </c>
      <c r="F12" s="9">
        <v>13.8209</v>
      </c>
      <c r="G12" s="9">
        <v>13.304995</v>
      </c>
      <c r="H12" s="9">
        <v>15.854539000000001</v>
      </c>
    </row>
    <row r="13" spans="1:8" ht="15.75" x14ac:dyDescent="0.25">
      <c r="A13" s="11" t="s">
        <v>39</v>
      </c>
      <c r="B13" s="10">
        <v>83.38</v>
      </c>
      <c r="C13" s="10">
        <v>25.68</v>
      </c>
      <c r="D13" s="10">
        <v>59.286879999999996</v>
      </c>
      <c r="E13" s="10">
        <v>73.472442090000001</v>
      </c>
      <c r="F13" s="10">
        <v>78.238699999999994</v>
      </c>
      <c r="G13" s="10">
        <v>81.094551350000003</v>
      </c>
      <c r="H13" s="10">
        <v>83.998484000000005</v>
      </c>
    </row>
    <row r="15" spans="1:8" ht="15.75" x14ac:dyDescent="0.25">
      <c r="A15" s="5" t="s">
        <v>40</v>
      </c>
    </row>
    <row r="16" spans="1:8" x14ac:dyDescent="0.2">
      <c r="A16" t="s">
        <v>2</v>
      </c>
    </row>
    <row r="17" spans="1:3" ht="15.75" x14ac:dyDescent="0.25">
      <c r="A17" s="8" t="s">
        <v>41</v>
      </c>
      <c r="B17" s="7" t="s">
        <v>37</v>
      </c>
      <c r="C17" s="7" t="s">
        <v>38</v>
      </c>
    </row>
    <row r="18" spans="1:3" ht="15.75" x14ac:dyDescent="0.25">
      <c r="A18" s="5" t="s">
        <v>42</v>
      </c>
      <c r="B18" s="9">
        <v>5.14</v>
      </c>
      <c r="C18" s="9">
        <v>1.1499999999999999</v>
      </c>
    </row>
    <row r="19" spans="1:3" ht="15.75" x14ac:dyDescent="0.25">
      <c r="A19" s="5" t="s">
        <v>43</v>
      </c>
      <c r="B19" s="9">
        <v>5.94</v>
      </c>
      <c r="C19" s="9">
        <v>1.24</v>
      </c>
    </row>
    <row r="20" spans="1:3" ht="15.75" x14ac:dyDescent="0.25">
      <c r="A20" s="5" t="s">
        <v>44</v>
      </c>
      <c r="B20" s="9">
        <v>7.49</v>
      </c>
      <c r="C20" s="9">
        <v>1.5</v>
      </c>
    </row>
    <row r="21" spans="1:3" ht="15.75" x14ac:dyDescent="0.25">
      <c r="A21" s="5" t="s">
        <v>45</v>
      </c>
      <c r="B21" s="9">
        <v>3.57</v>
      </c>
      <c r="C21" s="9">
        <v>1.1399999999999999</v>
      </c>
    </row>
    <row r="22" spans="1:3" ht="15.75" x14ac:dyDescent="0.25">
      <c r="A22" s="5" t="s">
        <v>46</v>
      </c>
      <c r="B22" s="9">
        <v>3.7</v>
      </c>
      <c r="C22" s="9">
        <v>1.1299999999999999</v>
      </c>
    </row>
    <row r="23" spans="1:3" ht="15.75" x14ac:dyDescent="0.25">
      <c r="A23" s="5" t="s">
        <v>47</v>
      </c>
      <c r="B23" s="9">
        <v>7.2</v>
      </c>
      <c r="C23" s="9">
        <v>1.57</v>
      </c>
    </row>
    <row r="24" spans="1:3" ht="15.75" x14ac:dyDescent="0.25">
      <c r="A24" s="5" t="s">
        <v>48</v>
      </c>
      <c r="B24" s="9">
        <v>6.29</v>
      </c>
      <c r="C24" s="9">
        <v>1.28</v>
      </c>
    </row>
    <row r="25" spans="1:3" ht="15.75" x14ac:dyDescent="0.25">
      <c r="A25" s="5" t="s">
        <v>49</v>
      </c>
      <c r="B25" s="9">
        <v>5.55</v>
      </c>
      <c r="C25" s="9">
        <v>1.31</v>
      </c>
    </row>
    <row r="26" spans="1:3" ht="15.75" x14ac:dyDescent="0.25">
      <c r="A26" s="5" t="s">
        <v>50</v>
      </c>
      <c r="B26" s="9">
        <v>6.99</v>
      </c>
      <c r="C26" s="9">
        <v>1.56</v>
      </c>
    </row>
    <row r="27" spans="1:3" ht="15.75" x14ac:dyDescent="0.25">
      <c r="A27" s="5" t="s">
        <v>51</v>
      </c>
      <c r="B27" s="9">
        <v>5.09</v>
      </c>
      <c r="C27" s="9">
        <v>1.1299999999999999</v>
      </c>
    </row>
    <row r="28" spans="1:3" ht="15.75" x14ac:dyDescent="0.25">
      <c r="A28" s="5" t="s">
        <v>52</v>
      </c>
      <c r="B28" s="9">
        <v>5.79</v>
      </c>
      <c r="C28" s="9">
        <v>1.1399999999999999</v>
      </c>
    </row>
    <row r="29" spans="1:3" ht="15.75" x14ac:dyDescent="0.25">
      <c r="A29" s="5" t="s">
        <v>53</v>
      </c>
      <c r="B29" s="9">
        <v>5.51</v>
      </c>
      <c r="C29" s="9">
        <v>0.95</v>
      </c>
    </row>
    <row r="30" spans="1:3" ht="15.75" x14ac:dyDescent="0.25">
      <c r="A30" s="5" t="s">
        <v>54</v>
      </c>
      <c r="B30" s="9">
        <v>0.3</v>
      </c>
      <c r="C30" s="9">
        <v>0.06</v>
      </c>
    </row>
    <row r="31" spans="1:3" ht="15.75" x14ac:dyDescent="0.25">
      <c r="A31" s="5" t="s">
        <v>55</v>
      </c>
      <c r="B31" s="9">
        <v>0.38</v>
      </c>
      <c r="C31" s="9">
        <v>0.12</v>
      </c>
    </row>
    <row r="32" spans="1:3" ht="15.75" x14ac:dyDescent="0.25">
      <c r="A32" s="5" t="s">
        <v>56</v>
      </c>
      <c r="B32" s="9">
        <v>0.84</v>
      </c>
      <c r="C32" s="9">
        <v>0.18</v>
      </c>
    </row>
    <row r="33" spans="1:3" ht="15.75" x14ac:dyDescent="0.25">
      <c r="A33" s="5" t="s">
        <v>57</v>
      </c>
      <c r="B33" s="9">
        <v>1.06</v>
      </c>
      <c r="C33" s="9">
        <v>0.28999999999999998</v>
      </c>
    </row>
    <row r="34" spans="1:3" ht="15.75" x14ac:dyDescent="0.25">
      <c r="A34" s="5" t="s">
        <v>58</v>
      </c>
      <c r="B34" s="9">
        <v>1.38</v>
      </c>
      <c r="C34" s="9">
        <v>0.42</v>
      </c>
    </row>
    <row r="35" spans="1:3" ht="15.75" x14ac:dyDescent="0.25">
      <c r="A35" s="5" t="s">
        <v>59</v>
      </c>
      <c r="B35" s="9">
        <v>4.4800000000000004</v>
      </c>
      <c r="C35" s="9">
        <v>0.6</v>
      </c>
    </row>
    <row r="36" spans="1:3" ht="15.75" x14ac:dyDescent="0.25">
      <c r="A36" s="5" t="s">
        <v>60</v>
      </c>
      <c r="B36" s="9">
        <v>3.36</v>
      </c>
      <c r="C36" s="9">
        <v>0.39</v>
      </c>
    </row>
    <row r="37" spans="1:3" ht="15.75" x14ac:dyDescent="0.25">
      <c r="A37" s="5" t="s">
        <v>61</v>
      </c>
      <c r="B37" s="9">
        <v>3.48</v>
      </c>
      <c r="C37" s="9">
        <v>0.34</v>
      </c>
    </row>
    <row r="38" spans="1:3" ht="15.75" x14ac:dyDescent="0.25">
      <c r="A38" s="5" t="s">
        <v>62</v>
      </c>
      <c r="B38" s="9">
        <v>4.17</v>
      </c>
      <c r="C38" s="9">
        <v>0.43</v>
      </c>
    </row>
    <row r="39" spans="1:3" ht="15.75" x14ac:dyDescent="0.25">
      <c r="A39" s="5" t="s">
        <v>63</v>
      </c>
      <c r="B39" s="9">
        <v>0.69</v>
      </c>
      <c r="C39" s="9">
        <v>0.11</v>
      </c>
    </row>
    <row r="40" spans="1:3" ht="15.75" x14ac:dyDescent="0.25">
      <c r="A40" s="5" t="s">
        <v>64</v>
      </c>
      <c r="B40" s="9">
        <v>0.77</v>
      </c>
      <c r="C40" s="9">
        <v>0.13</v>
      </c>
    </row>
    <row r="41" spans="1:3" ht="15.75" x14ac:dyDescent="0.25">
      <c r="A41" s="5" t="s">
        <v>65</v>
      </c>
      <c r="B41" s="9">
        <v>1.46</v>
      </c>
      <c r="C41" s="9">
        <v>0.23</v>
      </c>
    </row>
    <row r="42" spans="1:3" ht="15.75" x14ac:dyDescent="0.25">
      <c r="A42" s="5" t="s">
        <v>66</v>
      </c>
      <c r="B42" s="9">
        <v>2.83</v>
      </c>
      <c r="C42" s="9">
        <v>0.31</v>
      </c>
    </row>
    <row r="43" spans="1:3" ht="15.75" x14ac:dyDescent="0.25">
      <c r="A43" s="5" t="s">
        <v>67</v>
      </c>
      <c r="B43" s="9">
        <v>4</v>
      </c>
      <c r="C43" s="9">
        <v>0.48</v>
      </c>
    </row>
    <row r="44" spans="1:3" ht="15.75" x14ac:dyDescent="0.25">
      <c r="A44" s="5" t="s">
        <v>68</v>
      </c>
      <c r="B44" s="9">
        <v>5.32</v>
      </c>
      <c r="C44" s="9">
        <v>0.8</v>
      </c>
    </row>
    <row r="45" spans="1:3" ht="15.75" x14ac:dyDescent="0.25">
      <c r="A45" s="5" t="s">
        <v>69</v>
      </c>
      <c r="B45" s="9">
        <v>1.82</v>
      </c>
      <c r="C45" s="9">
        <v>0.64</v>
      </c>
    </row>
    <row r="46" spans="1:3" ht="15.75" x14ac:dyDescent="0.25">
      <c r="A46" s="5" t="s">
        <v>70</v>
      </c>
      <c r="B46" s="9">
        <v>1.92</v>
      </c>
      <c r="C46" s="9">
        <v>0.63</v>
      </c>
    </row>
    <row r="47" spans="1:3" ht="15.75" x14ac:dyDescent="0.25">
      <c r="A47" s="5" t="s">
        <v>71</v>
      </c>
      <c r="B47" s="9">
        <v>5.34</v>
      </c>
      <c r="C47" s="9">
        <v>0.96</v>
      </c>
    </row>
    <row r="48" spans="1:3" ht="15.75" x14ac:dyDescent="0.25">
      <c r="A48" s="5" t="s">
        <v>72</v>
      </c>
      <c r="B48" s="9">
        <v>4.97</v>
      </c>
      <c r="C48" s="9">
        <v>0.82</v>
      </c>
    </row>
    <row r="49" spans="1:3" ht="15.75" x14ac:dyDescent="0.25">
      <c r="A49" s="5" t="s">
        <v>73</v>
      </c>
      <c r="B49" s="9">
        <v>4.6399999999999997</v>
      </c>
      <c r="C49" s="9">
        <v>0.86</v>
      </c>
    </row>
    <row r="50" spans="1:3" ht="15.75" x14ac:dyDescent="0.25">
      <c r="A50" s="5" t="s">
        <v>74</v>
      </c>
      <c r="B50" s="9">
        <v>5.52</v>
      </c>
      <c r="C50" s="9">
        <v>0.94</v>
      </c>
    </row>
    <row r="51" spans="1:3" ht="15.75" x14ac:dyDescent="0.25">
      <c r="A51" s="5" t="s">
        <v>75</v>
      </c>
      <c r="B51" s="9">
        <v>3.69</v>
      </c>
      <c r="C51" s="9">
        <v>0.52</v>
      </c>
    </row>
    <row r="52" spans="1:3" ht="15.75" x14ac:dyDescent="0.25">
      <c r="A52" s="5" t="s">
        <v>76</v>
      </c>
      <c r="B52" s="9">
        <v>4.6100000000000003</v>
      </c>
      <c r="C52" s="9">
        <v>0.73</v>
      </c>
    </row>
    <row r="53" spans="1:3" ht="15.75" x14ac:dyDescent="0.25">
      <c r="A53" s="5" t="s">
        <v>77</v>
      </c>
      <c r="B53" s="9">
        <v>5.9</v>
      </c>
      <c r="C53" s="9">
        <v>1.03</v>
      </c>
    </row>
    <row r="54" spans="1:3" ht="15.75" x14ac:dyDescent="0.25">
      <c r="A54" s="5" t="s">
        <v>78</v>
      </c>
      <c r="B54" s="9">
        <v>4.21</v>
      </c>
      <c r="C54" s="9">
        <v>0.88</v>
      </c>
    </row>
    <row r="55" spans="1:3" ht="15.75" x14ac:dyDescent="0.25">
      <c r="A55" s="5" t="s">
        <v>79</v>
      </c>
      <c r="B55" s="9">
        <v>4.92</v>
      </c>
      <c r="C55" s="9">
        <v>0.93</v>
      </c>
    </row>
    <row r="56" spans="1:3" ht="15.75" x14ac:dyDescent="0.25">
      <c r="A56" s="5" t="s">
        <v>80</v>
      </c>
      <c r="B56" s="9">
        <v>6.22</v>
      </c>
      <c r="C56" s="9">
        <v>1.24</v>
      </c>
    </row>
    <row r="57" spans="1:3" ht="15.75" x14ac:dyDescent="0.25">
      <c r="A57" s="5" t="s">
        <v>81</v>
      </c>
      <c r="B57" s="9">
        <v>2.5</v>
      </c>
      <c r="C57" s="9">
        <v>0.91</v>
      </c>
    </row>
    <row r="58" spans="1:3" ht="15.75" x14ac:dyDescent="0.25">
      <c r="A58" s="5" t="s">
        <v>82</v>
      </c>
      <c r="B58" s="9">
        <v>2.75</v>
      </c>
      <c r="C58" s="9">
        <v>1.05</v>
      </c>
    </row>
    <row r="59" spans="1:3" ht="15.75" x14ac:dyDescent="0.25">
      <c r="A59" s="5" t="s">
        <v>83</v>
      </c>
      <c r="B59" s="9">
        <v>6.08</v>
      </c>
      <c r="C59" s="9">
        <v>1.28</v>
      </c>
    </row>
    <row r="60" spans="1:3" ht="15.75" x14ac:dyDescent="0.25">
      <c r="A60" s="5" t="s">
        <v>84</v>
      </c>
      <c r="B60" s="9">
        <v>5.64</v>
      </c>
      <c r="C60" s="9">
        <v>1.07</v>
      </c>
    </row>
    <row r="61" spans="1:3" ht="15.75" x14ac:dyDescent="0.25">
      <c r="A61" s="5" t="s">
        <v>85</v>
      </c>
      <c r="B61" s="9">
        <v>5.28</v>
      </c>
      <c r="C61" s="9">
        <v>1.08</v>
      </c>
    </row>
    <row r="62" spans="1:3" ht="15.75" x14ac:dyDescent="0.25">
      <c r="A62" s="5" t="s">
        <v>86</v>
      </c>
      <c r="B62" s="9">
        <v>6.48</v>
      </c>
      <c r="C62" s="9">
        <v>1.39</v>
      </c>
    </row>
    <row r="63" spans="1:3" ht="15.75" x14ac:dyDescent="0.25">
      <c r="A63" s="5" t="s">
        <v>87</v>
      </c>
      <c r="B63" s="9">
        <v>4.29</v>
      </c>
      <c r="C63" s="9">
        <v>0.77</v>
      </c>
    </row>
    <row r="64" spans="1:3" ht="15.75" x14ac:dyDescent="0.25">
      <c r="A64" s="5" t="s">
        <v>88</v>
      </c>
      <c r="B64" s="9">
        <v>5.52</v>
      </c>
      <c r="C64" s="9">
        <v>1.02</v>
      </c>
    </row>
    <row r="65" spans="1:3" ht="15.75" x14ac:dyDescent="0.25">
      <c r="A65" s="5" t="s">
        <v>89</v>
      </c>
      <c r="B65" s="9">
        <v>6.68</v>
      </c>
      <c r="C65" s="9">
        <v>1.26</v>
      </c>
    </row>
    <row r="66" spans="1:3" ht="15.75" x14ac:dyDescent="0.25">
      <c r="A66" s="5" t="s">
        <v>90</v>
      </c>
      <c r="B66" s="9">
        <v>4.67</v>
      </c>
      <c r="C66" s="9">
        <v>0.99</v>
      </c>
    </row>
    <row r="67" spans="1:3" ht="15.75" x14ac:dyDescent="0.25">
      <c r="A67" s="5" t="s">
        <v>91</v>
      </c>
      <c r="B67" s="9">
        <v>5.38</v>
      </c>
      <c r="C67" s="9">
        <v>1.03</v>
      </c>
    </row>
    <row r="68" spans="1:3" ht="15.75" x14ac:dyDescent="0.25">
      <c r="A68" s="5" t="s">
        <v>92</v>
      </c>
      <c r="B68" s="9">
        <v>6.9</v>
      </c>
      <c r="C68" s="9">
        <v>1.38</v>
      </c>
    </row>
    <row r="69" spans="1:3" ht="15.75" x14ac:dyDescent="0.25">
      <c r="A69" s="5" t="s">
        <v>93</v>
      </c>
      <c r="B69" s="9">
        <v>2.87</v>
      </c>
      <c r="C69" s="9">
        <v>0.95</v>
      </c>
    </row>
    <row r="70" spans="1:3" ht="15.75" x14ac:dyDescent="0.25">
      <c r="A70" s="5" t="s">
        <v>94</v>
      </c>
      <c r="B70" s="9">
        <v>3.09</v>
      </c>
      <c r="C70" s="9">
        <v>1.07</v>
      </c>
    </row>
    <row r="71" spans="1:3" ht="15.75" x14ac:dyDescent="0.25">
      <c r="A71" s="5" t="s">
        <v>95</v>
      </c>
      <c r="B71" s="9">
        <v>6.59</v>
      </c>
      <c r="C71" s="9">
        <v>1.4</v>
      </c>
    </row>
    <row r="72" spans="1:3" ht="15.75" x14ac:dyDescent="0.25">
      <c r="A72" s="5" t="s">
        <v>96</v>
      </c>
      <c r="B72" s="9">
        <v>5.96</v>
      </c>
      <c r="C72" s="9">
        <v>1.1599999999999999</v>
      </c>
    </row>
    <row r="73" spans="1:3" ht="15.75" x14ac:dyDescent="0.25">
      <c r="A73" s="5" t="s">
        <v>97</v>
      </c>
      <c r="B73" s="9">
        <v>5.54</v>
      </c>
      <c r="C73" s="9">
        <v>1.1200000000000001</v>
      </c>
    </row>
    <row r="74" spans="1:3" ht="15.75" x14ac:dyDescent="0.25">
      <c r="A74" s="5" t="s">
        <v>98</v>
      </c>
      <c r="B74" s="9">
        <v>6.15</v>
      </c>
      <c r="C74" s="9">
        <v>1.34</v>
      </c>
    </row>
    <row r="75" spans="1:3" ht="15.75" x14ac:dyDescent="0.25">
      <c r="A75" s="5" t="s">
        <v>99</v>
      </c>
      <c r="B75" s="9">
        <v>4.1399999999999997</v>
      </c>
      <c r="C75" s="9">
        <v>0.78</v>
      </c>
    </row>
    <row r="76" spans="1:3" ht="15.75" x14ac:dyDescent="0.25">
      <c r="A76" s="5" t="s">
        <v>100</v>
      </c>
      <c r="B76" s="9">
        <v>5.32</v>
      </c>
      <c r="C76" s="9">
        <v>1.05</v>
      </c>
    </row>
    <row r="77" spans="1:3" ht="15.75" x14ac:dyDescent="0.25">
      <c r="A77" s="5" t="s">
        <v>101</v>
      </c>
      <c r="B77" s="9">
        <v>7.8</v>
      </c>
      <c r="C77" s="9">
        <v>1.55</v>
      </c>
    </row>
    <row r="78" spans="1:3" ht="15.75" x14ac:dyDescent="0.25">
      <c r="A78" s="5" t="s">
        <v>102</v>
      </c>
      <c r="B78" s="9">
        <v>5.1100000000000003</v>
      </c>
      <c r="C78" s="9">
        <v>1.01</v>
      </c>
    </row>
    <row r="79" spans="1:3" ht="15.75" x14ac:dyDescent="0.25">
      <c r="A79" s="5" t="s">
        <v>103</v>
      </c>
      <c r="B79" s="9">
        <v>5.87</v>
      </c>
      <c r="C79" s="9">
        <v>1.1100000000000001</v>
      </c>
    </row>
    <row r="80" spans="1:3" ht="15.75" x14ac:dyDescent="0.25">
      <c r="A80" s="5" t="s">
        <v>104</v>
      </c>
      <c r="B80" s="9">
        <v>7.22</v>
      </c>
      <c r="C80" s="9">
        <v>1.28</v>
      </c>
    </row>
    <row r="81" spans="1:3" ht="15.75" x14ac:dyDescent="0.25">
      <c r="A81" s="5" t="s">
        <v>105</v>
      </c>
      <c r="B81" s="9">
        <v>3.03</v>
      </c>
      <c r="C81" s="9">
        <v>0.72</v>
      </c>
    </row>
    <row r="82" spans="1:3" ht="15.75" x14ac:dyDescent="0.25">
      <c r="A82" s="5" t="s">
        <v>106</v>
      </c>
      <c r="B82" s="9">
        <v>3.27</v>
      </c>
      <c r="C82" s="9">
        <v>0.79</v>
      </c>
    </row>
    <row r="83" spans="1:3" ht="15.75" x14ac:dyDescent="0.25">
      <c r="A83" s="5" t="s">
        <v>107</v>
      </c>
      <c r="B83" s="9">
        <v>7.13</v>
      </c>
      <c r="C83" s="9">
        <v>1.05</v>
      </c>
    </row>
    <row r="84" spans="1:3" ht="15.75" x14ac:dyDescent="0.25">
      <c r="A84" s="5" t="s">
        <v>108</v>
      </c>
      <c r="B84" s="9">
        <v>6.22</v>
      </c>
      <c r="C84" s="9">
        <v>1.01</v>
      </c>
    </row>
    <row r="85" spans="1:3" ht="15.75" x14ac:dyDescent="0.25">
      <c r="A85" s="5" t="s">
        <v>109</v>
      </c>
      <c r="B85" s="9">
        <v>5.72</v>
      </c>
      <c r="C85" s="9">
        <v>1.24</v>
      </c>
    </row>
    <row r="86" spans="1:3" ht="15.75" x14ac:dyDescent="0.25">
      <c r="A86" s="5" t="s">
        <v>110</v>
      </c>
      <c r="B86" s="9">
        <v>6.62</v>
      </c>
      <c r="C86" s="9">
        <v>1.49</v>
      </c>
    </row>
    <row r="87" spans="1:3" ht="15.75" x14ac:dyDescent="0.25">
      <c r="A87" s="5" t="s">
        <v>111</v>
      </c>
      <c r="B87" s="9">
        <v>4.5999999999999996</v>
      </c>
      <c r="C87" s="9">
        <v>0.91</v>
      </c>
    </row>
    <row r="88" spans="1:3" ht="15.75" x14ac:dyDescent="0.25">
      <c r="A88" s="5" t="s">
        <v>112</v>
      </c>
      <c r="B88" s="9">
        <v>5.8</v>
      </c>
      <c r="C88" s="9">
        <v>1.2</v>
      </c>
    </row>
    <row r="89" spans="1:3" ht="15.75" x14ac:dyDescent="0.25">
      <c r="A89" s="5" t="s">
        <v>113</v>
      </c>
      <c r="B89" s="9">
        <v>7.2</v>
      </c>
      <c r="C89" s="9">
        <v>1.51</v>
      </c>
    </row>
    <row r="90" spans="1:3" ht="15.75" x14ac:dyDescent="0.25">
      <c r="A90" s="5" t="s">
        <v>114</v>
      </c>
      <c r="B90" s="9">
        <v>5.05</v>
      </c>
      <c r="C90" s="9">
        <v>1.1200000000000001</v>
      </c>
    </row>
    <row r="91" spans="1:3" ht="15.75" x14ac:dyDescent="0.25">
      <c r="A91" s="5" t="s">
        <v>115</v>
      </c>
      <c r="B91" s="9">
        <v>5.9</v>
      </c>
      <c r="C91" s="9">
        <v>1.24</v>
      </c>
    </row>
    <row r="92" spans="1:3" ht="15.75" x14ac:dyDescent="0.25">
      <c r="A92" s="5" t="s">
        <v>116</v>
      </c>
      <c r="B92" s="9">
        <v>7.25</v>
      </c>
      <c r="C92" s="9">
        <v>1.49</v>
      </c>
    </row>
    <row r="93" spans="1:3" ht="15.75" x14ac:dyDescent="0.25">
      <c r="A93" s="5" t="s">
        <v>117</v>
      </c>
      <c r="B93" s="9">
        <v>3.11</v>
      </c>
      <c r="C93" s="9">
        <v>1.1299999999999999</v>
      </c>
    </row>
    <row r="94" spans="1:3" ht="15.75" x14ac:dyDescent="0.25">
      <c r="A94" s="5" t="s">
        <v>118</v>
      </c>
      <c r="B94" s="9">
        <v>3.27</v>
      </c>
      <c r="C94" s="9">
        <v>1.26</v>
      </c>
    </row>
    <row r="95" spans="1:3" ht="15.75" x14ac:dyDescent="0.25">
      <c r="A95" s="5" t="s">
        <v>119</v>
      </c>
      <c r="B95" s="9">
        <v>6.97</v>
      </c>
      <c r="C95" s="9">
        <v>1.54</v>
      </c>
    </row>
    <row r="96" spans="1:3" ht="15.75" x14ac:dyDescent="0.25">
      <c r="A96" s="5" t="s">
        <v>120</v>
      </c>
      <c r="B96" s="9">
        <v>6.17</v>
      </c>
      <c r="C96" s="9">
        <v>1.26</v>
      </c>
    </row>
    <row r="97" spans="1:8" ht="15.75" x14ac:dyDescent="0.25">
      <c r="A97" s="5" t="s">
        <v>121</v>
      </c>
      <c r="B97" s="9">
        <v>5.75</v>
      </c>
      <c r="C97" s="9">
        <v>1.33</v>
      </c>
    </row>
    <row r="98" spans="1:8" ht="15.75" x14ac:dyDescent="0.25">
      <c r="A98" s="5" t="s">
        <v>122</v>
      </c>
      <c r="B98" s="9">
        <v>6.79</v>
      </c>
      <c r="C98" s="9">
        <v>1.65</v>
      </c>
    </row>
    <row r="99" spans="1:8" ht="15.75" x14ac:dyDescent="0.25">
      <c r="A99" s="5" t="s">
        <v>123</v>
      </c>
      <c r="B99" s="9">
        <v>4.87</v>
      </c>
      <c r="C99" s="9">
        <v>1.05</v>
      </c>
    </row>
    <row r="100" spans="1:8" ht="15.75" x14ac:dyDescent="0.25">
      <c r="A100" s="5" t="s">
        <v>124</v>
      </c>
      <c r="B100" s="9">
        <v>5.77</v>
      </c>
      <c r="C100" s="9">
        <v>1.2</v>
      </c>
    </row>
    <row r="101" spans="1:8" ht="15.75" x14ac:dyDescent="0.25">
      <c r="A101" s="13" t="s">
        <v>125</v>
      </c>
      <c r="B101" s="12">
        <v>7.26</v>
      </c>
      <c r="C101" s="12">
        <v>1.59</v>
      </c>
    </row>
    <row r="103" spans="1:8" ht="15.75" x14ac:dyDescent="0.25">
      <c r="A103" s="5" t="s">
        <v>126</v>
      </c>
    </row>
    <row r="104" spans="1:8" ht="15.75" x14ac:dyDescent="0.25">
      <c r="A104" s="8" t="s">
        <v>29</v>
      </c>
      <c r="B104" s="7" t="s">
        <v>30</v>
      </c>
      <c r="C104" s="7" t="s">
        <v>31</v>
      </c>
      <c r="D104" s="7" t="s">
        <v>32</v>
      </c>
      <c r="E104" s="7" t="s">
        <v>33</v>
      </c>
      <c r="F104" s="7" t="s">
        <v>34</v>
      </c>
      <c r="G104" s="7" t="s">
        <v>35</v>
      </c>
      <c r="H104" s="7" t="s">
        <v>36</v>
      </c>
    </row>
    <row r="105" spans="1:8" ht="15.75" x14ac:dyDescent="0.25">
      <c r="A105" s="5" t="s">
        <v>127</v>
      </c>
      <c r="B105" s="9">
        <v>37.9</v>
      </c>
      <c r="C105" s="9">
        <v>12.2</v>
      </c>
      <c r="D105" s="9">
        <v>29.6</v>
      </c>
      <c r="E105" s="9">
        <v>34.1</v>
      </c>
      <c r="F105" s="9">
        <v>35.299999999999997</v>
      </c>
      <c r="G105" s="9">
        <v>38</v>
      </c>
      <c r="H105" s="9">
        <v>38.4</v>
      </c>
    </row>
    <row r="106" spans="1:8" ht="15.75" x14ac:dyDescent="0.25">
      <c r="A106" s="5" t="s">
        <v>128</v>
      </c>
      <c r="B106" s="9">
        <v>22.9</v>
      </c>
      <c r="C106" s="9">
        <v>7.5</v>
      </c>
      <c r="D106" s="9">
        <v>15.3</v>
      </c>
      <c r="E106" s="9">
        <v>19.5</v>
      </c>
      <c r="F106" s="9">
        <v>21.4</v>
      </c>
      <c r="G106" s="9">
        <v>21.6</v>
      </c>
      <c r="H106" s="9">
        <v>21.9</v>
      </c>
    </row>
    <row r="107" spans="1:8" ht="15.75" x14ac:dyDescent="0.25">
      <c r="A107" s="5" t="s">
        <v>129</v>
      </c>
      <c r="B107" s="9">
        <v>7.5</v>
      </c>
      <c r="C107" s="9">
        <v>2.7</v>
      </c>
      <c r="D107" s="9">
        <v>5.6</v>
      </c>
      <c r="E107" s="9">
        <v>7</v>
      </c>
      <c r="F107" s="9">
        <v>7.7</v>
      </c>
      <c r="G107" s="9">
        <v>8.1999999999999993</v>
      </c>
      <c r="H107" s="9">
        <v>7.9</v>
      </c>
    </row>
    <row r="108" spans="1:8" ht="15.75" x14ac:dyDescent="0.25">
      <c r="A108" s="11" t="s">
        <v>39</v>
      </c>
      <c r="B108" s="10">
        <v>68.3</v>
      </c>
      <c r="C108" s="10">
        <v>22.4</v>
      </c>
      <c r="D108" s="10">
        <v>50.5</v>
      </c>
      <c r="E108" s="10">
        <v>60.6</v>
      </c>
      <c r="F108" s="10">
        <v>64.400000000000006</v>
      </c>
      <c r="G108" s="10">
        <v>67.8</v>
      </c>
      <c r="H108" s="10">
        <v>68.099999999999994</v>
      </c>
    </row>
    <row r="110" spans="1:8" ht="15.75" x14ac:dyDescent="0.25">
      <c r="A110" s="5" t="s">
        <v>130</v>
      </c>
    </row>
    <row r="111" spans="1:8" ht="15.75" x14ac:dyDescent="0.25">
      <c r="A111" s="8" t="s">
        <v>29</v>
      </c>
      <c r="B111" s="7" t="s">
        <v>30</v>
      </c>
      <c r="C111" s="7" t="s">
        <v>31</v>
      </c>
      <c r="D111" s="7" t="s">
        <v>32</v>
      </c>
      <c r="E111" s="7" t="s">
        <v>33</v>
      </c>
      <c r="F111" s="7" t="s">
        <v>34</v>
      </c>
      <c r="G111" s="7" t="s">
        <v>35</v>
      </c>
      <c r="H111" s="7" t="s">
        <v>36</v>
      </c>
    </row>
    <row r="112" spans="1:8" ht="15.75" x14ac:dyDescent="0.25">
      <c r="A112" s="5" t="s">
        <v>131</v>
      </c>
      <c r="B112" s="14">
        <v>14.3</v>
      </c>
      <c r="C112" s="14">
        <v>3.2</v>
      </c>
      <c r="D112" s="14">
        <v>8.1999999999999993</v>
      </c>
      <c r="E112" s="14">
        <v>11.8</v>
      </c>
      <c r="F112" s="14">
        <v>12.7</v>
      </c>
      <c r="G112" s="14">
        <v>12.1</v>
      </c>
      <c r="H112" s="14">
        <v>14.2</v>
      </c>
    </row>
    <row r="113" spans="1:8" ht="15.75" x14ac:dyDescent="0.25">
      <c r="A113" s="5" t="s">
        <v>132</v>
      </c>
      <c r="B113" s="14">
        <v>0.8</v>
      </c>
      <c r="C113" s="14">
        <v>0.1</v>
      </c>
      <c r="D113" s="14">
        <v>0.6</v>
      </c>
      <c r="E113" s="14">
        <v>1.1000000000000001</v>
      </c>
      <c r="F113" s="14">
        <v>1.2</v>
      </c>
      <c r="G113" s="14">
        <v>1.2</v>
      </c>
      <c r="H113" s="14">
        <v>1.7</v>
      </c>
    </row>
    <row r="114" spans="1:8" ht="15.75" x14ac:dyDescent="0.25">
      <c r="A114" s="11" t="s">
        <v>39</v>
      </c>
      <c r="B114" s="15">
        <v>15.1</v>
      </c>
      <c r="C114" s="15">
        <v>3.3</v>
      </c>
      <c r="D114" s="15">
        <v>8.6999999999999993</v>
      </c>
      <c r="E114" s="15">
        <v>12.9</v>
      </c>
      <c r="F114" s="15">
        <v>13.8</v>
      </c>
      <c r="G114" s="15">
        <v>13.3</v>
      </c>
      <c r="H114" s="15">
        <v>15.9</v>
      </c>
    </row>
    <row r="116" spans="1:8" ht="15.75" x14ac:dyDescent="0.25">
      <c r="A116" s="5" t="s">
        <v>133</v>
      </c>
    </row>
    <row r="117" spans="1:8" x14ac:dyDescent="0.2">
      <c r="A117" t="s">
        <v>134</v>
      </c>
    </row>
    <row r="118" spans="1:8" ht="15.75" x14ac:dyDescent="0.25">
      <c r="A118" s="8" t="s">
        <v>29</v>
      </c>
      <c r="B118" s="7" t="s">
        <v>30</v>
      </c>
      <c r="C118" s="7" t="s">
        <v>31</v>
      </c>
      <c r="D118" s="7" t="s">
        <v>32</v>
      </c>
      <c r="E118" s="7" t="s">
        <v>33</v>
      </c>
      <c r="F118" s="7" t="s">
        <v>34</v>
      </c>
      <c r="G118" s="7" t="s">
        <v>35</v>
      </c>
      <c r="H118" s="7" t="s">
        <v>36</v>
      </c>
    </row>
    <row r="119" spans="1:8" ht="15.75" x14ac:dyDescent="0.25">
      <c r="A119" s="5" t="s">
        <v>127</v>
      </c>
      <c r="B119" s="14">
        <v>89.7</v>
      </c>
      <c r="C119" s="14">
        <v>51</v>
      </c>
      <c r="D119" s="14">
        <v>68.3</v>
      </c>
      <c r="E119" s="14">
        <v>84</v>
      </c>
      <c r="F119" s="14">
        <v>91.1</v>
      </c>
      <c r="G119" s="14">
        <v>100.5</v>
      </c>
      <c r="H119" s="14">
        <v>103.5</v>
      </c>
    </row>
    <row r="120" spans="1:8" ht="15.75" x14ac:dyDescent="0.25">
      <c r="A120" s="5" t="s">
        <v>135</v>
      </c>
      <c r="B120" s="14">
        <v>40.299999999999997</v>
      </c>
      <c r="C120" s="14">
        <v>15.2</v>
      </c>
      <c r="D120" s="14">
        <v>28.3</v>
      </c>
      <c r="E120" s="14">
        <v>38.4</v>
      </c>
      <c r="F120" s="14">
        <v>44.8</v>
      </c>
      <c r="G120" s="14">
        <v>49.6</v>
      </c>
      <c r="H120" s="14">
        <v>49</v>
      </c>
    </row>
    <row r="121" spans="1:8" ht="15.75" x14ac:dyDescent="0.25">
      <c r="A121" s="5" t="s">
        <v>38</v>
      </c>
      <c r="B121" s="14">
        <v>51.2</v>
      </c>
      <c r="C121" s="14">
        <v>12.3</v>
      </c>
      <c r="D121" s="14">
        <v>31.7</v>
      </c>
      <c r="E121" s="14">
        <v>49.5</v>
      </c>
      <c r="F121" s="14">
        <v>56.4</v>
      </c>
      <c r="G121" s="14">
        <v>61</v>
      </c>
      <c r="H121" s="14">
        <v>72.900000000000006</v>
      </c>
    </row>
    <row r="122" spans="1:8" ht="15.75" x14ac:dyDescent="0.25">
      <c r="A122" s="13" t="s">
        <v>39</v>
      </c>
      <c r="B122" s="16">
        <v>181.1</v>
      </c>
      <c r="C122" s="16">
        <v>78.5</v>
      </c>
      <c r="D122" s="16">
        <v>128.30000000000001</v>
      </c>
      <c r="E122" s="16">
        <v>171.9</v>
      </c>
      <c r="F122" s="16">
        <v>192.2</v>
      </c>
      <c r="G122" s="16">
        <v>211.1</v>
      </c>
      <c r="H122" s="16">
        <v>225.4</v>
      </c>
    </row>
    <row r="124" spans="1:8" ht="15.75" x14ac:dyDescent="0.25">
      <c r="A124" s="5" t="s">
        <v>136</v>
      </c>
    </row>
    <row r="125" spans="1:8" x14ac:dyDescent="0.2">
      <c r="A125" t="s">
        <v>137</v>
      </c>
    </row>
    <row r="126" spans="1:8" ht="16.5" thickBot="1" x14ac:dyDescent="0.3">
      <c r="A126" s="31" t="s">
        <v>29</v>
      </c>
      <c r="B126" s="32" t="s">
        <v>30</v>
      </c>
      <c r="C126" s="32" t="s">
        <v>31</v>
      </c>
      <c r="D126" s="32" t="s">
        <v>32</v>
      </c>
      <c r="E126" s="32" t="s">
        <v>33</v>
      </c>
      <c r="F126" s="32" t="s">
        <v>34</v>
      </c>
      <c r="G126" s="32" t="s">
        <v>35</v>
      </c>
      <c r="H126" s="32" t="s">
        <v>36</v>
      </c>
    </row>
    <row r="127" spans="1:8" ht="16.5" thickBot="1" x14ac:dyDescent="0.3">
      <c r="A127" s="13" t="s">
        <v>38</v>
      </c>
      <c r="B127" s="12">
        <v>299.89999999999998</v>
      </c>
      <c r="C127" s="12">
        <v>54.1</v>
      </c>
      <c r="D127" s="12">
        <v>158.6</v>
      </c>
      <c r="E127" s="12">
        <v>257.8</v>
      </c>
      <c r="F127" s="12">
        <v>279</v>
      </c>
      <c r="G127" s="12">
        <v>270.39999999999998</v>
      </c>
      <c r="H127" s="12">
        <v>324.7</v>
      </c>
    </row>
    <row r="129" spans="1:8" ht="15.75" x14ac:dyDescent="0.25">
      <c r="A129" s="5" t="s">
        <v>138</v>
      </c>
    </row>
    <row r="130" spans="1:8" x14ac:dyDescent="0.2">
      <c r="A130" t="s">
        <v>139</v>
      </c>
    </row>
    <row r="131" spans="1:8" x14ac:dyDescent="0.2">
      <c r="A131" t="s">
        <v>140</v>
      </c>
    </row>
    <row r="132" spans="1:8" x14ac:dyDescent="0.2">
      <c r="A132" t="s">
        <v>141</v>
      </c>
    </row>
    <row r="133" spans="1:8" x14ac:dyDescent="0.2">
      <c r="A133" t="s">
        <v>134</v>
      </c>
    </row>
    <row r="134" spans="1:8" ht="15.75" x14ac:dyDescent="0.25">
      <c r="A134" s="8" t="s">
        <v>142</v>
      </c>
      <c r="B134" s="7" t="s">
        <v>30</v>
      </c>
      <c r="C134" s="7" t="s">
        <v>31</v>
      </c>
      <c r="D134" s="7" t="s">
        <v>32</v>
      </c>
      <c r="E134" s="7" t="s">
        <v>33</v>
      </c>
      <c r="F134" s="7" t="s">
        <v>34</v>
      </c>
      <c r="G134" s="7" t="s">
        <v>35</v>
      </c>
      <c r="H134" s="7" t="s">
        <v>36</v>
      </c>
    </row>
    <row r="135" spans="1:8" ht="15.75" x14ac:dyDescent="0.25">
      <c r="A135" s="5" t="s">
        <v>143</v>
      </c>
      <c r="B135" s="9">
        <v>37.46</v>
      </c>
      <c r="C135" s="9">
        <v>10.94</v>
      </c>
      <c r="D135" s="9">
        <v>23.41</v>
      </c>
      <c r="E135" s="9">
        <v>31.09</v>
      </c>
      <c r="F135" s="9">
        <v>34.840000000000003</v>
      </c>
      <c r="G135" s="9">
        <v>36.479999999999997</v>
      </c>
      <c r="H135" s="9">
        <v>36.308</v>
      </c>
    </row>
    <row r="136" spans="1:8" ht="15.75" x14ac:dyDescent="0.25">
      <c r="A136" s="5" t="s">
        <v>144</v>
      </c>
      <c r="B136" s="9">
        <v>10.858946</v>
      </c>
      <c r="C136" s="9">
        <v>3.4960420000000001</v>
      </c>
      <c r="D136" s="9">
        <v>6.1813289999999999</v>
      </c>
      <c r="E136" s="9">
        <v>7.8242940000000001</v>
      </c>
      <c r="F136" s="9">
        <v>8.6425800000000006</v>
      </c>
      <c r="G136" s="9">
        <v>8.9589999999999996</v>
      </c>
      <c r="H136" s="9">
        <v>9.1310000000000002</v>
      </c>
    </row>
    <row r="137" spans="1:8" ht="15.75" x14ac:dyDescent="0.25">
      <c r="A137" s="5" t="s">
        <v>145</v>
      </c>
      <c r="B137" s="9">
        <v>19.951091000000002</v>
      </c>
      <c r="C137" s="9">
        <v>7.9035529999999996</v>
      </c>
      <c r="D137" s="9">
        <v>20.947671</v>
      </c>
      <c r="E137" s="9">
        <v>21.664566000000001</v>
      </c>
      <c r="F137" s="9">
        <v>20.939135</v>
      </c>
      <c r="G137" s="9">
        <v>22.34</v>
      </c>
      <c r="H137" s="9">
        <v>22.704999999999998</v>
      </c>
    </row>
    <row r="138" spans="1:8" ht="15.75" x14ac:dyDescent="0.25">
      <c r="A138" s="13" t="s">
        <v>39</v>
      </c>
      <c r="B138" s="12">
        <v>68.270037000000002</v>
      </c>
      <c r="C138" s="12">
        <v>22.339594999999999</v>
      </c>
      <c r="D138" s="12">
        <v>50.539000000000001</v>
      </c>
      <c r="E138" s="12">
        <v>60.578859999999999</v>
      </c>
      <c r="F138" s="12">
        <v>64.421715000000006</v>
      </c>
      <c r="G138" s="12">
        <v>67.778999999999996</v>
      </c>
      <c r="H138" s="12">
        <v>68.144000000000005</v>
      </c>
    </row>
    <row r="140" spans="1:8" ht="15.75" x14ac:dyDescent="0.25">
      <c r="A140" s="5" t="s">
        <v>146</v>
      </c>
    </row>
    <row r="141" spans="1:8" ht="15.75" x14ac:dyDescent="0.25">
      <c r="A141" s="8" t="s">
        <v>142</v>
      </c>
      <c r="B141" s="7" t="s">
        <v>30</v>
      </c>
      <c r="C141" s="7" t="s">
        <v>31</v>
      </c>
      <c r="D141" s="7" t="s">
        <v>32</v>
      </c>
      <c r="E141" s="7" t="s">
        <v>33</v>
      </c>
      <c r="F141" s="7" t="s">
        <v>34</v>
      </c>
      <c r="G141" s="7" t="s">
        <v>35</v>
      </c>
      <c r="H141" s="7" t="s">
        <v>36</v>
      </c>
    </row>
    <row r="142" spans="1:8" ht="15.75" x14ac:dyDescent="0.25">
      <c r="A142" s="5" t="s">
        <v>143</v>
      </c>
      <c r="B142" s="9">
        <v>11.99</v>
      </c>
      <c r="C142" s="9">
        <v>2.54</v>
      </c>
      <c r="D142" s="9">
        <v>6.7320000000000002</v>
      </c>
      <c r="E142" s="9">
        <v>10.092000000000001</v>
      </c>
      <c r="F142" s="9">
        <v>10.808999999999999</v>
      </c>
      <c r="G142" s="9">
        <v>10.24</v>
      </c>
      <c r="H142" s="9">
        <v>12.247</v>
      </c>
    </row>
    <row r="143" spans="1:8" ht="15.75" x14ac:dyDescent="0.25">
      <c r="A143" s="5" t="s">
        <v>144</v>
      </c>
      <c r="B143" s="9">
        <v>2.38</v>
      </c>
      <c r="C143" s="9">
        <v>0.504</v>
      </c>
      <c r="D143" s="9">
        <v>1.2969999999999999</v>
      </c>
      <c r="E143" s="9">
        <v>2.0089999999999999</v>
      </c>
      <c r="F143" s="9">
        <v>2.2040000000000002</v>
      </c>
      <c r="G143" s="9">
        <v>2.19</v>
      </c>
      <c r="H143" s="9">
        <v>2.6989999999999998</v>
      </c>
    </row>
    <row r="144" spans="1:8" ht="15.75" x14ac:dyDescent="0.25">
      <c r="A144" s="5" t="s">
        <v>145</v>
      </c>
      <c r="B144" s="9">
        <v>0.74</v>
      </c>
      <c r="C144" s="9">
        <v>0.27900000000000003</v>
      </c>
      <c r="D144" s="9">
        <v>0.71799999999999997</v>
      </c>
      <c r="E144" s="9">
        <v>0.79100000000000004</v>
      </c>
      <c r="F144" s="9">
        <v>0.80800000000000005</v>
      </c>
      <c r="G144" s="9">
        <v>0.87</v>
      </c>
      <c r="H144" s="9">
        <v>0.90800000000000003</v>
      </c>
    </row>
    <row r="145" spans="1:8" ht="15.75" x14ac:dyDescent="0.25">
      <c r="A145" s="13" t="s">
        <v>39</v>
      </c>
      <c r="B145" s="12">
        <v>15.11</v>
      </c>
      <c r="C145" s="12">
        <v>3.323</v>
      </c>
      <c r="D145" s="12">
        <v>8.7469999999999999</v>
      </c>
      <c r="E145" s="12">
        <v>12.891999999999999</v>
      </c>
      <c r="F145" s="12">
        <v>13.821</v>
      </c>
      <c r="G145" s="12">
        <v>13.3</v>
      </c>
      <c r="H145" s="12">
        <v>15.853999999999999</v>
      </c>
    </row>
    <row r="147" spans="1:8" ht="15.75" x14ac:dyDescent="0.25">
      <c r="A147" s="5" t="s">
        <v>147</v>
      </c>
    </row>
    <row r="148" spans="1:8" ht="15.75" x14ac:dyDescent="0.25">
      <c r="A148" s="8" t="s">
        <v>142</v>
      </c>
      <c r="B148" s="7" t="s">
        <v>30</v>
      </c>
      <c r="C148" s="7" t="s">
        <v>31</v>
      </c>
      <c r="D148" s="7" t="s">
        <v>32</v>
      </c>
      <c r="E148" s="7" t="s">
        <v>33</v>
      </c>
      <c r="F148" s="7" t="s">
        <v>34</v>
      </c>
      <c r="G148" s="7" t="s">
        <v>35</v>
      </c>
      <c r="H148" s="7" t="s">
        <v>36</v>
      </c>
    </row>
    <row r="149" spans="1:8" ht="15.75" x14ac:dyDescent="0.25">
      <c r="A149" s="5" t="s">
        <v>128</v>
      </c>
      <c r="B149" s="9">
        <v>17.14</v>
      </c>
      <c r="C149" s="9">
        <v>5.33</v>
      </c>
      <c r="D149" s="9">
        <v>11.24</v>
      </c>
      <c r="E149" s="9">
        <v>14.83</v>
      </c>
      <c r="F149" s="9">
        <v>16.64</v>
      </c>
      <c r="G149" s="9">
        <v>16.739999999999998</v>
      </c>
      <c r="H149" s="9">
        <v>16.97</v>
      </c>
    </row>
    <row r="150" spans="1:8" ht="15.75" x14ac:dyDescent="0.25">
      <c r="A150" s="5" t="s">
        <v>129</v>
      </c>
      <c r="B150" s="9">
        <v>5.78</v>
      </c>
      <c r="C150" s="9">
        <v>2.0699999999999998</v>
      </c>
      <c r="D150" s="9">
        <v>4.24</v>
      </c>
      <c r="E150" s="9">
        <v>5.39</v>
      </c>
      <c r="F150" s="9">
        <v>6.05</v>
      </c>
      <c r="G150" s="9">
        <v>6.49</v>
      </c>
      <c r="H150" s="9">
        <v>6.13</v>
      </c>
    </row>
    <row r="151" spans="1:8" ht="15.75" x14ac:dyDescent="0.25">
      <c r="A151" s="5" t="s">
        <v>127</v>
      </c>
      <c r="B151" s="9">
        <v>14.54</v>
      </c>
      <c r="C151" s="9">
        <v>3.53</v>
      </c>
      <c r="D151" s="9">
        <v>7.93</v>
      </c>
      <c r="E151" s="9">
        <v>10.88</v>
      </c>
      <c r="F151" s="9">
        <v>12.14</v>
      </c>
      <c r="G151" s="9">
        <v>13.25</v>
      </c>
      <c r="H151" s="9">
        <v>13.21</v>
      </c>
    </row>
    <row r="152" spans="1:8" ht="15.75" x14ac:dyDescent="0.25">
      <c r="A152" s="13" t="s">
        <v>239</v>
      </c>
      <c r="B152" s="12">
        <v>37.46</v>
      </c>
      <c r="C152" s="12">
        <v>10.94</v>
      </c>
      <c r="D152" s="12">
        <v>23.41</v>
      </c>
      <c r="E152" s="12">
        <v>31.09</v>
      </c>
      <c r="F152" s="12">
        <v>34.840000000000003</v>
      </c>
      <c r="G152" s="12">
        <v>36.479999999999997</v>
      </c>
      <c r="H152" s="12">
        <v>36.31</v>
      </c>
    </row>
    <row r="154" spans="1:8" ht="15.75" x14ac:dyDescent="0.25">
      <c r="A154" s="5" t="s">
        <v>148</v>
      </c>
    </row>
    <row r="155" spans="1:8" x14ac:dyDescent="0.2">
      <c r="A155" t="s">
        <v>149</v>
      </c>
    </row>
    <row r="156" spans="1:8" x14ac:dyDescent="0.2">
      <c r="A156" t="s">
        <v>150</v>
      </c>
    </row>
    <row r="157" spans="1:8" x14ac:dyDescent="0.2">
      <c r="A157" t="s">
        <v>151</v>
      </c>
    </row>
    <row r="158" spans="1:8" ht="15.75" x14ac:dyDescent="0.25">
      <c r="A158" s="8" t="s">
        <v>142</v>
      </c>
      <c r="B158" s="7" t="s">
        <v>30</v>
      </c>
      <c r="C158" s="7" t="s">
        <v>31</v>
      </c>
      <c r="D158" s="7" t="s">
        <v>32</v>
      </c>
      <c r="E158" s="7" t="s">
        <v>33</v>
      </c>
      <c r="F158" s="7" t="s">
        <v>34</v>
      </c>
      <c r="G158" s="7" t="s">
        <v>35</v>
      </c>
      <c r="H158" s="7" t="s">
        <v>36</v>
      </c>
    </row>
    <row r="159" spans="1:8" ht="15.75" x14ac:dyDescent="0.25">
      <c r="A159" s="5" t="s">
        <v>152</v>
      </c>
      <c r="B159" s="17">
        <v>0.42</v>
      </c>
      <c r="C159" s="17">
        <v>0.5</v>
      </c>
      <c r="D159" s="17">
        <v>0.53</v>
      </c>
      <c r="E159" s="17">
        <v>0.59</v>
      </c>
      <c r="F159" s="17">
        <v>0.64</v>
      </c>
      <c r="G159" s="17">
        <v>0.69</v>
      </c>
      <c r="H159" s="17">
        <v>0.75</v>
      </c>
    </row>
    <row r="160" spans="1:8" ht="15.75" x14ac:dyDescent="0.25">
      <c r="A160" s="5" t="s">
        <v>153</v>
      </c>
      <c r="B160" s="17">
        <v>0.57999999999999996</v>
      </c>
      <c r="C160" s="17">
        <v>0.5</v>
      </c>
      <c r="D160" s="17">
        <v>0.47</v>
      </c>
      <c r="E160" s="17">
        <v>0.41</v>
      </c>
      <c r="F160" s="17">
        <v>0.36</v>
      </c>
      <c r="G160" s="17">
        <v>0.31</v>
      </c>
      <c r="H160" s="17">
        <v>0.25</v>
      </c>
    </row>
    <row r="161" spans="1:8" ht="15.75" x14ac:dyDescent="0.25">
      <c r="A161" s="13" t="s">
        <v>39</v>
      </c>
      <c r="B161" s="18">
        <v>1</v>
      </c>
      <c r="C161" s="18">
        <v>1</v>
      </c>
      <c r="D161" s="18">
        <v>1</v>
      </c>
      <c r="E161" s="18">
        <v>1</v>
      </c>
      <c r="F161" s="18">
        <v>1</v>
      </c>
      <c r="G161" s="18">
        <v>1</v>
      </c>
      <c r="H161" s="18">
        <v>1</v>
      </c>
    </row>
    <row r="163" spans="1:8" ht="15.75" x14ac:dyDescent="0.25">
      <c r="A163" s="5" t="s">
        <v>154</v>
      </c>
    </row>
    <row r="164" spans="1:8" ht="15.75" x14ac:dyDescent="0.25">
      <c r="A164" s="8" t="s">
        <v>142</v>
      </c>
      <c r="B164" s="7" t="s">
        <v>30</v>
      </c>
      <c r="C164" s="7" t="s">
        <v>31</v>
      </c>
      <c r="D164" s="7" t="s">
        <v>32</v>
      </c>
      <c r="E164" s="7" t="s">
        <v>33</v>
      </c>
      <c r="F164" s="7" t="s">
        <v>34</v>
      </c>
      <c r="G164" s="7" t="s">
        <v>35</v>
      </c>
      <c r="H164" s="7" t="s">
        <v>36</v>
      </c>
    </row>
    <row r="165" spans="1:8" ht="15.75" x14ac:dyDescent="0.25">
      <c r="A165" s="5" t="s">
        <v>152</v>
      </c>
      <c r="B165" s="17">
        <v>0.38</v>
      </c>
      <c r="C165" s="17">
        <v>0.34</v>
      </c>
      <c r="D165" s="17">
        <v>0.39</v>
      </c>
      <c r="E165" s="17">
        <v>0.47</v>
      </c>
      <c r="F165" s="17">
        <v>0.53</v>
      </c>
      <c r="G165" s="17">
        <v>0.61</v>
      </c>
      <c r="H165" s="17">
        <v>0.74</v>
      </c>
    </row>
    <row r="166" spans="1:8" ht="15.75" x14ac:dyDescent="0.25">
      <c r="A166" s="5" t="s">
        <v>153</v>
      </c>
      <c r="B166" s="17">
        <v>0.62</v>
      </c>
      <c r="C166" s="17">
        <v>0.66</v>
      </c>
      <c r="D166" s="17">
        <v>0.61</v>
      </c>
      <c r="E166" s="17">
        <v>0.53</v>
      </c>
      <c r="F166" s="17">
        <v>0.47</v>
      </c>
      <c r="G166" s="17">
        <v>0.39</v>
      </c>
      <c r="H166" s="17">
        <v>0.26</v>
      </c>
    </row>
    <row r="167" spans="1:8" ht="15.75" x14ac:dyDescent="0.25">
      <c r="A167" s="13" t="s">
        <v>39</v>
      </c>
      <c r="B167" s="18">
        <v>1</v>
      </c>
      <c r="C167" s="18">
        <v>1</v>
      </c>
      <c r="D167" s="18">
        <v>1</v>
      </c>
      <c r="E167" s="18">
        <v>1</v>
      </c>
      <c r="F167" s="18">
        <v>1</v>
      </c>
      <c r="G167" s="18">
        <v>1</v>
      </c>
      <c r="H167" s="18">
        <v>1</v>
      </c>
    </row>
  </sheetData>
  <hyperlinks>
    <hyperlink ref="A6" r:id="rId1" xr:uid="{00000000-0004-0000-0200-000000000000}"/>
  </hyperlinks>
  <pageMargins left="0.7" right="0.7" top="0.75" bottom="0.75" header="0.3" footer="0.3"/>
  <pageSetup paperSize="9" orientation="portrait" horizontalDpi="300" verticalDpi="300"/>
  <tableParts count="11">
    <tablePart r:id="rId2"/>
    <tablePart r:id="rId3"/>
    <tablePart r:id="rId4"/>
    <tablePart r:id="rId5"/>
    <tablePart r:id="rId6"/>
    <tablePart r:id="rId7"/>
    <tablePart r:id="rId8"/>
    <tablePart r:id="rId9"/>
    <tablePart r:id="rId10"/>
    <tablePart r:id="rId11"/>
    <tablePart r:id="rId1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27"/>
  <sheetViews>
    <sheetView workbookViewId="0"/>
  </sheetViews>
  <sheetFormatPr defaultColWidth="11.5546875" defaultRowHeight="15" x14ac:dyDescent="0.2"/>
  <cols>
    <col min="1" max="1" width="27.6640625" customWidth="1"/>
    <col min="2" max="8" width="12.6640625" customWidth="1"/>
  </cols>
  <sheetData>
    <row r="1" spans="1:8" ht="30" customHeight="1" x14ac:dyDescent="0.3">
      <c r="A1" s="1" t="s">
        <v>155</v>
      </c>
    </row>
    <row r="2" spans="1:8" x14ac:dyDescent="0.2">
      <c r="A2" t="s">
        <v>156</v>
      </c>
    </row>
    <row r="3" spans="1:8" ht="30" customHeight="1" x14ac:dyDescent="0.25">
      <c r="A3" s="5" t="s">
        <v>158</v>
      </c>
    </row>
    <row r="4" spans="1:8" x14ac:dyDescent="0.2">
      <c r="A4" t="s">
        <v>159</v>
      </c>
    </row>
    <row r="5" spans="1:8" x14ac:dyDescent="0.2">
      <c r="A5" t="s">
        <v>160</v>
      </c>
    </row>
    <row r="6" spans="1:8" x14ac:dyDescent="0.2">
      <c r="A6" t="s">
        <v>161</v>
      </c>
    </row>
    <row r="7" spans="1:8" ht="15.75" x14ac:dyDescent="0.25">
      <c r="A7" s="8" t="s">
        <v>29</v>
      </c>
      <c r="B7" s="7" t="s">
        <v>162</v>
      </c>
      <c r="C7" s="7" t="s">
        <v>163</v>
      </c>
      <c r="D7" s="7" t="s">
        <v>164</v>
      </c>
      <c r="E7" s="7" t="s">
        <v>165</v>
      </c>
      <c r="F7" s="7" t="s">
        <v>166</v>
      </c>
      <c r="G7" s="7" t="s">
        <v>167</v>
      </c>
      <c r="H7" s="7" t="s">
        <v>168</v>
      </c>
    </row>
    <row r="8" spans="1:8" ht="15.75" x14ac:dyDescent="0.25">
      <c r="A8" s="5" t="s">
        <v>127</v>
      </c>
      <c r="B8" s="19">
        <v>1065</v>
      </c>
      <c r="C8" s="19">
        <v>1056</v>
      </c>
      <c r="D8" s="19">
        <v>1064</v>
      </c>
      <c r="E8" s="19">
        <v>1058</v>
      </c>
      <c r="F8" s="19">
        <v>1070</v>
      </c>
      <c r="G8" s="19">
        <v>1083</v>
      </c>
      <c r="H8" s="19">
        <v>1078</v>
      </c>
    </row>
    <row r="9" spans="1:8" ht="15.75" x14ac:dyDescent="0.25">
      <c r="A9" s="5" t="s">
        <v>128</v>
      </c>
      <c r="B9" s="19">
        <v>258</v>
      </c>
      <c r="C9" s="19">
        <v>260</v>
      </c>
      <c r="D9" s="19">
        <v>262</v>
      </c>
      <c r="E9" s="19">
        <v>281</v>
      </c>
      <c r="F9" s="19">
        <v>288</v>
      </c>
      <c r="G9" s="19">
        <v>303</v>
      </c>
      <c r="H9" s="19">
        <v>304</v>
      </c>
    </row>
    <row r="10" spans="1:8" ht="15.75" x14ac:dyDescent="0.25">
      <c r="A10" s="5" t="s">
        <v>129</v>
      </c>
      <c r="B10" s="19">
        <v>32</v>
      </c>
      <c r="C10" s="19">
        <v>32</v>
      </c>
      <c r="D10" s="19">
        <v>34</v>
      </c>
      <c r="E10" s="19">
        <v>34</v>
      </c>
      <c r="F10" s="19">
        <v>34</v>
      </c>
      <c r="G10" s="19">
        <v>34</v>
      </c>
      <c r="H10" s="19">
        <v>34</v>
      </c>
    </row>
    <row r="11" spans="1:8" ht="15.75" x14ac:dyDescent="0.25">
      <c r="A11" s="13" t="s">
        <v>169</v>
      </c>
      <c r="B11" s="20">
        <v>143</v>
      </c>
      <c r="C11" s="20">
        <v>143</v>
      </c>
      <c r="D11" s="20">
        <v>143</v>
      </c>
      <c r="E11" s="20">
        <v>164</v>
      </c>
      <c r="F11" s="20">
        <v>164</v>
      </c>
      <c r="G11" s="20">
        <v>164</v>
      </c>
      <c r="H11" s="20">
        <v>164</v>
      </c>
    </row>
    <row r="13" spans="1:8" ht="15.75" x14ac:dyDescent="0.25">
      <c r="A13" s="5" t="s">
        <v>170</v>
      </c>
    </row>
    <row r="14" spans="1:8" x14ac:dyDescent="0.2">
      <c r="A14" t="s">
        <v>171</v>
      </c>
    </row>
    <row r="15" spans="1:8" x14ac:dyDescent="0.2">
      <c r="A15" t="s">
        <v>172</v>
      </c>
    </row>
    <row r="16" spans="1:8" ht="15.75" x14ac:dyDescent="0.25">
      <c r="A16" s="8" t="s">
        <v>173</v>
      </c>
      <c r="B16" s="7" t="s">
        <v>30</v>
      </c>
      <c r="C16" s="7" t="s">
        <v>31</v>
      </c>
      <c r="D16" s="7" t="s">
        <v>32</v>
      </c>
      <c r="E16" s="7" t="s">
        <v>33</v>
      </c>
      <c r="F16" s="7" t="s">
        <v>34</v>
      </c>
      <c r="G16" s="7" t="s">
        <v>35</v>
      </c>
      <c r="H16" s="7" t="s">
        <v>36</v>
      </c>
    </row>
    <row r="17" spans="1:8" ht="15.75" x14ac:dyDescent="0.25">
      <c r="A17" s="5" t="s">
        <v>127</v>
      </c>
      <c r="B17" s="14">
        <v>10.4</v>
      </c>
      <c r="C17" s="14">
        <v>10.1</v>
      </c>
      <c r="D17" s="14">
        <v>9.4</v>
      </c>
      <c r="E17" s="14">
        <v>8.9</v>
      </c>
      <c r="F17" s="14">
        <v>9.4</v>
      </c>
      <c r="G17" s="14">
        <v>9.9</v>
      </c>
      <c r="H17" s="14">
        <v>10.7</v>
      </c>
    </row>
    <row r="18" spans="1:8" ht="15.75" x14ac:dyDescent="0.25">
      <c r="A18" s="5" t="s">
        <v>128</v>
      </c>
      <c r="B18" s="14">
        <v>7.9</v>
      </c>
      <c r="C18" s="14">
        <v>8.1999999999999993</v>
      </c>
      <c r="D18" s="14">
        <v>8.8000000000000007</v>
      </c>
      <c r="E18" s="14">
        <v>6.3</v>
      </c>
      <c r="F18" s="14">
        <v>7.1</v>
      </c>
      <c r="G18" s="14">
        <v>7.3</v>
      </c>
      <c r="H18" s="14">
        <v>7.1</v>
      </c>
    </row>
    <row r="19" spans="1:8" ht="15.75" x14ac:dyDescent="0.25">
      <c r="A19" s="5" t="s">
        <v>129</v>
      </c>
      <c r="B19" s="14">
        <v>1.7</v>
      </c>
      <c r="C19" s="14">
        <v>2.7</v>
      </c>
      <c r="D19" s="14">
        <v>3.6</v>
      </c>
      <c r="E19" s="14">
        <v>4.5</v>
      </c>
      <c r="F19" s="14">
        <v>5.4</v>
      </c>
      <c r="G19" s="14">
        <v>6.5</v>
      </c>
      <c r="H19" s="14">
        <v>7.5</v>
      </c>
    </row>
    <row r="20" spans="1:8" ht="15.75" x14ac:dyDescent="0.25">
      <c r="A20" s="13" t="s">
        <v>169</v>
      </c>
      <c r="B20" s="16">
        <v>16</v>
      </c>
      <c r="C20" s="16">
        <v>17</v>
      </c>
      <c r="D20" s="16">
        <v>18</v>
      </c>
      <c r="E20" s="16">
        <v>17</v>
      </c>
      <c r="F20" s="16">
        <v>18</v>
      </c>
      <c r="G20" s="16">
        <v>19</v>
      </c>
      <c r="H20" s="16">
        <v>20</v>
      </c>
    </row>
    <row r="22" spans="1:8" ht="15.75" x14ac:dyDescent="0.25">
      <c r="A22" s="5" t="s">
        <v>174</v>
      </c>
    </row>
    <row r="23" spans="1:8" x14ac:dyDescent="0.2">
      <c r="A23" t="s">
        <v>175</v>
      </c>
    </row>
    <row r="24" spans="1:8" ht="15.75" x14ac:dyDescent="0.25">
      <c r="A24" s="8" t="s">
        <v>29</v>
      </c>
      <c r="B24" s="7" t="s">
        <v>30</v>
      </c>
      <c r="C24" s="7" t="s">
        <v>31</v>
      </c>
      <c r="D24" s="7" t="s">
        <v>32</v>
      </c>
      <c r="E24" s="7" t="s">
        <v>33</v>
      </c>
      <c r="F24" s="7" t="s">
        <v>34</v>
      </c>
      <c r="G24" s="7" t="s">
        <v>35</v>
      </c>
      <c r="H24" s="7" t="s">
        <v>36</v>
      </c>
    </row>
    <row r="25" spans="1:8" ht="15.75" x14ac:dyDescent="0.25">
      <c r="A25" s="5" t="s">
        <v>127</v>
      </c>
      <c r="B25" s="14">
        <v>33.799999999999997</v>
      </c>
      <c r="C25" s="14">
        <v>20</v>
      </c>
      <c r="D25" s="14">
        <v>28.1</v>
      </c>
      <c r="E25" s="14">
        <v>29.6</v>
      </c>
      <c r="F25" s="14">
        <v>31.6</v>
      </c>
      <c r="G25" s="14">
        <v>32.299999999999997</v>
      </c>
      <c r="H25" s="14">
        <v>32.299999999999997</v>
      </c>
    </row>
    <row r="26" spans="1:8" ht="15.75" x14ac:dyDescent="0.25">
      <c r="A26" s="5" t="s">
        <v>135</v>
      </c>
      <c r="B26" s="14">
        <v>8.6</v>
      </c>
      <c r="C26" s="14">
        <v>7.1</v>
      </c>
      <c r="D26" s="14">
        <v>8</v>
      </c>
      <c r="E26" s="14">
        <v>8.1999999999999993</v>
      </c>
      <c r="F26" s="14">
        <v>8.4</v>
      </c>
      <c r="G26" s="14">
        <v>8.1999999999999993</v>
      </c>
      <c r="H26" s="14">
        <v>8.3000000000000007</v>
      </c>
    </row>
    <row r="27" spans="1:8" ht="15.75" x14ac:dyDescent="0.25">
      <c r="A27" s="5" t="s">
        <v>38</v>
      </c>
      <c r="B27" s="14">
        <v>4</v>
      </c>
      <c r="C27" s="14">
        <v>2.9</v>
      </c>
      <c r="D27" s="14">
        <v>3.8</v>
      </c>
      <c r="E27" s="14">
        <v>3.8</v>
      </c>
      <c r="F27" s="14">
        <v>3.8</v>
      </c>
      <c r="G27" s="14">
        <v>3.7</v>
      </c>
      <c r="H27" s="14">
        <v>4.0999999999999996</v>
      </c>
    </row>
    <row r="28" spans="1:8" ht="15.75" x14ac:dyDescent="0.25">
      <c r="A28" s="13" t="s">
        <v>39</v>
      </c>
      <c r="B28" s="16">
        <v>46.4</v>
      </c>
      <c r="C28" s="16">
        <v>30</v>
      </c>
      <c r="D28" s="16">
        <v>39.9</v>
      </c>
      <c r="E28" s="16">
        <v>41.5</v>
      </c>
      <c r="F28" s="16">
        <v>43.7</v>
      </c>
      <c r="G28" s="16">
        <v>44.3</v>
      </c>
      <c r="H28" s="16">
        <v>44.7</v>
      </c>
    </row>
    <row r="30" spans="1:8" ht="15.75" x14ac:dyDescent="0.25">
      <c r="A30" s="5" t="s">
        <v>176</v>
      </c>
    </row>
    <row r="31" spans="1:8" ht="15.75" x14ac:dyDescent="0.25">
      <c r="A31" s="8" t="s">
        <v>177</v>
      </c>
      <c r="B31" s="7" t="s">
        <v>178</v>
      </c>
      <c r="C31" s="7" t="s">
        <v>179</v>
      </c>
      <c r="D31" s="7" t="s">
        <v>180</v>
      </c>
      <c r="E31" s="7" t="s">
        <v>181</v>
      </c>
      <c r="F31" s="7" t="s">
        <v>182</v>
      </c>
      <c r="G31" s="7" t="s">
        <v>183</v>
      </c>
      <c r="H31" s="7" t="s">
        <v>184</v>
      </c>
    </row>
    <row r="32" spans="1:8" ht="15.75" x14ac:dyDescent="0.25">
      <c r="A32" s="5" t="s">
        <v>185</v>
      </c>
      <c r="B32" s="19">
        <v>1065</v>
      </c>
      <c r="C32" s="19">
        <v>1056</v>
      </c>
      <c r="D32" s="19">
        <v>1064</v>
      </c>
      <c r="E32" s="19">
        <v>1058</v>
      </c>
      <c r="F32" s="19">
        <v>1026</v>
      </c>
      <c r="G32" s="19">
        <v>1005</v>
      </c>
      <c r="H32" s="19">
        <v>994</v>
      </c>
    </row>
    <row r="33" spans="1:8" ht="15.75" x14ac:dyDescent="0.25">
      <c r="A33" s="5" t="s">
        <v>186</v>
      </c>
      <c r="B33" s="19">
        <v>0</v>
      </c>
      <c r="C33" s="19">
        <v>0</v>
      </c>
      <c r="D33" s="19">
        <v>0</v>
      </c>
      <c r="E33" s="19">
        <v>0</v>
      </c>
      <c r="F33" s="19">
        <v>0</v>
      </c>
      <c r="G33" s="19">
        <v>0</v>
      </c>
      <c r="H33" s="19">
        <v>0</v>
      </c>
    </row>
    <row r="34" spans="1:8" ht="15.75" x14ac:dyDescent="0.25">
      <c r="A34" s="5" t="s">
        <v>187</v>
      </c>
      <c r="B34" s="19">
        <v>0</v>
      </c>
      <c r="C34" s="19">
        <v>0</v>
      </c>
      <c r="D34" s="19">
        <v>0</v>
      </c>
      <c r="E34" s="19">
        <v>0</v>
      </c>
      <c r="F34" s="19">
        <v>44</v>
      </c>
      <c r="G34" s="19">
        <v>78</v>
      </c>
      <c r="H34" s="19">
        <v>84</v>
      </c>
    </row>
    <row r="35" spans="1:8" ht="15.75" x14ac:dyDescent="0.25">
      <c r="A35" s="11" t="s">
        <v>39</v>
      </c>
      <c r="B35" s="21">
        <v>1065</v>
      </c>
      <c r="C35" s="21">
        <v>1056</v>
      </c>
      <c r="D35" s="21">
        <v>1064</v>
      </c>
      <c r="E35" s="21">
        <v>1058</v>
      </c>
      <c r="F35" s="21">
        <v>1070</v>
      </c>
      <c r="G35" s="21">
        <v>1083</v>
      </c>
      <c r="H35" s="21">
        <v>1078</v>
      </c>
    </row>
    <row r="37" spans="1:8" ht="15.75" x14ac:dyDescent="0.25">
      <c r="A37" s="5" t="s">
        <v>188</v>
      </c>
    </row>
    <row r="38" spans="1:8" ht="15.75" x14ac:dyDescent="0.25">
      <c r="A38" s="8" t="s">
        <v>177</v>
      </c>
      <c r="B38" s="7" t="s">
        <v>178</v>
      </c>
      <c r="C38" s="7" t="s">
        <v>179</v>
      </c>
      <c r="D38" s="7" t="s">
        <v>180</v>
      </c>
      <c r="E38" s="7" t="s">
        <v>181</v>
      </c>
      <c r="F38" s="7" t="s">
        <v>182</v>
      </c>
      <c r="G38" s="7" t="s">
        <v>183</v>
      </c>
      <c r="H38" s="7" t="s">
        <v>184</v>
      </c>
    </row>
    <row r="39" spans="1:8" ht="15.75" x14ac:dyDescent="0.25">
      <c r="A39" s="5" t="s">
        <v>185</v>
      </c>
      <c r="B39" s="19">
        <v>257</v>
      </c>
      <c r="C39" s="19">
        <v>256</v>
      </c>
      <c r="D39" s="19">
        <v>252</v>
      </c>
      <c r="E39" s="19">
        <v>187</v>
      </c>
      <c r="F39" s="19">
        <v>185</v>
      </c>
      <c r="G39" s="19">
        <v>168</v>
      </c>
      <c r="H39" s="19">
        <v>141</v>
      </c>
    </row>
    <row r="40" spans="1:8" ht="15.75" x14ac:dyDescent="0.25">
      <c r="A40" s="5" t="s">
        <v>186</v>
      </c>
      <c r="B40" s="19">
        <v>1</v>
      </c>
      <c r="C40" s="19">
        <v>1</v>
      </c>
      <c r="D40" s="19">
        <v>1</v>
      </c>
      <c r="E40" s="19">
        <v>0</v>
      </c>
      <c r="F40" s="19">
        <v>0</v>
      </c>
      <c r="G40" s="19">
        <v>0</v>
      </c>
      <c r="H40" s="19">
        <v>0</v>
      </c>
    </row>
    <row r="41" spans="1:8" ht="15.75" x14ac:dyDescent="0.25">
      <c r="A41" s="5" t="s">
        <v>187</v>
      </c>
      <c r="B41" s="19">
        <v>0</v>
      </c>
      <c r="C41" s="19">
        <v>3</v>
      </c>
      <c r="D41" s="19">
        <v>9</v>
      </c>
      <c r="E41" s="19">
        <v>94</v>
      </c>
      <c r="F41" s="19">
        <v>103</v>
      </c>
      <c r="G41" s="19">
        <v>135</v>
      </c>
      <c r="H41" s="19">
        <v>163</v>
      </c>
    </row>
    <row r="42" spans="1:8" ht="15.75" x14ac:dyDescent="0.25">
      <c r="A42" s="11" t="s">
        <v>39</v>
      </c>
      <c r="B42" s="21">
        <v>258</v>
      </c>
      <c r="C42" s="21">
        <v>260</v>
      </c>
      <c r="D42" s="21">
        <v>262</v>
      </c>
      <c r="E42" s="21">
        <v>281</v>
      </c>
      <c r="F42" s="21">
        <v>288</v>
      </c>
      <c r="G42" s="21">
        <v>303</v>
      </c>
      <c r="H42" s="21">
        <v>304</v>
      </c>
    </row>
    <row r="44" spans="1:8" ht="15.75" x14ac:dyDescent="0.25">
      <c r="A44" s="5" t="s">
        <v>189</v>
      </c>
    </row>
    <row r="45" spans="1:8" ht="15.75" x14ac:dyDescent="0.25">
      <c r="A45" s="8" t="s">
        <v>177</v>
      </c>
      <c r="B45" s="7" t="s">
        <v>178</v>
      </c>
      <c r="C45" s="7" t="s">
        <v>179</v>
      </c>
      <c r="D45" s="7" t="s">
        <v>180</v>
      </c>
      <c r="E45" s="7" t="s">
        <v>181</v>
      </c>
      <c r="F45" s="7" t="s">
        <v>182</v>
      </c>
      <c r="G45" s="7" t="s">
        <v>183</v>
      </c>
      <c r="H45" s="7" t="s">
        <v>184</v>
      </c>
    </row>
    <row r="46" spans="1:8" ht="15.75" x14ac:dyDescent="0.25">
      <c r="A46" s="5" t="s">
        <v>185</v>
      </c>
      <c r="B46" s="19">
        <v>0</v>
      </c>
      <c r="C46" s="19">
        <v>0</v>
      </c>
      <c r="D46" s="19">
        <v>0</v>
      </c>
      <c r="E46" s="19">
        <v>0</v>
      </c>
      <c r="F46" s="19">
        <v>0</v>
      </c>
      <c r="G46" s="19">
        <v>0</v>
      </c>
      <c r="H46" s="19">
        <v>0</v>
      </c>
    </row>
    <row r="47" spans="1:8" ht="15.75" x14ac:dyDescent="0.25">
      <c r="A47" s="5" t="s">
        <v>186</v>
      </c>
      <c r="B47" s="19">
        <v>32</v>
      </c>
      <c r="C47" s="19">
        <v>32</v>
      </c>
      <c r="D47" s="19">
        <v>34</v>
      </c>
      <c r="E47" s="19">
        <v>34</v>
      </c>
      <c r="F47" s="19">
        <v>34</v>
      </c>
      <c r="G47" s="19">
        <v>34</v>
      </c>
      <c r="H47" s="19">
        <v>34</v>
      </c>
    </row>
    <row r="48" spans="1:8" ht="15.75" x14ac:dyDescent="0.25">
      <c r="A48" s="5" t="s">
        <v>187</v>
      </c>
      <c r="B48" s="19">
        <v>0</v>
      </c>
      <c r="C48" s="19">
        <v>0</v>
      </c>
      <c r="D48" s="19">
        <v>0</v>
      </c>
      <c r="E48" s="19">
        <v>0</v>
      </c>
      <c r="F48" s="19">
        <v>0</v>
      </c>
      <c r="G48" s="19">
        <v>0</v>
      </c>
      <c r="H48" s="19">
        <v>0</v>
      </c>
    </row>
    <row r="49" spans="1:8" ht="15.75" x14ac:dyDescent="0.25">
      <c r="A49" s="11" t="s">
        <v>39</v>
      </c>
      <c r="B49" s="21">
        <v>32</v>
      </c>
      <c r="C49" s="21">
        <v>32</v>
      </c>
      <c r="D49" s="21">
        <v>34</v>
      </c>
      <c r="E49" s="21">
        <v>34</v>
      </c>
      <c r="F49" s="21">
        <v>34</v>
      </c>
      <c r="G49" s="21">
        <v>34</v>
      </c>
      <c r="H49" s="21">
        <v>34</v>
      </c>
    </row>
    <row r="51" spans="1:8" ht="15.75" x14ac:dyDescent="0.25">
      <c r="A51" s="5" t="s">
        <v>190</v>
      </c>
    </row>
    <row r="52" spans="1:8" x14ac:dyDescent="0.2">
      <c r="A52" t="s">
        <v>2</v>
      </c>
    </row>
    <row r="53" spans="1:8" ht="15.75" x14ac:dyDescent="0.25">
      <c r="A53" s="8" t="s">
        <v>177</v>
      </c>
      <c r="B53" s="7" t="s">
        <v>178</v>
      </c>
      <c r="C53" s="7" t="s">
        <v>179</v>
      </c>
      <c r="D53" s="7" t="s">
        <v>180</v>
      </c>
      <c r="E53" s="7" t="s">
        <v>181</v>
      </c>
      <c r="F53" s="7" t="s">
        <v>182</v>
      </c>
      <c r="G53" s="7" t="s">
        <v>183</v>
      </c>
      <c r="H53" s="7" t="s">
        <v>184</v>
      </c>
    </row>
    <row r="54" spans="1:8" ht="15.75" x14ac:dyDescent="0.25">
      <c r="A54" s="5" t="s">
        <v>185</v>
      </c>
      <c r="B54" s="22">
        <v>0.97564575645756502</v>
      </c>
      <c r="C54" s="22">
        <v>0.97329376854599403</v>
      </c>
      <c r="D54" s="22">
        <v>0.96764705882352897</v>
      </c>
      <c r="E54" s="22">
        <v>0.90677348871085195</v>
      </c>
      <c r="F54" s="22">
        <v>0.86997126436781602</v>
      </c>
      <c r="G54" s="22">
        <v>0.82605633802816902</v>
      </c>
      <c r="H54" s="22">
        <v>0.80155367231638397</v>
      </c>
    </row>
    <row r="55" spans="1:8" ht="15.75" x14ac:dyDescent="0.25">
      <c r="A55" s="5" t="s">
        <v>186</v>
      </c>
      <c r="B55" s="22">
        <v>2.43542435424354E-2</v>
      </c>
      <c r="C55" s="22">
        <v>2.4480712166172099E-2</v>
      </c>
      <c r="D55" s="22">
        <v>2.5735294117647099E-2</v>
      </c>
      <c r="E55" s="22">
        <v>2.4763292061179901E-2</v>
      </c>
      <c r="F55" s="22">
        <v>2.4425287356321799E-2</v>
      </c>
      <c r="G55" s="22">
        <v>2.3943661971830999E-2</v>
      </c>
      <c r="H55" s="22">
        <v>2.4011299435028201E-2</v>
      </c>
    </row>
    <row r="56" spans="1:8" ht="15.75" x14ac:dyDescent="0.25">
      <c r="A56" s="5" t="s">
        <v>187</v>
      </c>
      <c r="B56" s="22">
        <v>0</v>
      </c>
      <c r="C56" s="22">
        <v>2.2255192878338301E-3</v>
      </c>
      <c r="D56" s="22">
        <v>6.6176470588235302E-3</v>
      </c>
      <c r="E56" s="22">
        <v>6.8463219227967997E-2</v>
      </c>
      <c r="F56" s="22">
        <v>0.105603448275862</v>
      </c>
      <c r="G56" s="22">
        <v>0.15</v>
      </c>
      <c r="H56" s="22">
        <v>0.174435028248588</v>
      </c>
    </row>
    <row r="57" spans="1:8" ht="15.75" x14ac:dyDescent="0.25">
      <c r="A57" s="13" t="s">
        <v>39</v>
      </c>
      <c r="B57" s="23">
        <v>1</v>
      </c>
      <c r="C57" s="23">
        <v>1</v>
      </c>
      <c r="D57" s="23">
        <v>1</v>
      </c>
      <c r="E57" s="23">
        <v>1</v>
      </c>
      <c r="F57" s="23">
        <v>1</v>
      </c>
      <c r="G57" s="23">
        <v>1</v>
      </c>
      <c r="H57" s="23">
        <v>1</v>
      </c>
    </row>
    <row r="59" spans="1:8" ht="15.75" x14ac:dyDescent="0.25">
      <c r="A59" s="5" t="s">
        <v>191</v>
      </c>
    </row>
    <row r="60" spans="1:8" x14ac:dyDescent="0.2">
      <c r="A60" t="s">
        <v>2</v>
      </c>
    </row>
    <row r="61" spans="1:8" ht="15.75" x14ac:dyDescent="0.25">
      <c r="A61" s="8" t="s">
        <v>177</v>
      </c>
      <c r="B61" s="7" t="s">
        <v>30</v>
      </c>
      <c r="C61" s="7" t="s">
        <v>31</v>
      </c>
      <c r="D61" s="7" t="s">
        <v>32</v>
      </c>
      <c r="E61" s="7" t="s">
        <v>33</v>
      </c>
      <c r="F61" s="7" t="s">
        <v>34</v>
      </c>
      <c r="G61" s="7" t="s">
        <v>35</v>
      </c>
      <c r="H61" s="7" t="s">
        <v>36</v>
      </c>
    </row>
    <row r="62" spans="1:8" ht="15.75" x14ac:dyDescent="0.25">
      <c r="A62" s="5" t="s">
        <v>185</v>
      </c>
      <c r="B62" s="22">
        <v>0.97252782543006</v>
      </c>
      <c r="C62" s="22">
        <v>0.959438264043316</v>
      </c>
      <c r="D62" s="22">
        <v>0.96399534577307899</v>
      </c>
      <c r="E62" s="22">
        <v>0.92863405938433596</v>
      </c>
      <c r="F62" s="22">
        <v>0.89892203410149696</v>
      </c>
      <c r="G62" s="22">
        <v>0.868297289669543</v>
      </c>
      <c r="H62" s="22">
        <v>0.83455379130491203</v>
      </c>
    </row>
    <row r="63" spans="1:8" ht="15.75" x14ac:dyDescent="0.25">
      <c r="A63" s="5" t="s">
        <v>186</v>
      </c>
      <c r="B63" s="22">
        <v>2.7472174569940101E-2</v>
      </c>
      <c r="C63" s="22">
        <v>4.0471529622243298E-2</v>
      </c>
      <c r="D63" s="22">
        <v>3.5651382649687001E-2</v>
      </c>
      <c r="E63" s="22">
        <v>3.3831702264466398E-2</v>
      </c>
      <c r="F63" s="22">
        <v>3.3052668314069202E-2</v>
      </c>
      <c r="G63" s="22">
        <v>3.1962826754361399E-2</v>
      </c>
      <c r="H63" s="22">
        <v>3.2947416465174698E-2</v>
      </c>
    </row>
    <row r="64" spans="1:8" ht="15.75" x14ac:dyDescent="0.25">
      <c r="A64" s="5" t="s">
        <v>187</v>
      </c>
      <c r="B64" s="22">
        <v>0</v>
      </c>
      <c r="C64" s="22">
        <v>9.02063344408708E-5</v>
      </c>
      <c r="D64" s="22">
        <v>3.5327157723397801E-4</v>
      </c>
      <c r="E64" s="22">
        <v>3.75342383511977E-2</v>
      </c>
      <c r="F64" s="22">
        <v>6.8025297584433694E-2</v>
      </c>
      <c r="G64" s="22">
        <v>9.97398835760957E-2</v>
      </c>
      <c r="H64" s="22">
        <v>0.13249879222991301</v>
      </c>
    </row>
    <row r="65" spans="1:8" ht="15.75" x14ac:dyDescent="0.25">
      <c r="A65" s="13" t="s">
        <v>39</v>
      </c>
      <c r="B65" s="23">
        <v>1</v>
      </c>
      <c r="C65" s="23">
        <v>1</v>
      </c>
      <c r="D65" s="23">
        <v>1</v>
      </c>
      <c r="E65" s="23">
        <v>1</v>
      </c>
      <c r="F65" s="23">
        <v>1</v>
      </c>
      <c r="G65" s="23">
        <v>1</v>
      </c>
      <c r="H65" s="23">
        <v>1</v>
      </c>
    </row>
    <row r="67" spans="1:8" ht="15.75" x14ac:dyDescent="0.25">
      <c r="A67" s="5" t="s">
        <v>192</v>
      </c>
    </row>
    <row r="68" spans="1:8" x14ac:dyDescent="0.2">
      <c r="A68" t="s">
        <v>193</v>
      </c>
    </row>
    <row r="69" spans="1:8" x14ac:dyDescent="0.2">
      <c r="A69" t="s">
        <v>194</v>
      </c>
    </row>
    <row r="70" spans="1:8" x14ac:dyDescent="0.2">
      <c r="A70" t="s">
        <v>195</v>
      </c>
    </row>
    <row r="71" spans="1:8" x14ac:dyDescent="0.2">
      <c r="A71" t="s">
        <v>196</v>
      </c>
    </row>
    <row r="72" spans="1:8" x14ac:dyDescent="0.2">
      <c r="A72" t="s">
        <v>197</v>
      </c>
    </row>
    <row r="73" spans="1:8" x14ac:dyDescent="0.2">
      <c r="A73" t="s">
        <v>198</v>
      </c>
    </row>
    <row r="74" spans="1:8" ht="15.75" x14ac:dyDescent="0.25">
      <c r="A74" s="8" t="s">
        <v>199</v>
      </c>
      <c r="B74" s="7" t="s">
        <v>162</v>
      </c>
      <c r="C74" s="7" t="s">
        <v>163</v>
      </c>
      <c r="D74" s="7" t="s">
        <v>164</v>
      </c>
      <c r="E74" s="7" t="s">
        <v>165</v>
      </c>
      <c r="F74" s="7" t="s">
        <v>166</v>
      </c>
      <c r="G74" s="7" t="s">
        <v>167</v>
      </c>
      <c r="H74" s="7" t="s">
        <v>168</v>
      </c>
    </row>
    <row r="75" spans="1:8" ht="15.75" x14ac:dyDescent="0.25">
      <c r="A75" s="5" t="s">
        <v>200</v>
      </c>
      <c r="B75" s="17">
        <v>0.17</v>
      </c>
      <c r="C75" s="17">
        <v>0.24</v>
      </c>
      <c r="D75" s="17">
        <v>0.25</v>
      </c>
      <c r="E75" s="17">
        <v>0.42</v>
      </c>
      <c r="F75" s="17">
        <v>0.47</v>
      </c>
      <c r="G75" s="17">
        <v>0.51</v>
      </c>
      <c r="H75" s="17">
        <v>0.51</v>
      </c>
    </row>
    <row r="76" spans="1:8" ht="15.75" x14ac:dyDescent="0.25">
      <c r="A76" s="5" t="s">
        <v>201</v>
      </c>
      <c r="B76" s="17">
        <v>0.23</v>
      </c>
      <c r="C76" s="17">
        <v>0.26</v>
      </c>
      <c r="D76" s="17">
        <v>0.27</v>
      </c>
      <c r="E76" s="17">
        <v>0.27</v>
      </c>
      <c r="F76" s="17">
        <v>0.3</v>
      </c>
      <c r="G76" s="17">
        <v>0.37</v>
      </c>
      <c r="H76" s="17">
        <v>0.47</v>
      </c>
    </row>
    <row r="77" spans="1:8" ht="15.75" x14ac:dyDescent="0.25">
      <c r="A77" s="5" t="s">
        <v>202</v>
      </c>
      <c r="B77" s="17">
        <v>0</v>
      </c>
      <c r="C77" s="17">
        <v>0</v>
      </c>
      <c r="D77" s="17">
        <v>0.2006</v>
      </c>
      <c r="E77" s="17">
        <v>0.25</v>
      </c>
      <c r="F77" s="17">
        <v>0.43</v>
      </c>
      <c r="G77" s="17">
        <v>1</v>
      </c>
      <c r="H77" s="17">
        <v>1</v>
      </c>
    </row>
    <row r="78" spans="1:8" ht="15.75" x14ac:dyDescent="0.25">
      <c r="A78" s="5" t="s">
        <v>203</v>
      </c>
      <c r="B78" s="17">
        <v>0.14000000000000001</v>
      </c>
      <c r="C78" s="17">
        <v>0.25</v>
      </c>
      <c r="D78" s="17">
        <v>0.31</v>
      </c>
      <c r="E78" s="17">
        <v>0.45</v>
      </c>
      <c r="F78" s="17">
        <v>0.47</v>
      </c>
      <c r="G78" s="17">
        <v>0.51</v>
      </c>
      <c r="H78" s="17">
        <v>0.51</v>
      </c>
    </row>
    <row r="79" spans="1:8" ht="15.75" x14ac:dyDescent="0.25">
      <c r="A79" s="5" t="s">
        <v>204</v>
      </c>
      <c r="B79" s="17">
        <v>0.23</v>
      </c>
      <c r="C79" s="17">
        <v>0.26</v>
      </c>
      <c r="D79" s="17">
        <v>0.27</v>
      </c>
      <c r="E79" s="17">
        <v>0.48</v>
      </c>
      <c r="F79" s="17">
        <v>0.5</v>
      </c>
      <c r="G79" s="17">
        <v>0.51</v>
      </c>
      <c r="H79" s="17">
        <v>0.51</v>
      </c>
    </row>
    <row r="80" spans="1:8" ht="15.75" x14ac:dyDescent="0.25">
      <c r="A80" s="13" t="s">
        <v>205</v>
      </c>
      <c r="B80" s="18">
        <v>1</v>
      </c>
      <c r="C80" s="18">
        <v>1</v>
      </c>
      <c r="D80" s="18">
        <v>1</v>
      </c>
      <c r="E80" s="18">
        <v>1</v>
      </c>
      <c r="F80" s="18">
        <v>1</v>
      </c>
      <c r="G80" s="18">
        <v>1</v>
      </c>
      <c r="H80" s="18">
        <v>1</v>
      </c>
    </row>
    <row r="82" spans="1:8" ht="15.75" x14ac:dyDescent="0.25">
      <c r="A82" s="5" t="s">
        <v>206</v>
      </c>
    </row>
    <row r="83" spans="1:8" x14ac:dyDescent="0.2">
      <c r="A83" t="s">
        <v>193</v>
      </c>
    </row>
    <row r="84" spans="1:8" x14ac:dyDescent="0.2">
      <c r="A84" t="s">
        <v>194</v>
      </c>
    </row>
    <row r="85" spans="1:8" x14ac:dyDescent="0.2">
      <c r="A85" t="s">
        <v>195</v>
      </c>
    </row>
    <row r="86" spans="1:8" x14ac:dyDescent="0.2">
      <c r="A86" t="s">
        <v>196</v>
      </c>
    </row>
    <row r="87" spans="1:8" x14ac:dyDescent="0.2">
      <c r="A87" t="s">
        <v>197</v>
      </c>
    </row>
    <row r="88" spans="1:8" x14ac:dyDescent="0.2">
      <c r="A88" t="s">
        <v>198</v>
      </c>
    </row>
    <row r="89" spans="1:8" ht="15.75" x14ac:dyDescent="0.25">
      <c r="A89" s="8" t="s">
        <v>38</v>
      </c>
      <c r="B89" s="7" t="s">
        <v>162</v>
      </c>
      <c r="C89" s="7" t="s">
        <v>163</v>
      </c>
      <c r="D89" s="7" t="s">
        <v>164</v>
      </c>
      <c r="E89" s="7" t="s">
        <v>165</v>
      </c>
      <c r="F89" s="7" t="s">
        <v>166</v>
      </c>
      <c r="G89" s="7" t="s">
        <v>167</v>
      </c>
      <c r="H89" s="7" t="s">
        <v>168</v>
      </c>
    </row>
    <row r="90" spans="1:8" ht="15.75" x14ac:dyDescent="0.25">
      <c r="A90" s="5" t="s">
        <v>201</v>
      </c>
      <c r="B90" s="17">
        <v>1</v>
      </c>
      <c r="C90" s="17">
        <v>1</v>
      </c>
      <c r="D90" s="17">
        <v>1</v>
      </c>
      <c r="E90" s="17">
        <v>1</v>
      </c>
      <c r="F90" s="17">
        <v>1</v>
      </c>
      <c r="G90" s="17">
        <v>1</v>
      </c>
      <c r="H90" s="17">
        <v>1</v>
      </c>
    </row>
    <row r="91" spans="1:8" ht="15.75" x14ac:dyDescent="0.25">
      <c r="A91" s="5" t="s">
        <v>202</v>
      </c>
      <c r="B91" s="17">
        <v>1</v>
      </c>
      <c r="C91" s="17">
        <v>1</v>
      </c>
      <c r="D91" s="17">
        <v>1</v>
      </c>
      <c r="E91" s="17">
        <v>1</v>
      </c>
      <c r="F91" s="17">
        <v>1</v>
      </c>
      <c r="G91" s="17">
        <v>1</v>
      </c>
      <c r="H91" s="17">
        <v>1</v>
      </c>
    </row>
    <row r="92" spans="1:8" ht="15.75" x14ac:dyDescent="0.25">
      <c r="A92" s="5" t="s">
        <v>203</v>
      </c>
      <c r="B92" s="17">
        <v>0.19</v>
      </c>
      <c r="C92" s="17">
        <v>0.37</v>
      </c>
      <c r="D92" s="17">
        <v>0.63</v>
      </c>
      <c r="E92" s="17">
        <v>0.67</v>
      </c>
      <c r="F92" s="17">
        <v>0.72</v>
      </c>
      <c r="G92" s="17">
        <v>0.76</v>
      </c>
      <c r="H92" s="17">
        <v>0.8</v>
      </c>
    </row>
    <row r="93" spans="1:8" ht="15.75" x14ac:dyDescent="0.25">
      <c r="A93" s="5" t="s">
        <v>204</v>
      </c>
      <c r="B93" s="17">
        <v>1</v>
      </c>
      <c r="C93" s="17">
        <v>1</v>
      </c>
      <c r="D93" s="17">
        <v>1</v>
      </c>
      <c r="E93" s="17">
        <v>1</v>
      </c>
      <c r="F93" s="17">
        <v>1</v>
      </c>
      <c r="G93" s="17">
        <v>1</v>
      </c>
      <c r="H93" s="17">
        <v>1</v>
      </c>
    </row>
    <row r="94" spans="1:8" ht="15.75" x14ac:dyDescent="0.25">
      <c r="A94" s="13" t="s">
        <v>205</v>
      </c>
      <c r="B94" s="18">
        <v>1</v>
      </c>
      <c r="C94" s="18">
        <v>1</v>
      </c>
      <c r="D94" s="18">
        <v>1</v>
      </c>
      <c r="E94" s="18">
        <v>1</v>
      </c>
      <c r="F94" s="18">
        <v>1</v>
      </c>
      <c r="G94" s="18">
        <v>1</v>
      </c>
      <c r="H94" s="18">
        <v>1</v>
      </c>
    </row>
    <row r="96" spans="1:8" ht="15.75" x14ac:dyDescent="0.25">
      <c r="A96" s="5" t="s">
        <v>207</v>
      </c>
    </row>
    <row r="97" spans="1:7" x14ac:dyDescent="0.2">
      <c r="A97" t="s">
        <v>208</v>
      </c>
    </row>
    <row r="98" spans="1:7" x14ac:dyDescent="0.2">
      <c r="A98" t="s">
        <v>209</v>
      </c>
    </row>
    <row r="99" spans="1:7" x14ac:dyDescent="0.2">
      <c r="A99" t="s">
        <v>210</v>
      </c>
    </row>
    <row r="100" spans="1:7" x14ac:dyDescent="0.2">
      <c r="A100" t="s">
        <v>211</v>
      </c>
    </row>
    <row r="101" spans="1:7" ht="78.75" x14ac:dyDescent="0.25">
      <c r="A101" s="8" t="s">
        <v>212</v>
      </c>
      <c r="B101" s="7" t="s">
        <v>213</v>
      </c>
      <c r="C101" s="7" t="s">
        <v>214</v>
      </c>
      <c r="D101" s="7" t="s">
        <v>215</v>
      </c>
      <c r="E101" s="7" t="s">
        <v>216</v>
      </c>
      <c r="F101" s="7" t="s">
        <v>217</v>
      </c>
      <c r="G101" s="7" t="s">
        <v>218</v>
      </c>
    </row>
    <row r="102" spans="1:7" ht="15.75" x14ac:dyDescent="0.25">
      <c r="A102" s="5" t="s">
        <v>162</v>
      </c>
      <c r="B102" s="19">
        <v>1111</v>
      </c>
      <c r="C102" s="19">
        <v>154</v>
      </c>
      <c r="D102" s="19">
        <v>12</v>
      </c>
      <c r="E102" s="19">
        <v>46</v>
      </c>
      <c r="F102" s="19">
        <v>32</v>
      </c>
      <c r="G102" s="19">
        <v>1355</v>
      </c>
    </row>
    <row r="103" spans="1:7" ht="15.75" x14ac:dyDescent="0.25">
      <c r="A103" s="5" t="s">
        <v>163</v>
      </c>
      <c r="B103" s="19">
        <v>1121</v>
      </c>
      <c r="C103" s="19">
        <v>164</v>
      </c>
      <c r="D103" s="19">
        <v>0</v>
      </c>
      <c r="E103" s="19">
        <v>31</v>
      </c>
      <c r="F103" s="19">
        <v>32</v>
      </c>
      <c r="G103" s="19">
        <v>1348</v>
      </c>
    </row>
    <row r="104" spans="1:7" ht="15.75" x14ac:dyDescent="0.25">
      <c r="A104" s="5" t="s">
        <v>164</v>
      </c>
      <c r="B104" s="19">
        <v>1145</v>
      </c>
      <c r="C104" s="19">
        <v>181</v>
      </c>
      <c r="D104" s="19">
        <v>0</v>
      </c>
      <c r="E104" s="19">
        <v>0</v>
      </c>
      <c r="F104" s="19">
        <v>34</v>
      </c>
      <c r="G104" s="19">
        <v>1360</v>
      </c>
    </row>
    <row r="105" spans="1:7" ht="15.75" x14ac:dyDescent="0.25">
      <c r="A105" s="5" t="s">
        <v>165</v>
      </c>
      <c r="B105" s="19">
        <v>1168</v>
      </c>
      <c r="C105" s="19">
        <v>171</v>
      </c>
      <c r="D105" s="19">
        <v>0</v>
      </c>
      <c r="E105" s="19">
        <v>0</v>
      </c>
      <c r="F105" s="19">
        <v>34</v>
      </c>
      <c r="G105" s="19">
        <v>1373</v>
      </c>
    </row>
    <row r="106" spans="1:7" ht="15.75" x14ac:dyDescent="0.25">
      <c r="A106" s="5" t="s">
        <v>166</v>
      </c>
      <c r="B106" s="19">
        <v>1206</v>
      </c>
      <c r="C106" s="19">
        <v>152</v>
      </c>
      <c r="D106" s="19">
        <v>0</v>
      </c>
      <c r="E106" s="19">
        <v>0</v>
      </c>
      <c r="F106" s="19">
        <v>34</v>
      </c>
      <c r="G106" s="19">
        <v>1392</v>
      </c>
    </row>
    <row r="107" spans="1:7" ht="15.75" x14ac:dyDescent="0.25">
      <c r="A107" s="5" t="s">
        <v>167</v>
      </c>
      <c r="B107" s="19">
        <v>1234</v>
      </c>
      <c r="C107" s="19">
        <v>152</v>
      </c>
      <c r="D107" s="19">
        <v>0</v>
      </c>
      <c r="E107" s="19">
        <v>0</v>
      </c>
      <c r="F107" s="19">
        <v>34</v>
      </c>
      <c r="G107" s="19">
        <v>1420</v>
      </c>
    </row>
    <row r="108" spans="1:7" ht="15.75" x14ac:dyDescent="0.25">
      <c r="A108" s="13" t="s">
        <v>168</v>
      </c>
      <c r="B108" s="20">
        <v>1225</v>
      </c>
      <c r="C108" s="20">
        <v>157</v>
      </c>
      <c r="D108" s="20">
        <v>0</v>
      </c>
      <c r="E108" s="20">
        <v>0</v>
      </c>
      <c r="F108" s="20">
        <v>34</v>
      </c>
      <c r="G108" s="20">
        <v>1416</v>
      </c>
    </row>
    <row r="110" spans="1:7" ht="15.75" x14ac:dyDescent="0.25">
      <c r="A110" s="5" t="s">
        <v>219</v>
      </c>
    </row>
    <row r="111" spans="1:7" ht="47.25" x14ac:dyDescent="0.25">
      <c r="A111" s="8" t="s">
        <v>220</v>
      </c>
      <c r="B111" s="7" t="s">
        <v>221</v>
      </c>
      <c r="C111" s="7" t="s">
        <v>222</v>
      </c>
      <c r="D111" s="7" t="s">
        <v>223</v>
      </c>
    </row>
    <row r="112" spans="1:7" ht="15.75" x14ac:dyDescent="0.25">
      <c r="A112" s="5" t="s">
        <v>162</v>
      </c>
      <c r="B112" s="17">
        <v>0.9</v>
      </c>
      <c r="C112" s="17">
        <v>0.9</v>
      </c>
      <c r="D112" s="17">
        <v>1</v>
      </c>
    </row>
    <row r="113" spans="1:8" ht="15.75" x14ac:dyDescent="0.25">
      <c r="A113" s="5" t="s">
        <v>163</v>
      </c>
      <c r="B113" s="17">
        <v>0.9</v>
      </c>
      <c r="C113" s="17">
        <v>0.9</v>
      </c>
      <c r="D113" s="17">
        <v>1</v>
      </c>
    </row>
    <row r="114" spans="1:8" ht="15.75" x14ac:dyDescent="0.25">
      <c r="A114" s="5" t="s">
        <v>164</v>
      </c>
      <c r="B114" s="17">
        <v>0.9</v>
      </c>
      <c r="C114" s="17">
        <v>0.9</v>
      </c>
      <c r="D114" s="17">
        <v>1</v>
      </c>
    </row>
    <row r="115" spans="1:8" ht="15.75" x14ac:dyDescent="0.25">
      <c r="A115" s="5" t="s">
        <v>165</v>
      </c>
      <c r="B115" s="17">
        <v>0.91</v>
      </c>
      <c r="C115" s="17">
        <v>0.91</v>
      </c>
      <c r="D115" s="17">
        <v>1</v>
      </c>
    </row>
    <row r="116" spans="1:8" ht="15.75" x14ac:dyDescent="0.25">
      <c r="A116" s="5" t="s">
        <v>166</v>
      </c>
      <c r="B116" s="17">
        <v>0.91</v>
      </c>
      <c r="C116" s="17">
        <v>0.91</v>
      </c>
      <c r="D116" s="17">
        <v>1</v>
      </c>
    </row>
    <row r="117" spans="1:8" ht="15.75" x14ac:dyDescent="0.25">
      <c r="A117" s="5" t="s">
        <v>167</v>
      </c>
      <c r="B117" s="17">
        <v>0.91</v>
      </c>
      <c r="C117" s="17">
        <v>0.91</v>
      </c>
      <c r="D117" s="17">
        <v>1</v>
      </c>
    </row>
    <row r="118" spans="1:8" ht="15.75" x14ac:dyDescent="0.25">
      <c r="A118" s="13" t="s">
        <v>168</v>
      </c>
      <c r="B118" s="17">
        <v>0.91</v>
      </c>
      <c r="C118" s="17">
        <v>0.91</v>
      </c>
      <c r="D118" s="17">
        <v>1</v>
      </c>
    </row>
    <row r="120" spans="1:8" ht="15.75" x14ac:dyDescent="0.25">
      <c r="A120" s="5" t="s">
        <v>224</v>
      </c>
    </row>
    <row r="121" spans="1:8" x14ac:dyDescent="0.2">
      <c r="A121" t="s">
        <v>225</v>
      </c>
    </row>
    <row r="122" spans="1:8" x14ac:dyDescent="0.2">
      <c r="A122" t="s">
        <v>226</v>
      </c>
    </row>
    <row r="123" spans="1:8" ht="15.75" x14ac:dyDescent="0.25">
      <c r="A123" s="8" t="s">
        <v>29</v>
      </c>
      <c r="B123" s="7" t="s">
        <v>162</v>
      </c>
      <c r="C123" s="7" t="s">
        <v>163</v>
      </c>
      <c r="D123" s="7" t="s">
        <v>164</v>
      </c>
      <c r="E123" s="7" t="s">
        <v>165</v>
      </c>
      <c r="F123" s="7" t="s">
        <v>166</v>
      </c>
      <c r="G123" s="7" t="s">
        <v>167</v>
      </c>
      <c r="H123" s="7" t="s">
        <v>168</v>
      </c>
    </row>
    <row r="124" spans="1:8" ht="15.75" x14ac:dyDescent="0.25">
      <c r="A124" s="5" t="s">
        <v>227</v>
      </c>
      <c r="B124" s="19">
        <v>211</v>
      </c>
      <c r="C124" s="19">
        <v>211</v>
      </c>
      <c r="D124" s="19">
        <v>211</v>
      </c>
      <c r="E124" s="19">
        <v>211</v>
      </c>
      <c r="F124" s="19">
        <v>211</v>
      </c>
      <c r="G124" s="19">
        <v>210</v>
      </c>
      <c r="H124" s="19">
        <v>210</v>
      </c>
    </row>
    <row r="125" spans="1:8" ht="15.75" x14ac:dyDescent="0.25">
      <c r="A125" s="5" t="s">
        <v>228</v>
      </c>
      <c r="B125" s="19">
        <v>5</v>
      </c>
      <c r="C125" s="19">
        <v>5</v>
      </c>
      <c r="D125" s="19">
        <v>5</v>
      </c>
      <c r="E125" s="19">
        <v>5</v>
      </c>
      <c r="F125" s="19">
        <v>5</v>
      </c>
      <c r="G125" s="19">
        <v>5</v>
      </c>
      <c r="H125" s="19">
        <v>5</v>
      </c>
    </row>
    <row r="126" spans="1:8" ht="15.75" x14ac:dyDescent="0.25">
      <c r="A126" s="5" t="s">
        <v>229</v>
      </c>
      <c r="B126" s="19">
        <v>140</v>
      </c>
      <c r="C126" s="19">
        <v>140</v>
      </c>
      <c r="D126" s="19">
        <v>182</v>
      </c>
      <c r="E126" s="19">
        <v>182</v>
      </c>
      <c r="F126" s="19">
        <v>182</v>
      </c>
      <c r="G126" s="19">
        <v>182</v>
      </c>
      <c r="H126" s="19">
        <v>182</v>
      </c>
    </row>
    <row r="127" spans="1:8" ht="15.75" x14ac:dyDescent="0.25">
      <c r="A127" s="13" t="s">
        <v>230</v>
      </c>
      <c r="B127" s="20">
        <v>22</v>
      </c>
      <c r="C127" s="20">
        <v>22</v>
      </c>
      <c r="D127" s="20">
        <v>22</v>
      </c>
      <c r="E127" s="20">
        <v>22</v>
      </c>
      <c r="F127" s="20">
        <v>22</v>
      </c>
      <c r="G127" s="20">
        <v>22</v>
      </c>
      <c r="H127" s="20">
        <v>22</v>
      </c>
    </row>
  </sheetData>
  <pageMargins left="0.7" right="0.7" top="0.75" bottom="0.75" header="0.3" footer="0.3"/>
  <pageSetup paperSize="9" orientation="portrait" horizontalDpi="300" verticalDpi="300"/>
  <tableParts count="13">
    <tablePart r:id="rId1"/>
    <tablePart r:id="rId2"/>
    <tablePart r:id="rId3"/>
    <tablePart r:id="rId4"/>
    <tablePart r:id="rId5"/>
    <tablePart r:id="rId6"/>
    <tablePart r:id="rId7"/>
    <tablePart r:id="rId8"/>
    <tablePart r:id="rId9"/>
    <tablePart r:id="rId10"/>
    <tablePart r:id="rId11"/>
    <tablePart r:id="rId12"/>
    <tablePart r:id="rId1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0"/>
  <sheetViews>
    <sheetView workbookViewId="0"/>
  </sheetViews>
  <sheetFormatPr defaultColWidth="11.5546875" defaultRowHeight="15" x14ac:dyDescent="0.2"/>
  <cols>
    <col min="1" max="1" width="27.6640625" customWidth="1"/>
    <col min="2" max="6" width="12.6640625" customWidth="1"/>
  </cols>
  <sheetData>
    <row r="1" spans="1:6" ht="30" customHeight="1" x14ac:dyDescent="0.3">
      <c r="A1" s="1" t="s">
        <v>231</v>
      </c>
    </row>
    <row r="2" spans="1:6" x14ac:dyDescent="0.2">
      <c r="A2" t="s">
        <v>232</v>
      </c>
    </row>
    <row r="3" spans="1:6" ht="30" customHeight="1" x14ac:dyDescent="0.25">
      <c r="A3" s="5" t="s">
        <v>233</v>
      </c>
    </row>
    <row r="4" spans="1:6" x14ac:dyDescent="0.2">
      <c r="A4" t="s">
        <v>234</v>
      </c>
    </row>
    <row r="5" spans="1:6" x14ac:dyDescent="0.2">
      <c r="A5" t="s">
        <v>235</v>
      </c>
    </row>
    <row r="6" spans="1:6" x14ac:dyDescent="0.2">
      <c r="A6" t="s">
        <v>236</v>
      </c>
    </row>
    <row r="7" spans="1:6" ht="15.75" x14ac:dyDescent="0.25">
      <c r="A7" s="8" t="s">
        <v>29</v>
      </c>
      <c r="B7" s="7" t="s">
        <v>32</v>
      </c>
      <c r="C7" s="7" t="s">
        <v>33</v>
      </c>
      <c r="D7" s="7" t="s">
        <v>34</v>
      </c>
      <c r="E7" s="7" t="s">
        <v>35</v>
      </c>
      <c r="F7" s="7" t="s">
        <v>36</v>
      </c>
    </row>
    <row r="8" spans="1:6" ht="15.75" x14ac:dyDescent="0.25">
      <c r="A8" s="5" t="s">
        <v>37</v>
      </c>
      <c r="B8" s="19">
        <v>2868</v>
      </c>
      <c r="C8" s="19">
        <v>2917</v>
      </c>
      <c r="D8" s="19">
        <v>2997</v>
      </c>
      <c r="E8" s="19">
        <v>3062</v>
      </c>
      <c r="F8" s="19">
        <v>3040</v>
      </c>
    </row>
    <row r="9" spans="1:6" ht="15.75" x14ac:dyDescent="0.25">
      <c r="A9" s="5" t="s">
        <v>38</v>
      </c>
      <c r="B9" s="19">
        <v>1029</v>
      </c>
      <c r="C9" s="19">
        <v>1083</v>
      </c>
      <c r="D9" s="19">
        <v>1159</v>
      </c>
      <c r="E9" s="19">
        <v>1269</v>
      </c>
      <c r="F9" s="19">
        <v>1284</v>
      </c>
    </row>
    <row r="10" spans="1:6" ht="15.75" x14ac:dyDescent="0.25">
      <c r="A10" s="11" t="s">
        <v>237</v>
      </c>
      <c r="B10" s="21">
        <v>3897</v>
      </c>
      <c r="C10" s="21">
        <v>4000</v>
      </c>
      <c r="D10" s="21">
        <v>4156</v>
      </c>
      <c r="E10" s="21">
        <v>4331</v>
      </c>
      <c r="F10" s="21">
        <v>4324</v>
      </c>
    </row>
  </sheetData>
  <pageMargins left="0.7" right="0.7" top="0.75" bottom="0.75" header="0.3" footer="0.3"/>
  <pageSetup paperSize="9"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Cover</vt:lpstr>
      <vt:lpstr>Introductory notes</vt:lpstr>
      <vt:lpstr>Contents</vt:lpstr>
      <vt:lpstr>Journeys</vt:lpstr>
      <vt:lpstr>Vehicles</vt:lpstr>
      <vt:lpstr>Staff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Public Transport Statistics 2025-26 Tables and Figures</dc:title>
  <dc:subject>Public Transport Statistics 2025-26 Northern Ireland</dc:subject>
  <dc:creator>ASRB</dc:creator>
  <cp:lastModifiedBy>Cairns, Holly</cp:lastModifiedBy>
  <dcterms:created xsi:type="dcterms:W3CDTF">2026-09-29T14:07:21Z</dcterms:created>
  <dcterms:modified xsi:type="dcterms:W3CDTF">2026-09-29T15:39:49Z</dcterms:modified>
  <cp:category>Public Transport</cp:category>
</cp:coreProperties>
</file>