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irnz.sharepoint.com/sites/RevenueForecasting/TeamFC/External requests/IR statistics for website/2025-08 Update/Publish 2025 update/"/>
    </mc:Choice>
  </mc:AlternateContent>
  <xr:revisionPtr revIDLastSave="6" documentId="8_{CE239303-110B-44A5-8044-9C4BD71FD0EB}" xr6:coauthVersionLast="47" xr6:coauthVersionMax="47" xr10:uidLastSave="{2F07E775-E50C-4A98-8607-2A7A5372CDD6}"/>
  <bookViews>
    <workbookView xWindow="-120" yWindow="-120" windowWidth="29040" windowHeight="15720" tabRatio="777" activeTab="3" xr2:uid="{00000000-000D-0000-FFFF-FFFF00000000}"/>
  </bookViews>
  <sheets>
    <sheet name="Explanatory notes" sheetId="35" r:id="rId1"/>
    <sheet name="Income distribution graphs" sheetId="56" r:id="rId2"/>
    <sheet name="Income tables 2001-24" sheetId="54" r:id="rId3"/>
    <sheet name="Age by income band distribution" sheetId="57" r:id="rId4"/>
    <sheet name="Hidden Graph Data" sheetId="55"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9" i="57" l="1"/>
  <c r="R186" i="55"/>
  <c r="B189" i="57" l="1"/>
  <c r="C189" i="57" l="1"/>
  <c r="D189" i="57"/>
  <c r="E189" i="57"/>
  <c r="F189" i="57"/>
  <c r="G189" i="57"/>
  <c r="H189" i="57"/>
  <c r="I189" i="57"/>
  <c r="J189" i="57"/>
  <c r="K189" i="57"/>
  <c r="L189" i="57"/>
  <c r="N189" i="57"/>
  <c r="O189" i="57"/>
  <c r="P189" i="57"/>
  <c r="R4" i="55" l="1"/>
  <c r="S4" i="55"/>
  <c r="T4" i="55"/>
  <c r="U4" i="55"/>
  <c r="V4" i="55"/>
  <c r="W4" i="55"/>
  <c r="X4" i="55"/>
  <c r="Y4" i="55"/>
  <c r="R5" i="55"/>
  <c r="S5" i="55"/>
  <c r="T5" i="55"/>
  <c r="U5" i="55"/>
  <c r="V5" i="55"/>
  <c r="W5" i="55"/>
  <c r="X5" i="55"/>
  <c r="Y5" i="55"/>
  <c r="R6" i="55"/>
  <c r="S6" i="55"/>
  <c r="T6" i="55"/>
  <c r="U6" i="55"/>
  <c r="V6" i="55"/>
  <c r="W6" i="55"/>
  <c r="X6" i="55"/>
  <c r="Y6" i="55"/>
  <c r="R7" i="55"/>
  <c r="S7" i="55"/>
  <c r="T7" i="55"/>
  <c r="U7" i="55"/>
  <c r="V7" i="55"/>
  <c r="W7" i="55"/>
  <c r="X7" i="55"/>
  <c r="Y7" i="55"/>
  <c r="R8" i="55"/>
  <c r="S8" i="55"/>
  <c r="T8" i="55"/>
  <c r="U8" i="55"/>
  <c r="V8" i="55"/>
  <c r="W8" i="55"/>
  <c r="X8" i="55"/>
  <c r="Y8" i="55"/>
  <c r="R9" i="55"/>
  <c r="S9" i="55"/>
  <c r="T9" i="55"/>
  <c r="U9" i="55"/>
  <c r="V9" i="55"/>
  <c r="W9" i="55"/>
  <c r="X9" i="55"/>
  <c r="Y9" i="55"/>
  <c r="R10" i="55"/>
  <c r="S10" i="55"/>
  <c r="T10" i="55"/>
  <c r="U10" i="55"/>
  <c r="V10" i="55"/>
  <c r="W10" i="55"/>
  <c r="X10" i="55"/>
  <c r="Y10" i="55"/>
  <c r="R11" i="55"/>
  <c r="S11" i="55"/>
  <c r="T11" i="55"/>
  <c r="U11" i="55"/>
  <c r="V11" i="55"/>
  <c r="W11" i="55"/>
  <c r="X11" i="55"/>
  <c r="Y11" i="55"/>
  <c r="R12" i="55"/>
  <c r="S12" i="55"/>
  <c r="T12" i="55"/>
  <c r="U12" i="55"/>
  <c r="V12" i="55"/>
  <c r="W12" i="55"/>
  <c r="X12" i="55"/>
  <c r="Y12" i="55"/>
  <c r="R13" i="55"/>
  <c r="S13" i="55"/>
  <c r="T13" i="55"/>
  <c r="U13" i="55"/>
  <c r="V13" i="55"/>
  <c r="W13" i="55"/>
  <c r="X13" i="55"/>
  <c r="Y13" i="55"/>
  <c r="R14" i="55"/>
  <c r="S14" i="55"/>
  <c r="T14" i="55"/>
  <c r="U14" i="55"/>
  <c r="V14" i="55"/>
  <c r="W14" i="55"/>
  <c r="X14" i="55"/>
  <c r="Y14" i="55"/>
  <c r="R15" i="55"/>
  <c r="S15" i="55"/>
  <c r="T15" i="55"/>
  <c r="U15" i="55"/>
  <c r="V15" i="55"/>
  <c r="W15" i="55"/>
  <c r="X15" i="55"/>
  <c r="Y15" i="55"/>
  <c r="R16" i="55"/>
  <c r="S16" i="55"/>
  <c r="T16" i="55"/>
  <c r="U16" i="55"/>
  <c r="V16" i="55"/>
  <c r="W16" i="55"/>
  <c r="X16" i="55"/>
  <c r="Y16" i="55"/>
  <c r="R17" i="55"/>
  <c r="S17" i="55"/>
  <c r="T17" i="55"/>
  <c r="U17" i="55"/>
  <c r="V17" i="55"/>
  <c r="W17" i="55"/>
  <c r="X17" i="55"/>
  <c r="Y17" i="55"/>
  <c r="R18" i="55"/>
  <c r="S18" i="55"/>
  <c r="T18" i="55"/>
  <c r="U18" i="55"/>
  <c r="V18" i="55"/>
  <c r="W18" i="55"/>
  <c r="X18" i="55"/>
  <c r="Y18" i="55"/>
  <c r="R19" i="55"/>
  <c r="S19" i="55"/>
  <c r="T19" i="55"/>
  <c r="U19" i="55"/>
  <c r="V19" i="55"/>
  <c r="W19" i="55"/>
  <c r="X19" i="55"/>
  <c r="Y19" i="55"/>
  <c r="R20" i="55"/>
  <c r="S20" i="55"/>
  <c r="T20" i="55"/>
  <c r="U20" i="55"/>
  <c r="V20" i="55"/>
  <c r="W20" i="55"/>
  <c r="X20" i="55"/>
  <c r="Y20" i="55"/>
  <c r="R21" i="55"/>
  <c r="S21" i="55"/>
  <c r="T21" i="55"/>
  <c r="U21" i="55"/>
  <c r="V21" i="55"/>
  <c r="W21" i="55"/>
  <c r="X21" i="55"/>
  <c r="Y21" i="55"/>
  <c r="R22" i="55"/>
  <c r="S22" i="55"/>
  <c r="T22" i="55"/>
  <c r="U22" i="55"/>
  <c r="V22" i="55"/>
  <c r="W22" i="55"/>
  <c r="X22" i="55"/>
  <c r="Y22" i="55"/>
  <c r="R23" i="55"/>
  <c r="S23" i="55"/>
  <c r="T23" i="55"/>
  <c r="U23" i="55"/>
  <c r="V23" i="55"/>
  <c r="W23" i="55"/>
  <c r="X23" i="55"/>
  <c r="Y23" i="55"/>
  <c r="R24" i="55"/>
  <c r="S24" i="55"/>
  <c r="T24" i="55"/>
  <c r="U24" i="55"/>
  <c r="V24" i="55"/>
  <c r="W24" i="55"/>
  <c r="X24" i="55"/>
  <c r="Y24" i="55"/>
  <c r="R25" i="55"/>
  <c r="S25" i="55"/>
  <c r="T25" i="55"/>
  <c r="U25" i="55"/>
  <c r="V25" i="55"/>
  <c r="W25" i="55"/>
  <c r="X25" i="55"/>
  <c r="Y25" i="55"/>
  <c r="R26" i="55"/>
  <c r="S26" i="55"/>
  <c r="T26" i="55"/>
  <c r="U26" i="55"/>
  <c r="V26" i="55"/>
  <c r="W26" i="55"/>
  <c r="X26" i="55"/>
  <c r="Y26" i="55"/>
  <c r="R27" i="55"/>
  <c r="S27" i="55"/>
  <c r="T27" i="55"/>
  <c r="U27" i="55"/>
  <c r="V27" i="55"/>
  <c r="W27" i="55"/>
  <c r="X27" i="55"/>
  <c r="Y27" i="55"/>
  <c r="R28" i="55"/>
  <c r="S28" i="55"/>
  <c r="T28" i="55"/>
  <c r="U28" i="55"/>
  <c r="V28" i="55"/>
  <c r="W28" i="55"/>
  <c r="X28" i="55"/>
  <c r="Y28" i="55"/>
  <c r="R29" i="55"/>
  <c r="S29" i="55"/>
  <c r="T29" i="55"/>
  <c r="U29" i="55"/>
  <c r="V29" i="55"/>
  <c r="W29" i="55"/>
  <c r="X29" i="55"/>
  <c r="Y29" i="55"/>
  <c r="R30" i="55"/>
  <c r="S30" i="55"/>
  <c r="T30" i="55"/>
  <c r="U30" i="55"/>
  <c r="V30" i="55"/>
  <c r="W30" i="55"/>
  <c r="X30" i="55"/>
  <c r="Y30" i="55"/>
  <c r="R31" i="55"/>
  <c r="S31" i="55"/>
  <c r="T31" i="55"/>
  <c r="U31" i="55"/>
  <c r="V31" i="55"/>
  <c r="W31" i="55"/>
  <c r="X31" i="55"/>
  <c r="Y31" i="55"/>
  <c r="R32" i="55"/>
  <c r="S32" i="55"/>
  <c r="T32" i="55"/>
  <c r="U32" i="55"/>
  <c r="V32" i="55"/>
  <c r="W32" i="55"/>
  <c r="X32" i="55"/>
  <c r="Y32" i="55"/>
  <c r="R33" i="55"/>
  <c r="S33" i="55"/>
  <c r="T33" i="55"/>
  <c r="U33" i="55"/>
  <c r="V33" i="55"/>
  <c r="W33" i="55"/>
  <c r="X33" i="55"/>
  <c r="Y33" i="55"/>
  <c r="R34" i="55"/>
  <c r="S34" i="55"/>
  <c r="T34" i="55"/>
  <c r="U34" i="55"/>
  <c r="V34" i="55"/>
  <c r="W34" i="55"/>
  <c r="X34" i="55"/>
  <c r="Y34" i="55"/>
  <c r="R35" i="55"/>
  <c r="S35" i="55"/>
  <c r="T35" i="55"/>
  <c r="U35" i="55"/>
  <c r="V35" i="55"/>
  <c r="W35" i="55"/>
  <c r="X35" i="55"/>
  <c r="Y35" i="55"/>
  <c r="R36" i="55"/>
  <c r="S36" i="55"/>
  <c r="T36" i="55"/>
  <c r="U36" i="55"/>
  <c r="V36" i="55"/>
  <c r="W36" i="55"/>
  <c r="X36" i="55"/>
  <c r="Y36" i="55"/>
  <c r="R37" i="55"/>
  <c r="S37" i="55"/>
  <c r="T37" i="55"/>
  <c r="U37" i="55"/>
  <c r="V37" i="55"/>
  <c r="W37" i="55"/>
  <c r="X37" i="55"/>
  <c r="Y37" i="55"/>
  <c r="R38" i="55"/>
  <c r="S38" i="55"/>
  <c r="T38" i="55"/>
  <c r="U38" i="55"/>
  <c r="V38" i="55"/>
  <c r="W38" i="55"/>
  <c r="X38" i="55"/>
  <c r="Y38" i="55"/>
  <c r="R39" i="55"/>
  <c r="S39" i="55"/>
  <c r="T39" i="55"/>
  <c r="U39" i="55"/>
  <c r="V39" i="55"/>
  <c r="W39" i="55"/>
  <c r="X39" i="55"/>
  <c r="Y39" i="55"/>
  <c r="R40" i="55"/>
  <c r="S40" i="55"/>
  <c r="T40" i="55"/>
  <c r="U40" i="55"/>
  <c r="V40" i="55"/>
  <c r="W40" i="55"/>
  <c r="X40" i="55"/>
  <c r="Y40" i="55"/>
  <c r="R41" i="55"/>
  <c r="S41" i="55"/>
  <c r="T41" i="55"/>
  <c r="U41" i="55"/>
  <c r="V41" i="55"/>
  <c r="W41" i="55"/>
  <c r="X41" i="55"/>
  <c r="Y41" i="55"/>
  <c r="R42" i="55"/>
  <c r="S42" i="55"/>
  <c r="T42" i="55"/>
  <c r="U42" i="55"/>
  <c r="V42" i="55"/>
  <c r="W42" i="55"/>
  <c r="X42" i="55"/>
  <c r="Y42" i="55"/>
  <c r="R43" i="55"/>
  <c r="S43" i="55"/>
  <c r="T43" i="55"/>
  <c r="U43" i="55"/>
  <c r="V43" i="55"/>
  <c r="W43" i="55"/>
  <c r="X43" i="55"/>
  <c r="Y43" i="55"/>
  <c r="R44" i="55"/>
  <c r="S44" i="55"/>
  <c r="T44" i="55"/>
  <c r="U44" i="55"/>
  <c r="V44" i="55"/>
  <c r="W44" i="55"/>
  <c r="X44" i="55"/>
  <c r="Y44" i="55"/>
  <c r="R45" i="55"/>
  <c r="S45" i="55"/>
  <c r="T45" i="55"/>
  <c r="U45" i="55"/>
  <c r="V45" i="55"/>
  <c r="W45" i="55"/>
  <c r="X45" i="55"/>
  <c r="Y45" i="55"/>
  <c r="R46" i="55"/>
  <c r="S46" i="55"/>
  <c r="T46" i="55"/>
  <c r="U46" i="55"/>
  <c r="V46" i="55"/>
  <c r="W46" i="55"/>
  <c r="X46" i="55"/>
  <c r="Y46" i="55"/>
  <c r="R47" i="55"/>
  <c r="S47" i="55"/>
  <c r="T47" i="55"/>
  <c r="U47" i="55"/>
  <c r="V47" i="55"/>
  <c r="W47" i="55"/>
  <c r="X47" i="55"/>
  <c r="Y47" i="55"/>
  <c r="R48" i="55"/>
  <c r="S48" i="55"/>
  <c r="T48" i="55"/>
  <c r="U48" i="55"/>
  <c r="V48" i="55"/>
  <c r="W48" i="55"/>
  <c r="X48" i="55"/>
  <c r="Y48" i="55"/>
  <c r="R49" i="55"/>
  <c r="S49" i="55"/>
  <c r="T49" i="55"/>
  <c r="U49" i="55"/>
  <c r="V49" i="55"/>
  <c r="W49" i="55"/>
  <c r="X49" i="55"/>
  <c r="Y49" i="55"/>
  <c r="R50" i="55"/>
  <c r="S50" i="55"/>
  <c r="T50" i="55"/>
  <c r="U50" i="55"/>
  <c r="V50" i="55"/>
  <c r="W50" i="55"/>
  <c r="X50" i="55"/>
  <c r="Y50" i="55"/>
  <c r="R51" i="55"/>
  <c r="S51" i="55"/>
  <c r="T51" i="55"/>
  <c r="U51" i="55"/>
  <c r="V51" i="55"/>
  <c r="W51" i="55"/>
  <c r="X51" i="55"/>
  <c r="Y51" i="55"/>
  <c r="R52" i="55"/>
  <c r="S52" i="55"/>
  <c r="T52" i="55"/>
  <c r="U52" i="55"/>
  <c r="V52" i="55"/>
  <c r="W52" i="55"/>
  <c r="X52" i="55"/>
  <c r="Y52" i="55"/>
  <c r="R53" i="55"/>
  <c r="S53" i="55"/>
  <c r="T53" i="55"/>
  <c r="U53" i="55"/>
  <c r="V53" i="55"/>
  <c r="W53" i="55"/>
  <c r="X53" i="55"/>
  <c r="Y53" i="55"/>
  <c r="R54" i="55"/>
  <c r="S54" i="55"/>
  <c r="T54" i="55"/>
  <c r="U54" i="55"/>
  <c r="V54" i="55"/>
  <c r="W54" i="55"/>
  <c r="X54" i="55"/>
  <c r="Y54" i="55"/>
  <c r="R55" i="55"/>
  <c r="S55" i="55"/>
  <c r="T55" i="55"/>
  <c r="U55" i="55"/>
  <c r="V55" i="55"/>
  <c r="W55" i="55"/>
  <c r="X55" i="55"/>
  <c r="Y55" i="55"/>
  <c r="R56" i="55"/>
  <c r="S56" i="55"/>
  <c r="T56" i="55"/>
  <c r="U56" i="55"/>
  <c r="V56" i="55"/>
  <c r="W56" i="55"/>
  <c r="X56" i="55"/>
  <c r="Y56" i="55"/>
  <c r="R57" i="55"/>
  <c r="S57" i="55"/>
  <c r="T57" i="55"/>
  <c r="U57" i="55"/>
  <c r="V57" i="55"/>
  <c r="W57" i="55"/>
  <c r="X57" i="55"/>
  <c r="Y57" i="55"/>
  <c r="R58" i="55"/>
  <c r="S58" i="55"/>
  <c r="T58" i="55"/>
  <c r="U58" i="55"/>
  <c r="V58" i="55"/>
  <c r="W58" i="55"/>
  <c r="X58" i="55"/>
  <c r="Y58" i="55"/>
  <c r="R59" i="55"/>
  <c r="S59" i="55"/>
  <c r="T59" i="55"/>
  <c r="U59" i="55"/>
  <c r="V59" i="55"/>
  <c r="W59" i="55"/>
  <c r="X59" i="55"/>
  <c r="Y59" i="55"/>
  <c r="R60" i="55"/>
  <c r="S60" i="55"/>
  <c r="T60" i="55"/>
  <c r="U60" i="55"/>
  <c r="V60" i="55"/>
  <c r="W60" i="55"/>
  <c r="X60" i="55"/>
  <c r="Y60" i="55"/>
  <c r="R61" i="55"/>
  <c r="S61" i="55"/>
  <c r="T61" i="55"/>
  <c r="U61" i="55"/>
  <c r="V61" i="55"/>
  <c r="W61" i="55"/>
  <c r="X61" i="55"/>
  <c r="Y61" i="55"/>
  <c r="R62" i="55"/>
  <c r="S62" i="55"/>
  <c r="T62" i="55"/>
  <c r="U62" i="55"/>
  <c r="V62" i="55"/>
  <c r="W62" i="55"/>
  <c r="X62" i="55"/>
  <c r="Y62" i="55"/>
  <c r="R63" i="55"/>
  <c r="S63" i="55"/>
  <c r="T63" i="55"/>
  <c r="U63" i="55"/>
  <c r="V63" i="55"/>
  <c r="W63" i="55"/>
  <c r="X63" i="55"/>
  <c r="Y63" i="55"/>
  <c r="R64" i="55"/>
  <c r="S64" i="55"/>
  <c r="T64" i="55"/>
  <c r="U64" i="55"/>
  <c r="V64" i="55"/>
  <c r="W64" i="55"/>
  <c r="X64" i="55"/>
  <c r="Y64" i="55"/>
  <c r="R65" i="55"/>
  <c r="S65" i="55"/>
  <c r="T65" i="55"/>
  <c r="U65" i="55"/>
  <c r="V65" i="55"/>
  <c r="W65" i="55"/>
  <c r="X65" i="55"/>
  <c r="Y65" i="55"/>
  <c r="R66" i="55"/>
  <c r="S66" i="55"/>
  <c r="T66" i="55"/>
  <c r="U66" i="55"/>
  <c r="V66" i="55"/>
  <c r="W66" i="55"/>
  <c r="X66" i="55"/>
  <c r="Y66" i="55"/>
  <c r="R67" i="55"/>
  <c r="S67" i="55"/>
  <c r="T67" i="55"/>
  <c r="U67" i="55"/>
  <c r="V67" i="55"/>
  <c r="W67" i="55"/>
  <c r="X67" i="55"/>
  <c r="Y67" i="55"/>
  <c r="R68" i="55"/>
  <c r="S68" i="55"/>
  <c r="T68" i="55"/>
  <c r="U68" i="55"/>
  <c r="V68" i="55"/>
  <c r="W68" i="55"/>
  <c r="X68" i="55"/>
  <c r="Y68" i="55"/>
  <c r="R69" i="55"/>
  <c r="S69" i="55"/>
  <c r="T69" i="55"/>
  <c r="U69" i="55"/>
  <c r="V69" i="55"/>
  <c r="W69" i="55"/>
  <c r="X69" i="55"/>
  <c r="Y69" i="55"/>
  <c r="R70" i="55"/>
  <c r="S70" i="55"/>
  <c r="T70" i="55"/>
  <c r="U70" i="55"/>
  <c r="V70" i="55"/>
  <c r="W70" i="55"/>
  <c r="X70" i="55"/>
  <c r="Y70" i="55"/>
  <c r="R71" i="55"/>
  <c r="S71" i="55"/>
  <c r="T71" i="55"/>
  <c r="U71" i="55"/>
  <c r="V71" i="55"/>
  <c r="W71" i="55"/>
  <c r="X71" i="55"/>
  <c r="Y71" i="55"/>
  <c r="R72" i="55"/>
  <c r="S72" i="55"/>
  <c r="T72" i="55"/>
  <c r="U72" i="55"/>
  <c r="V72" i="55"/>
  <c r="W72" i="55"/>
  <c r="X72" i="55"/>
  <c r="Y72" i="55"/>
  <c r="R73" i="55"/>
  <c r="S73" i="55"/>
  <c r="T73" i="55"/>
  <c r="U73" i="55"/>
  <c r="V73" i="55"/>
  <c r="W73" i="55"/>
  <c r="X73" i="55"/>
  <c r="Y73" i="55"/>
  <c r="R74" i="55"/>
  <c r="S74" i="55"/>
  <c r="T74" i="55"/>
  <c r="U74" i="55"/>
  <c r="V74" i="55"/>
  <c r="W74" i="55"/>
  <c r="X74" i="55"/>
  <c r="Y74" i="55"/>
  <c r="R75" i="55"/>
  <c r="S75" i="55"/>
  <c r="T75" i="55"/>
  <c r="U75" i="55"/>
  <c r="V75" i="55"/>
  <c r="W75" i="55"/>
  <c r="X75" i="55"/>
  <c r="Y75" i="55"/>
  <c r="R76" i="55"/>
  <c r="S76" i="55"/>
  <c r="T76" i="55"/>
  <c r="U76" i="55"/>
  <c r="V76" i="55"/>
  <c r="W76" i="55"/>
  <c r="X76" i="55"/>
  <c r="Y76" i="55"/>
  <c r="R77" i="55"/>
  <c r="S77" i="55"/>
  <c r="T77" i="55"/>
  <c r="U77" i="55"/>
  <c r="V77" i="55"/>
  <c r="W77" i="55"/>
  <c r="X77" i="55"/>
  <c r="Y77" i="55"/>
  <c r="R78" i="55"/>
  <c r="S78" i="55"/>
  <c r="T78" i="55"/>
  <c r="U78" i="55"/>
  <c r="V78" i="55"/>
  <c r="W78" i="55"/>
  <c r="X78" i="55"/>
  <c r="Y78" i="55"/>
  <c r="R79" i="55"/>
  <c r="S79" i="55"/>
  <c r="T79" i="55"/>
  <c r="U79" i="55"/>
  <c r="V79" i="55"/>
  <c r="W79" i="55"/>
  <c r="X79" i="55"/>
  <c r="Y79" i="55"/>
  <c r="R80" i="55"/>
  <c r="S80" i="55"/>
  <c r="T80" i="55"/>
  <c r="U80" i="55"/>
  <c r="V80" i="55"/>
  <c r="W80" i="55"/>
  <c r="X80" i="55"/>
  <c r="Y80" i="55"/>
  <c r="R81" i="55"/>
  <c r="S81" i="55"/>
  <c r="T81" i="55"/>
  <c r="U81" i="55"/>
  <c r="V81" i="55"/>
  <c r="W81" i="55"/>
  <c r="X81" i="55"/>
  <c r="Y81" i="55"/>
  <c r="R82" i="55"/>
  <c r="S82" i="55"/>
  <c r="T82" i="55"/>
  <c r="U82" i="55"/>
  <c r="V82" i="55"/>
  <c r="W82" i="55"/>
  <c r="X82" i="55"/>
  <c r="Y82" i="55"/>
  <c r="R83" i="55"/>
  <c r="S83" i="55"/>
  <c r="T83" i="55"/>
  <c r="U83" i="55"/>
  <c r="V83" i="55"/>
  <c r="W83" i="55"/>
  <c r="X83" i="55"/>
  <c r="Y83" i="55"/>
  <c r="R84" i="55"/>
  <c r="S84" i="55"/>
  <c r="T84" i="55"/>
  <c r="U84" i="55"/>
  <c r="V84" i="55"/>
  <c r="W84" i="55"/>
  <c r="X84" i="55"/>
  <c r="Y84" i="55"/>
  <c r="R85" i="55"/>
  <c r="S85" i="55"/>
  <c r="T85" i="55"/>
  <c r="U85" i="55"/>
  <c r="V85" i="55"/>
  <c r="W85" i="55"/>
  <c r="X85" i="55"/>
  <c r="Y85" i="55"/>
  <c r="R86" i="55"/>
  <c r="S86" i="55"/>
  <c r="T86" i="55"/>
  <c r="U86" i="55"/>
  <c r="V86" i="55"/>
  <c r="W86" i="55"/>
  <c r="X86" i="55"/>
  <c r="Y86" i="55"/>
  <c r="R87" i="55"/>
  <c r="S87" i="55"/>
  <c r="T87" i="55"/>
  <c r="U87" i="55"/>
  <c r="V87" i="55"/>
  <c r="W87" i="55"/>
  <c r="X87" i="55"/>
  <c r="Y87" i="55"/>
  <c r="R88" i="55"/>
  <c r="S88" i="55"/>
  <c r="T88" i="55"/>
  <c r="U88" i="55"/>
  <c r="V88" i="55"/>
  <c r="W88" i="55"/>
  <c r="X88" i="55"/>
  <c r="Y88" i="55"/>
  <c r="R89" i="55"/>
  <c r="S89" i="55"/>
  <c r="T89" i="55"/>
  <c r="U89" i="55"/>
  <c r="V89" i="55"/>
  <c r="W89" i="55"/>
  <c r="X89" i="55"/>
  <c r="Y89" i="55"/>
  <c r="R90" i="55"/>
  <c r="S90" i="55"/>
  <c r="T90" i="55"/>
  <c r="U90" i="55"/>
  <c r="V90" i="55"/>
  <c r="W90" i="55"/>
  <c r="X90" i="55"/>
  <c r="Y90" i="55"/>
  <c r="R91" i="55"/>
  <c r="S91" i="55"/>
  <c r="T91" i="55"/>
  <c r="U91" i="55"/>
  <c r="V91" i="55"/>
  <c r="W91" i="55"/>
  <c r="X91" i="55"/>
  <c r="Y91" i="55"/>
  <c r="R92" i="55"/>
  <c r="S92" i="55"/>
  <c r="T92" i="55"/>
  <c r="U92" i="55"/>
  <c r="V92" i="55"/>
  <c r="W92" i="55"/>
  <c r="X92" i="55"/>
  <c r="Y92" i="55"/>
  <c r="R93" i="55"/>
  <c r="S93" i="55"/>
  <c r="T93" i="55"/>
  <c r="U93" i="55"/>
  <c r="V93" i="55"/>
  <c r="W93" i="55"/>
  <c r="X93" i="55"/>
  <c r="Y93" i="55"/>
  <c r="R94" i="55"/>
  <c r="S94" i="55"/>
  <c r="T94" i="55"/>
  <c r="U94" i="55"/>
  <c r="V94" i="55"/>
  <c r="W94" i="55"/>
  <c r="X94" i="55"/>
  <c r="Y94" i="55"/>
  <c r="R95" i="55"/>
  <c r="S95" i="55"/>
  <c r="T95" i="55"/>
  <c r="U95" i="55"/>
  <c r="V95" i="55"/>
  <c r="W95" i="55"/>
  <c r="X95" i="55"/>
  <c r="Y95" i="55"/>
  <c r="R96" i="55"/>
  <c r="S96" i="55"/>
  <c r="T96" i="55"/>
  <c r="U96" i="55"/>
  <c r="V96" i="55"/>
  <c r="W96" i="55"/>
  <c r="X96" i="55"/>
  <c r="Y96" i="55"/>
  <c r="R97" i="55"/>
  <c r="S97" i="55"/>
  <c r="T97" i="55"/>
  <c r="U97" i="55"/>
  <c r="V97" i="55"/>
  <c r="W97" i="55"/>
  <c r="X97" i="55"/>
  <c r="Y97" i="55"/>
  <c r="R98" i="55"/>
  <c r="S98" i="55"/>
  <c r="T98" i="55"/>
  <c r="U98" i="55"/>
  <c r="V98" i="55"/>
  <c r="W98" i="55"/>
  <c r="X98" i="55"/>
  <c r="Y98" i="55"/>
  <c r="R99" i="55"/>
  <c r="S99" i="55"/>
  <c r="T99" i="55"/>
  <c r="U99" i="55"/>
  <c r="V99" i="55"/>
  <c r="W99" i="55"/>
  <c r="X99" i="55"/>
  <c r="Y99" i="55"/>
  <c r="R100" i="55"/>
  <c r="S100" i="55"/>
  <c r="T100" i="55"/>
  <c r="U100" i="55"/>
  <c r="V100" i="55"/>
  <c r="W100" i="55"/>
  <c r="X100" i="55"/>
  <c r="Y100" i="55"/>
  <c r="R101" i="55"/>
  <c r="S101" i="55"/>
  <c r="T101" i="55"/>
  <c r="U101" i="55"/>
  <c r="V101" i="55"/>
  <c r="W101" i="55"/>
  <c r="X101" i="55"/>
  <c r="Y101" i="55"/>
  <c r="R102" i="55"/>
  <c r="S102" i="55"/>
  <c r="T102" i="55"/>
  <c r="U102" i="55"/>
  <c r="V102" i="55"/>
  <c r="W102" i="55"/>
  <c r="X102" i="55"/>
  <c r="Y102" i="55"/>
  <c r="R103" i="55"/>
  <c r="S103" i="55"/>
  <c r="T103" i="55"/>
  <c r="U103" i="55"/>
  <c r="V103" i="55"/>
  <c r="W103" i="55"/>
  <c r="X103" i="55"/>
  <c r="Y103" i="55"/>
  <c r="R104" i="55"/>
  <c r="S104" i="55"/>
  <c r="T104" i="55"/>
  <c r="U104" i="55"/>
  <c r="V104" i="55"/>
  <c r="W104" i="55"/>
  <c r="X104" i="55"/>
  <c r="Y104" i="55"/>
  <c r="R105" i="55"/>
  <c r="S105" i="55"/>
  <c r="T105" i="55"/>
  <c r="U105" i="55"/>
  <c r="V105" i="55"/>
  <c r="W105" i="55"/>
  <c r="X105" i="55"/>
  <c r="Y105" i="55"/>
  <c r="R106" i="55"/>
  <c r="S106" i="55"/>
  <c r="T106" i="55"/>
  <c r="U106" i="55"/>
  <c r="V106" i="55"/>
  <c r="W106" i="55"/>
  <c r="X106" i="55"/>
  <c r="Y106" i="55"/>
  <c r="R107" i="55"/>
  <c r="S107" i="55"/>
  <c r="T107" i="55"/>
  <c r="U107" i="55"/>
  <c r="V107" i="55"/>
  <c r="W107" i="55"/>
  <c r="X107" i="55"/>
  <c r="Y107" i="55"/>
  <c r="R108" i="55"/>
  <c r="S108" i="55"/>
  <c r="T108" i="55"/>
  <c r="U108" i="55"/>
  <c r="V108" i="55"/>
  <c r="W108" i="55"/>
  <c r="X108" i="55"/>
  <c r="Y108" i="55"/>
  <c r="R109" i="55"/>
  <c r="S109" i="55"/>
  <c r="T109" i="55"/>
  <c r="U109" i="55"/>
  <c r="V109" i="55"/>
  <c r="W109" i="55"/>
  <c r="X109" i="55"/>
  <c r="Y109" i="55"/>
  <c r="R110" i="55"/>
  <c r="S110" i="55"/>
  <c r="T110" i="55"/>
  <c r="U110" i="55"/>
  <c r="V110" i="55"/>
  <c r="W110" i="55"/>
  <c r="X110" i="55"/>
  <c r="Y110" i="55"/>
  <c r="R111" i="55"/>
  <c r="S111" i="55"/>
  <c r="T111" i="55"/>
  <c r="U111" i="55"/>
  <c r="V111" i="55"/>
  <c r="W111" i="55"/>
  <c r="X111" i="55"/>
  <c r="Y111" i="55"/>
  <c r="R112" i="55"/>
  <c r="S112" i="55"/>
  <c r="T112" i="55"/>
  <c r="U112" i="55"/>
  <c r="V112" i="55"/>
  <c r="W112" i="55"/>
  <c r="X112" i="55"/>
  <c r="Y112" i="55"/>
  <c r="R113" i="55"/>
  <c r="S113" i="55"/>
  <c r="T113" i="55"/>
  <c r="U113" i="55"/>
  <c r="V113" i="55"/>
  <c r="W113" i="55"/>
  <c r="X113" i="55"/>
  <c r="Y113" i="55"/>
  <c r="R114" i="55"/>
  <c r="S114" i="55"/>
  <c r="T114" i="55"/>
  <c r="U114" i="55"/>
  <c r="V114" i="55"/>
  <c r="W114" i="55"/>
  <c r="X114" i="55"/>
  <c r="Y114" i="55"/>
  <c r="R115" i="55"/>
  <c r="S115" i="55"/>
  <c r="T115" i="55"/>
  <c r="U115" i="55"/>
  <c r="V115" i="55"/>
  <c r="W115" i="55"/>
  <c r="X115" i="55"/>
  <c r="Y115" i="55"/>
  <c r="R116" i="55"/>
  <c r="S116" i="55"/>
  <c r="T116" i="55"/>
  <c r="U116" i="55"/>
  <c r="V116" i="55"/>
  <c r="W116" i="55"/>
  <c r="X116" i="55"/>
  <c r="Y116" i="55"/>
  <c r="R117" i="55"/>
  <c r="S117" i="55"/>
  <c r="T117" i="55"/>
  <c r="U117" i="55"/>
  <c r="V117" i="55"/>
  <c r="W117" i="55"/>
  <c r="X117" i="55"/>
  <c r="Y117" i="55"/>
  <c r="R118" i="55"/>
  <c r="S118" i="55"/>
  <c r="T118" i="55"/>
  <c r="U118" i="55"/>
  <c r="V118" i="55"/>
  <c r="W118" i="55"/>
  <c r="X118" i="55"/>
  <c r="Y118" i="55"/>
  <c r="R119" i="55"/>
  <c r="S119" i="55"/>
  <c r="T119" i="55"/>
  <c r="U119" i="55"/>
  <c r="V119" i="55"/>
  <c r="W119" i="55"/>
  <c r="X119" i="55"/>
  <c r="Y119" i="55"/>
  <c r="R120" i="55"/>
  <c r="S120" i="55"/>
  <c r="T120" i="55"/>
  <c r="U120" i="55"/>
  <c r="V120" i="55"/>
  <c r="W120" i="55"/>
  <c r="X120" i="55"/>
  <c r="Y120" i="55"/>
  <c r="R121" i="55"/>
  <c r="S121" i="55"/>
  <c r="T121" i="55"/>
  <c r="U121" i="55"/>
  <c r="V121" i="55"/>
  <c r="W121" i="55"/>
  <c r="X121" i="55"/>
  <c r="Y121" i="55"/>
  <c r="R122" i="55"/>
  <c r="S122" i="55"/>
  <c r="T122" i="55"/>
  <c r="U122" i="55"/>
  <c r="V122" i="55"/>
  <c r="W122" i="55"/>
  <c r="X122" i="55"/>
  <c r="Y122" i="55"/>
  <c r="R123" i="55"/>
  <c r="S123" i="55"/>
  <c r="T123" i="55"/>
  <c r="U123" i="55"/>
  <c r="V123" i="55"/>
  <c r="W123" i="55"/>
  <c r="X123" i="55"/>
  <c r="Y123" i="55"/>
  <c r="R124" i="55"/>
  <c r="S124" i="55"/>
  <c r="T124" i="55"/>
  <c r="U124" i="55"/>
  <c r="V124" i="55"/>
  <c r="W124" i="55"/>
  <c r="X124" i="55"/>
  <c r="Y124" i="55"/>
  <c r="R125" i="55"/>
  <c r="S125" i="55"/>
  <c r="T125" i="55"/>
  <c r="U125" i="55"/>
  <c r="V125" i="55"/>
  <c r="W125" i="55"/>
  <c r="X125" i="55"/>
  <c r="Y125" i="55"/>
  <c r="R126" i="55"/>
  <c r="S126" i="55"/>
  <c r="T126" i="55"/>
  <c r="U126" i="55"/>
  <c r="V126" i="55"/>
  <c r="W126" i="55"/>
  <c r="X126" i="55"/>
  <c r="Y126" i="55"/>
  <c r="R127" i="55"/>
  <c r="S127" i="55"/>
  <c r="T127" i="55"/>
  <c r="U127" i="55"/>
  <c r="V127" i="55"/>
  <c r="W127" i="55"/>
  <c r="X127" i="55"/>
  <c r="Y127" i="55"/>
  <c r="R128" i="55"/>
  <c r="S128" i="55"/>
  <c r="T128" i="55"/>
  <c r="U128" i="55"/>
  <c r="V128" i="55"/>
  <c r="W128" i="55"/>
  <c r="X128" i="55"/>
  <c r="Y128" i="55"/>
  <c r="R129" i="55"/>
  <c r="S129" i="55"/>
  <c r="T129" i="55"/>
  <c r="U129" i="55"/>
  <c r="V129" i="55"/>
  <c r="W129" i="55"/>
  <c r="X129" i="55"/>
  <c r="Y129" i="55"/>
  <c r="R130" i="55"/>
  <c r="S130" i="55"/>
  <c r="T130" i="55"/>
  <c r="U130" i="55"/>
  <c r="V130" i="55"/>
  <c r="W130" i="55"/>
  <c r="X130" i="55"/>
  <c r="Y130" i="55"/>
  <c r="R131" i="55"/>
  <c r="S131" i="55"/>
  <c r="T131" i="55"/>
  <c r="U131" i="55"/>
  <c r="V131" i="55"/>
  <c r="W131" i="55"/>
  <c r="X131" i="55"/>
  <c r="Y131" i="55"/>
  <c r="R132" i="55"/>
  <c r="S132" i="55"/>
  <c r="T132" i="55"/>
  <c r="U132" i="55"/>
  <c r="V132" i="55"/>
  <c r="W132" i="55"/>
  <c r="X132" i="55"/>
  <c r="Y132" i="55"/>
  <c r="R133" i="55"/>
  <c r="S133" i="55"/>
  <c r="T133" i="55"/>
  <c r="U133" i="55"/>
  <c r="V133" i="55"/>
  <c r="W133" i="55"/>
  <c r="X133" i="55"/>
  <c r="Y133" i="55"/>
  <c r="R134" i="55"/>
  <c r="S134" i="55"/>
  <c r="T134" i="55"/>
  <c r="U134" i="55"/>
  <c r="V134" i="55"/>
  <c r="W134" i="55"/>
  <c r="X134" i="55"/>
  <c r="Y134" i="55"/>
  <c r="R135" i="55"/>
  <c r="S135" i="55"/>
  <c r="T135" i="55"/>
  <c r="U135" i="55"/>
  <c r="V135" i="55"/>
  <c r="W135" i="55"/>
  <c r="X135" i="55"/>
  <c r="Y135" i="55"/>
  <c r="R136" i="55"/>
  <c r="S136" i="55"/>
  <c r="T136" i="55"/>
  <c r="U136" i="55"/>
  <c r="V136" i="55"/>
  <c r="W136" i="55"/>
  <c r="X136" i="55"/>
  <c r="Y136" i="55"/>
  <c r="R137" i="55"/>
  <c r="S137" i="55"/>
  <c r="T137" i="55"/>
  <c r="U137" i="55"/>
  <c r="V137" i="55"/>
  <c r="W137" i="55"/>
  <c r="X137" i="55"/>
  <c r="Y137" i="55"/>
  <c r="R138" i="55"/>
  <c r="S138" i="55"/>
  <c r="T138" i="55"/>
  <c r="U138" i="55"/>
  <c r="V138" i="55"/>
  <c r="W138" i="55"/>
  <c r="X138" i="55"/>
  <c r="Y138" i="55"/>
  <c r="R139" i="55"/>
  <c r="S139" i="55"/>
  <c r="T139" i="55"/>
  <c r="U139" i="55"/>
  <c r="V139" i="55"/>
  <c r="W139" i="55"/>
  <c r="X139" i="55"/>
  <c r="Y139" i="55"/>
  <c r="R140" i="55"/>
  <c r="S140" i="55"/>
  <c r="T140" i="55"/>
  <c r="U140" i="55"/>
  <c r="V140" i="55"/>
  <c r="W140" i="55"/>
  <c r="X140" i="55"/>
  <c r="Y140" i="55"/>
  <c r="R141" i="55"/>
  <c r="S141" i="55"/>
  <c r="T141" i="55"/>
  <c r="U141" i="55"/>
  <c r="V141" i="55"/>
  <c r="W141" i="55"/>
  <c r="X141" i="55"/>
  <c r="Y141" i="55"/>
  <c r="R142" i="55"/>
  <c r="S142" i="55"/>
  <c r="T142" i="55"/>
  <c r="U142" i="55"/>
  <c r="V142" i="55"/>
  <c r="W142" i="55"/>
  <c r="X142" i="55"/>
  <c r="Y142" i="55"/>
  <c r="R143" i="55"/>
  <c r="S143" i="55"/>
  <c r="T143" i="55"/>
  <c r="U143" i="55"/>
  <c r="V143" i="55"/>
  <c r="W143" i="55"/>
  <c r="X143" i="55"/>
  <c r="Y143" i="55"/>
  <c r="R144" i="55"/>
  <c r="S144" i="55"/>
  <c r="T144" i="55"/>
  <c r="U144" i="55"/>
  <c r="V144" i="55"/>
  <c r="W144" i="55"/>
  <c r="X144" i="55"/>
  <c r="Y144" i="55"/>
  <c r="R145" i="55"/>
  <c r="S145" i="55"/>
  <c r="T145" i="55"/>
  <c r="U145" i="55"/>
  <c r="V145" i="55"/>
  <c r="W145" i="55"/>
  <c r="X145" i="55"/>
  <c r="Y145" i="55"/>
  <c r="R146" i="55"/>
  <c r="S146" i="55"/>
  <c r="T146" i="55"/>
  <c r="U146" i="55"/>
  <c r="V146" i="55"/>
  <c r="W146" i="55"/>
  <c r="X146" i="55"/>
  <c r="Y146" i="55"/>
  <c r="R147" i="55"/>
  <c r="S147" i="55"/>
  <c r="T147" i="55"/>
  <c r="U147" i="55"/>
  <c r="V147" i="55"/>
  <c r="W147" i="55"/>
  <c r="X147" i="55"/>
  <c r="Y147" i="55"/>
  <c r="R148" i="55"/>
  <c r="S148" i="55"/>
  <c r="T148" i="55"/>
  <c r="U148" i="55"/>
  <c r="V148" i="55"/>
  <c r="W148" i="55"/>
  <c r="X148" i="55"/>
  <c r="Y148" i="55"/>
  <c r="R149" i="55"/>
  <c r="S149" i="55"/>
  <c r="T149" i="55"/>
  <c r="U149" i="55"/>
  <c r="V149" i="55"/>
  <c r="W149" i="55"/>
  <c r="X149" i="55"/>
  <c r="Y149" i="55"/>
  <c r="R150" i="55"/>
  <c r="S150" i="55"/>
  <c r="T150" i="55"/>
  <c r="U150" i="55"/>
  <c r="V150" i="55"/>
  <c r="W150" i="55"/>
  <c r="X150" i="55"/>
  <c r="Y150" i="55"/>
  <c r="R151" i="55"/>
  <c r="S151" i="55"/>
  <c r="T151" i="55"/>
  <c r="U151" i="55"/>
  <c r="V151" i="55"/>
  <c r="W151" i="55"/>
  <c r="X151" i="55"/>
  <c r="Y151" i="55"/>
  <c r="R152" i="55"/>
  <c r="S152" i="55"/>
  <c r="T152" i="55"/>
  <c r="U152" i="55"/>
  <c r="V152" i="55"/>
  <c r="W152" i="55"/>
  <c r="X152" i="55"/>
  <c r="Y152" i="55"/>
  <c r="R153" i="55"/>
  <c r="S153" i="55"/>
  <c r="T153" i="55"/>
  <c r="U153" i="55"/>
  <c r="V153" i="55"/>
  <c r="W153" i="55"/>
  <c r="X153" i="55"/>
  <c r="Y153" i="55"/>
  <c r="R154" i="55"/>
  <c r="S154" i="55"/>
  <c r="T154" i="55"/>
  <c r="U154" i="55"/>
  <c r="V154" i="55"/>
  <c r="W154" i="55"/>
  <c r="X154" i="55"/>
  <c r="Y154" i="55"/>
  <c r="R155" i="55"/>
  <c r="S155" i="55"/>
  <c r="T155" i="55"/>
  <c r="U155" i="55"/>
  <c r="V155" i="55"/>
  <c r="W155" i="55"/>
  <c r="X155" i="55"/>
  <c r="Y155" i="55"/>
  <c r="R156" i="55"/>
  <c r="S156" i="55"/>
  <c r="T156" i="55"/>
  <c r="U156" i="55"/>
  <c r="V156" i="55"/>
  <c r="W156" i="55"/>
  <c r="X156" i="55"/>
  <c r="Y156" i="55"/>
  <c r="R157" i="55"/>
  <c r="S157" i="55"/>
  <c r="T157" i="55"/>
  <c r="U157" i="55"/>
  <c r="V157" i="55"/>
  <c r="W157" i="55"/>
  <c r="X157" i="55"/>
  <c r="Y157" i="55"/>
  <c r="R158" i="55"/>
  <c r="S158" i="55"/>
  <c r="T158" i="55"/>
  <c r="U158" i="55"/>
  <c r="V158" i="55"/>
  <c r="W158" i="55"/>
  <c r="X158" i="55"/>
  <c r="Y158" i="55"/>
  <c r="R159" i="55"/>
  <c r="S159" i="55"/>
  <c r="T159" i="55"/>
  <c r="U159" i="55"/>
  <c r="V159" i="55"/>
  <c r="W159" i="55"/>
  <c r="X159" i="55"/>
  <c r="Y159" i="55"/>
  <c r="R160" i="55"/>
  <c r="S160" i="55"/>
  <c r="T160" i="55"/>
  <c r="U160" i="55"/>
  <c r="V160" i="55"/>
  <c r="W160" i="55"/>
  <c r="X160" i="55"/>
  <c r="Y160" i="55"/>
  <c r="R161" i="55"/>
  <c r="S161" i="55"/>
  <c r="T161" i="55"/>
  <c r="U161" i="55"/>
  <c r="V161" i="55"/>
  <c r="W161" i="55"/>
  <c r="X161" i="55"/>
  <c r="Y161" i="55"/>
  <c r="R162" i="55"/>
  <c r="S162" i="55"/>
  <c r="T162" i="55"/>
  <c r="U162" i="55"/>
  <c r="V162" i="55"/>
  <c r="W162" i="55"/>
  <c r="X162" i="55"/>
  <c r="Y162" i="55"/>
  <c r="R163" i="55"/>
  <c r="S163" i="55"/>
  <c r="T163" i="55"/>
  <c r="U163" i="55"/>
  <c r="V163" i="55"/>
  <c r="W163" i="55"/>
  <c r="X163" i="55"/>
  <c r="Y163" i="55"/>
  <c r="R164" i="55"/>
  <c r="S164" i="55"/>
  <c r="T164" i="55"/>
  <c r="U164" i="55"/>
  <c r="V164" i="55"/>
  <c r="W164" i="55"/>
  <c r="X164" i="55"/>
  <c r="Y164" i="55"/>
  <c r="R165" i="55"/>
  <c r="S165" i="55"/>
  <c r="T165" i="55"/>
  <c r="U165" i="55"/>
  <c r="V165" i="55"/>
  <c r="W165" i="55"/>
  <c r="X165" i="55"/>
  <c r="Y165" i="55"/>
  <c r="R166" i="55"/>
  <c r="S166" i="55"/>
  <c r="T166" i="55"/>
  <c r="U166" i="55"/>
  <c r="V166" i="55"/>
  <c r="W166" i="55"/>
  <c r="X166" i="55"/>
  <c r="Y166" i="55"/>
  <c r="R167" i="55"/>
  <c r="S167" i="55"/>
  <c r="T167" i="55"/>
  <c r="U167" i="55"/>
  <c r="V167" i="55"/>
  <c r="W167" i="55"/>
  <c r="X167" i="55"/>
  <c r="Y167" i="55"/>
  <c r="R168" i="55"/>
  <c r="S168" i="55"/>
  <c r="T168" i="55"/>
  <c r="U168" i="55"/>
  <c r="V168" i="55"/>
  <c r="W168" i="55"/>
  <c r="X168" i="55"/>
  <c r="Y168" i="55"/>
  <c r="R169" i="55"/>
  <c r="S169" i="55"/>
  <c r="T169" i="55"/>
  <c r="U169" i="55"/>
  <c r="V169" i="55"/>
  <c r="W169" i="55"/>
  <c r="X169" i="55"/>
  <c r="Y169" i="55"/>
  <c r="R170" i="55"/>
  <c r="S170" i="55"/>
  <c r="T170" i="55"/>
  <c r="U170" i="55"/>
  <c r="V170" i="55"/>
  <c r="W170" i="55"/>
  <c r="X170" i="55"/>
  <c r="Y170" i="55"/>
  <c r="R171" i="55"/>
  <c r="S171" i="55"/>
  <c r="T171" i="55"/>
  <c r="U171" i="55"/>
  <c r="V171" i="55"/>
  <c r="W171" i="55"/>
  <c r="X171" i="55"/>
  <c r="Y171" i="55"/>
  <c r="R172" i="55"/>
  <c r="S172" i="55"/>
  <c r="T172" i="55"/>
  <c r="U172" i="55"/>
  <c r="V172" i="55"/>
  <c r="W172" i="55"/>
  <c r="X172" i="55"/>
  <c r="Y172" i="55"/>
  <c r="R173" i="55"/>
  <c r="S173" i="55"/>
  <c r="T173" i="55"/>
  <c r="U173" i="55"/>
  <c r="V173" i="55"/>
  <c r="W173" i="55"/>
  <c r="X173" i="55"/>
  <c r="Y173" i="55"/>
  <c r="R174" i="55"/>
  <c r="S174" i="55"/>
  <c r="T174" i="55"/>
  <c r="U174" i="55"/>
  <c r="V174" i="55"/>
  <c r="W174" i="55"/>
  <c r="X174" i="55"/>
  <c r="Y174" i="55"/>
  <c r="R175" i="55"/>
  <c r="S175" i="55"/>
  <c r="T175" i="55"/>
  <c r="U175" i="55"/>
  <c r="V175" i="55"/>
  <c r="W175" i="55"/>
  <c r="X175" i="55"/>
  <c r="Y175" i="55"/>
  <c r="R176" i="55"/>
  <c r="S176" i="55"/>
  <c r="T176" i="55"/>
  <c r="U176" i="55"/>
  <c r="V176" i="55"/>
  <c r="W176" i="55"/>
  <c r="X176" i="55"/>
  <c r="Y176" i="55"/>
  <c r="R177" i="55"/>
  <c r="S177" i="55"/>
  <c r="T177" i="55"/>
  <c r="U177" i="55"/>
  <c r="V177" i="55"/>
  <c r="W177" i="55"/>
  <c r="X177" i="55"/>
  <c r="Y177" i="55"/>
  <c r="R178" i="55"/>
  <c r="S178" i="55"/>
  <c r="T178" i="55"/>
  <c r="U178" i="55"/>
  <c r="V178" i="55"/>
  <c r="W178" i="55"/>
  <c r="X178" i="55"/>
  <c r="Y178" i="55"/>
  <c r="R179" i="55"/>
  <c r="S179" i="55"/>
  <c r="T179" i="55"/>
  <c r="U179" i="55"/>
  <c r="V179" i="55"/>
  <c r="W179" i="55"/>
  <c r="X179" i="55"/>
  <c r="Y179" i="55"/>
  <c r="R180" i="55"/>
  <c r="S180" i="55"/>
  <c r="T180" i="55"/>
  <c r="U180" i="55"/>
  <c r="V180" i="55"/>
  <c r="W180" i="55"/>
  <c r="X180" i="55"/>
  <c r="Y180" i="55"/>
  <c r="R181" i="55"/>
  <c r="S181" i="55"/>
  <c r="T181" i="55"/>
  <c r="U181" i="55"/>
  <c r="V181" i="55"/>
  <c r="W181" i="55"/>
  <c r="X181" i="55"/>
  <c r="Y181" i="55"/>
  <c r="R182" i="55"/>
  <c r="S182" i="55"/>
  <c r="T182" i="55"/>
  <c r="U182" i="55"/>
  <c r="V182" i="55"/>
  <c r="W182" i="55"/>
  <c r="X182" i="55"/>
  <c r="Y182" i="55"/>
  <c r="R183" i="55"/>
  <c r="S183" i="55"/>
  <c r="T183" i="55"/>
  <c r="U183" i="55"/>
  <c r="V183" i="55"/>
  <c r="W183" i="55"/>
  <c r="X183" i="55"/>
  <c r="Y183" i="55"/>
  <c r="R184" i="55"/>
  <c r="S184" i="55"/>
  <c r="T184" i="55"/>
  <c r="U184" i="55"/>
  <c r="V184" i="55"/>
  <c r="W184" i="55"/>
  <c r="X184" i="55"/>
  <c r="Y184" i="55"/>
  <c r="R185" i="55"/>
  <c r="S185" i="55"/>
  <c r="T185" i="55"/>
  <c r="U185" i="55"/>
  <c r="V185" i="55"/>
  <c r="W185" i="55"/>
  <c r="X185" i="55"/>
  <c r="Y185" i="55"/>
  <c r="S186" i="55"/>
  <c r="T186" i="55"/>
  <c r="U186" i="55"/>
  <c r="V186" i="55"/>
  <c r="W186" i="55"/>
  <c r="X186" i="55"/>
  <c r="Y186" i="55"/>
  <c r="Y3" i="55"/>
  <c r="X3" i="55"/>
  <c r="W3" i="55"/>
  <c r="V3" i="55"/>
  <c r="U3" i="55"/>
  <c r="T3" i="55"/>
  <c r="S3" i="55"/>
  <c r="R3" i="55"/>
  <c r="BU246" i="54" l="1"/>
  <c r="L5" i="55" l="1"/>
  <c r="M5" i="55"/>
  <c r="L6" i="55"/>
  <c r="M6" i="55"/>
  <c r="L7" i="55"/>
  <c r="M7" i="55"/>
  <c r="L8" i="55"/>
  <c r="M8" i="55"/>
  <c r="L9" i="55"/>
  <c r="M9" i="55"/>
  <c r="L10" i="55"/>
  <c r="M10" i="55"/>
  <c r="L11" i="55"/>
  <c r="M11" i="55"/>
  <c r="L12" i="55"/>
  <c r="M12" i="55"/>
  <c r="L13" i="55"/>
  <c r="M13" i="55"/>
  <c r="L14" i="55"/>
  <c r="M14" i="55"/>
  <c r="L15" i="55"/>
  <c r="M15" i="55"/>
  <c r="L16" i="55"/>
  <c r="M16" i="55"/>
  <c r="L17" i="55"/>
  <c r="M17" i="55"/>
  <c r="L18" i="55"/>
  <c r="M18" i="55"/>
  <c r="L19" i="55"/>
  <c r="M19" i="55"/>
  <c r="L20" i="55"/>
  <c r="M20" i="55"/>
  <c r="L21" i="55"/>
  <c r="M21" i="55"/>
  <c r="L22" i="55"/>
  <c r="M22" i="55"/>
  <c r="L23" i="55"/>
  <c r="M23" i="55"/>
  <c r="L24" i="55"/>
  <c r="M24" i="55"/>
  <c r="L25" i="55"/>
  <c r="M25" i="55"/>
  <c r="L26" i="55"/>
  <c r="M26" i="55"/>
  <c r="L27" i="55"/>
  <c r="M27" i="55"/>
  <c r="L28" i="55"/>
  <c r="M28" i="55"/>
  <c r="L29" i="55"/>
  <c r="M29" i="55"/>
  <c r="L30" i="55"/>
  <c r="M30" i="55"/>
  <c r="L31" i="55"/>
  <c r="M31" i="55"/>
  <c r="L32" i="55"/>
  <c r="M32" i="55"/>
  <c r="L33" i="55"/>
  <c r="M33" i="55"/>
  <c r="L34" i="55"/>
  <c r="M34" i="55"/>
  <c r="L35" i="55"/>
  <c r="M35" i="55"/>
  <c r="L36" i="55"/>
  <c r="M36" i="55"/>
  <c r="L37" i="55"/>
  <c r="M37" i="55"/>
  <c r="L38" i="55"/>
  <c r="M38" i="55"/>
  <c r="L39" i="55"/>
  <c r="M39" i="55"/>
  <c r="L40" i="55"/>
  <c r="M40" i="55"/>
  <c r="L41" i="55"/>
  <c r="M41" i="55"/>
  <c r="L42" i="55"/>
  <c r="M42" i="55"/>
  <c r="L43" i="55"/>
  <c r="M43" i="55"/>
  <c r="L44" i="55"/>
  <c r="M44" i="55"/>
  <c r="L45" i="55"/>
  <c r="M45" i="55"/>
  <c r="L46" i="55"/>
  <c r="M46" i="55"/>
  <c r="L47" i="55"/>
  <c r="M47" i="55"/>
  <c r="L48" i="55"/>
  <c r="M48" i="55"/>
  <c r="L49" i="55"/>
  <c r="M49" i="55"/>
  <c r="L50" i="55"/>
  <c r="M50" i="55"/>
  <c r="L51" i="55"/>
  <c r="M51" i="55"/>
  <c r="L52" i="55"/>
  <c r="M52" i="55"/>
  <c r="L53" i="55"/>
  <c r="M53" i="55"/>
  <c r="L54" i="55"/>
  <c r="M54" i="55"/>
  <c r="L55" i="55"/>
  <c r="M55" i="55"/>
  <c r="L56" i="55"/>
  <c r="M56" i="55"/>
  <c r="L57" i="55"/>
  <c r="M57" i="55"/>
  <c r="L58" i="55"/>
  <c r="M58" i="55"/>
  <c r="L59" i="55"/>
  <c r="M59" i="55"/>
  <c r="L60" i="55"/>
  <c r="M60" i="55"/>
  <c r="L61" i="55"/>
  <c r="M61" i="55"/>
  <c r="L62" i="55"/>
  <c r="M62" i="55"/>
  <c r="L63" i="55"/>
  <c r="M63" i="55"/>
  <c r="L64" i="55"/>
  <c r="M64" i="55"/>
  <c r="L65" i="55"/>
  <c r="M65" i="55"/>
  <c r="L66" i="55"/>
  <c r="M66" i="55"/>
  <c r="L67" i="55"/>
  <c r="M67" i="55"/>
  <c r="L68" i="55"/>
  <c r="M68" i="55"/>
  <c r="L69" i="55"/>
  <c r="M69" i="55"/>
  <c r="L70" i="55"/>
  <c r="M70" i="55"/>
  <c r="L71" i="55"/>
  <c r="M71" i="55"/>
  <c r="L72" i="55"/>
  <c r="M72" i="55"/>
  <c r="L73" i="55"/>
  <c r="M73" i="55"/>
  <c r="L74" i="55"/>
  <c r="M74" i="55"/>
  <c r="L75" i="55"/>
  <c r="M75" i="55"/>
  <c r="L76" i="55"/>
  <c r="M76" i="55"/>
  <c r="L77" i="55"/>
  <c r="M77" i="55"/>
  <c r="L78" i="55"/>
  <c r="M78" i="55"/>
  <c r="L79" i="55"/>
  <c r="M79" i="55"/>
  <c r="L80" i="55"/>
  <c r="M80" i="55"/>
  <c r="L81" i="55"/>
  <c r="M81" i="55"/>
  <c r="L82" i="55"/>
  <c r="M82" i="55"/>
  <c r="L83" i="55"/>
  <c r="M83" i="55"/>
  <c r="L84" i="55"/>
  <c r="M84" i="55"/>
  <c r="L85" i="55"/>
  <c r="M85" i="55"/>
  <c r="L86" i="55"/>
  <c r="M86" i="55"/>
  <c r="L87" i="55"/>
  <c r="M87" i="55"/>
  <c r="L88" i="55"/>
  <c r="M88" i="55"/>
  <c r="L89" i="55"/>
  <c r="M89" i="55"/>
  <c r="L90" i="55"/>
  <c r="M90" i="55"/>
  <c r="L91" i="55"/>
  <c r="M91" i="55"/>
  <c r="L92" i="55"/>
  <c r="M92" i="55"/>
  <c r="L93" i="55"/>
  <c r="M93" i="55"/>
  <c r="L94" i="55"/>
  <c r="M94" i="55"/>
  <c r="L95" i="55"/>
  <c r="M95" i="55"/>
  <c r="L96" i="55"/>
  <c r="M96" i="55"/>
  <c r="L97" i="55"/>
  <c r="M97" i="55"/>
  <c r="L98" i="55"/>
  <c r="M98" i="55"/>
  <c r="L99" i="55"/>
  <c r="M99" i="55"/>
  <c r="L100" i="55"/>
  <c r="M100" i="55"/>
  <c r="L101" i="55"/>
  <c r="M101" i="55"/>
  <c r="L102" i="55"/>
  <c r="M102" i="55"/>
  <c r="L103" i="55"/>
  <c r="M103" i="55"/>
  <c r="L104" i="55"/>
  <c r="M104" i="55"/>
  <c r="L105" i="55"/>
  <c r="M105" i="55"/>
  <c r="L106" i="55"/>
  <c r="M106" i="55"/>
  <c r="L107" i="55"/>
  <c r="M107" i="55"/>
  <c r="L108" i="55"/>
  <c r="M108" i="55"/>
  <c r="L109" i="55"/>
  <c r="M109" i="55"/>
  <c r="L110" i="55"/>
  <c r="M110" i="55"/>
  <c r="L111" i="55"/>
  <c r="M111" i="55"/>
  <c r="L112" i="55"/>
  <c r="M112" i="55"/>
  <c r="L113" i="55"/>
  <c r="M113" i="55"/>
  <c r="L114" i="55"/>
  <c r="M114" i="55"/>
  <c r="L115" i="55"/>
  <c r="M115" i="55"/>
  <c r="L116" i="55"/>
  <c r="M116" i="55"/>
  <c r="L117" i="55"/>
  <c r="M117" i="55"/>
  <c r="L118" i="55"/>
  <c r="M118" i="55"/>
  <c r="L119" i="55"/>
  <c r="M119" i="55"/>
  <c r="L120" i="55"/>
  <c r="M120" i="55"/>
  <c r="L121" i="55"/>
  <c r="M121" i="55"/>
  <c r="L122" i="55"/>
  <c r="M122" i="55"/>
  <c r="L123" i="55"/>
  <c r="M123" i="55"/>
  <c r="L124" i="55"/>
  <c r="M124" i="55"/>
  <c r="L125" i="55"/>
  <c r="M125" i="55"/>
  <c r="L126" i="55"/>
  <c r="M126" i="55"/>
  <c r="L127" i="55"/>
  <c r="M127" i="55"/>
  <c r="L128" i="55"/>
  <c r="M128" i="55"/>
  <c r="L129" i="55"/>
  <c r="M129" i="55"/>
  <c r="L130" i="55"/>
  <c r="M130" i="55"/>
  <c r="L131" i="55"/>
  <c r="M131" i="55"/>
  <c r="L132" i="55"/>
  <c r="M132" i="55"/>
  <c r="L133" i="55"/>
  <c r="M133" i="55"/>
  <c r="L134" i="55"/>
  <c r="M134" i="55"/>
  <c r="L135" i="55"/>
  <c r="M135" i="55"/>
  <c r="L136" i="55"/>
  <c r="M136" i="55"/>
  <c r="L137" i="55"/>
  <c r="M137" i="55"/>
  <c r="L138" i="55"/>
  <c r="M138" i="55"/>
  <c r="L139" i="55"/>
  <c r="M139" i="55"/>
  <c r="L140" i="55"/>
  <c r="M140" i="55"/>
  <c r="L141" i="55"/>
  <c r="M141" i="55"/>
  <c r="L142" i="55"/>
  <c r="M142" i="55"/>
  <c r="L143" i="55"/>
  <c r="M143" i="55"/>
  <c r="L144" i="55"/>
  <c r="M144" i="55"/>
  <c r="L145" i="55"/>
  <c r="M145" i="55"/>
  <c r="L146" i="55"/>
  <c r="M146" i="55"/>
  <c r="L147" i="55"/>
  <c r="M147" i="55"/>
  <c r="L148" i="55"/>
  <c r="M148" i="55"/>
  <c r="L149" i="55"/>
  <c r="M149" i="55"/>
  <c r="L150" i="55"/>
  <c r="M150" i="55"/>
  <c r="L151" i="55"/>
  <c r="M151" i="55"/>
  <c r="L152" i="55"/>
  <c r="M152" i="55"/>
  <c r="L153" i="55"/>
  <c r="M153" i="55"/>
  <c r="L154" i="55"/>
  <c r="M154" i="55"/>
  <c r="L155" i="55"/>
  <c r="M155" i="55"/>
  <c r="L156" i="55"/>
  <c r="M156" i="55"/>
  <c r="L157" i="55"/>
  <c r="M157" i="55"/>
  <c r="L158" i="55"/>
  <c r="M158" i="55"/>
  <c r="L159" i="55"/>
  <c r="M159" i="55"/>
  <c r="L160" i="55"/>
  <c r="M160" i="55"/>
  <c r="L161" i="55"/>
  <c r="M161" i="55"/>
  <c r="L162" i="55"/>
  <c r="M162" i="55"/>
  <c r="L163" i="55"/>
  <c r="M163" i="55"/>
  <c r="L164" i="55"/>
  <c r="M164" i="55"/>
  <c r="L165" i="55"/>
  <c r="M165" i="55"/>
  <c r="L166" i="55"/>
  <c r="M166" i="55"/>
  <c r="L167" i="55"/>
  <c r="M167" i="55"/>
  <c r="L168" i="55"/>
  <c r="M168" i="55"/>
  <c r="L169" i="55"/>
  <c r="M169" i="55"/>
  <c r="L170" i="55"/>
  <c r="M170" i="55"/>
  <c r="L171" i="55"/>
  <c r="M171" i="55"/>
  <c r="L172" i="55"/>
  <c r="M172" i="55"/>
  <c r="L173" i="55"/>
  <c r="M173" i="55"/>
  <c r="L174" i="55"/>
  <c r="M174" i="55"/>
  <c r="L175" i="55"/>
  <c r="M175" i="55"/>
  <c r="L176" i="55"/>
  <c r="M176" i="55"/>
  <c r="L177" i="55"/>
  <c r="M177" i="55"/>
  <c r="L178" i="55"/>
  <c r="M178" i="55"/>
  <c r="L179" i="55"/>
  <c r="M179" i="55"/>
  <c r="L180" i="55"/>
  <c r="M180" i="55"/>
  <c r="L181" i="55"/>
  <c r="M181" i="55"/>
  <c r="L182" i="55"/>
  <c r="M182" i="55"/>
  <c r="L183" i="55"/>
  <c r="M183" i="55"/>
  <c r="L184" i="55"/>
  <c r="M184" i="55"/>
  <c r="L185" i="55"/>
  <c r="M185" i="55"/>
  <c r="L186" i="55"/>
  <c r="M186" i="55"/>
  <c r="L187" i="55"/>
  <c r="M187" i="55"/>
  <c r="L188" i="55"/>
  <c r="M188" i="55"/>
  <c r="L189" i="55"/>
  <c r="M189" i="55"/>
  <c r="L190" i="55"/>
  <c r="M190" i="55"/>
  <c r="L191" i="55"/>
  <c r="M191" i="55"/>
  <c r="L192" i="55"/>
  <c r="M192" i="55"/>
  <c r="L193" i="55"/>
  <c r="M193" i="55"/>
  <c r="L194" i="55"/>
  <c r="M194" i="55"/>
  <c r="L195" i="55"/>
  <c r="M195" i="55"/>
  <c r="L196" i="55"/>
  <c r="M196" i="55"/>
  <c r="L197" i="55"/>
  <c r="M197" i="55"/>
  <c r="L198" i="55"/>
  <c r="M198" i="55"/>
  <c r="L199" i="55"/>
  <c r="M199" i="55"/>
  <c r="L200" i="55"/>
  <c r="M200" i="55"/>
  <c r="L201" i="55"/>
  <c r="M201" i="55"/>
  <c r="L202" i="55"/>
  <c r="M202" i="55"/>
  <c r="L203" i="55"/>
  <c r="M203" i="55"/>
  <c r="H5" i="55"/>
  <c r="I5" i="55"/>
  <c r="H6" i="55"/>
  <c r="I6" i="55"/>
  <c r="H7" i="55"/>
  <c r="I7" i="55"/>
  <c r="H8" i="55"/>
  <c r="I8" i="55"/>
  <c r="H9" i="55"/>
  <c r="I9" i="55"/>
  <c r="H10" i="55"/>
  <c r="I10" i="55"/>
  <c r="H11" i="55"/>
  <c r="I11" i="55"/>
  <c r="H12" i="55"/>
  <c r="I12" i="55"/>
  <c r="H13" i="55"/>
  <c r="I13" i="55"/>
  <c r="H14" i="55"/>
  <c r="I14" i="55"/>
  <c r="H15" i="55"/>
  <c r="I15" i="55"/>
  <c r="H16" i="55"/>
  <c r="I16" i="55"/>
  <c r="H17" i="55"/>
  <c r="I17" i="55"/>
  <c r="H18" i="55"/>
  <c r="I18" i="55"/>
  <c r="H19" i="55"/>
  <c r="I19" i="55"/>
  <c r="H20" i="55"/>
  <c r="I20" i="55"/>
  <c r="H21" i="55"/>
  <c r="I21" i="55"/>
  <c r="H22" i="55"/>
  <c r="I22" i="55"/>
  <c r="H23" i="55"/>
  <c r="I23" i="55"/>
  <c r="H24" i="55"/>
  <c r="I24" i="55"/>
  <c r="H25" i="55"/>
  <c r="I25" i="55"/>
  <c r="H26" i="55"/>
  <c r="I26" i="55"/>
  <c r="H27" i="55"/>
  <c r="I27" i="55"/>
  <c r="H28" i="55"/>
  <c r="I28" i="55"/>
  <c r="H29" i="55"/>
  <c r="I29" i="55"/>
  <c r="H30" i="55"/>
  <c r="I30" i="55"/>
  <c r="H31" i="55"/>
  <c r="I31" i="55"/>
  <c r="H32" i="55"/>
  <c r="I32" i="55"/>
  <c r="H33" i="55"/>
  <c r="I33" i="55"/>
  <c r="H34" i="55"/>
  <c r="I34" i="55"/>
  <c r="H35" i="55"/>
  <c r="I35" i="55"/>
  <c r="H36" i="55"/>
  <c r="I36" i="55"/>
  <c r="H37" i="55"/>
  <c r="I37" i="55"/>
  <c r="H38" i="55"/>
  <c r="I38" i="55"/>
  <c r="H39" i="55"/>
  <c r="I39" i="55"/>
  <c r="H40" i="55"/>
  <c r="I40" i="55"/>
  <c r="H41" i="55"/>
  <c r="I41" i="55"/>
  <c r="H42" i="55"/>
  <c r="I42" i="55"/>
  <c r="H43" i="55"/>
  <c r="I43" i="55"/>
  <c r="H44" i="55"/>
  <c r="I44" i="55"/>
  <c r="H45" i="55"/>
  <c r="I45" i="55"/>
  <c r="H46" i="55"/>
  <c r="I46" i="55"/>
  <c r="H47" i="55"/>
  <c r="I47" i="55"/>
  <c r="H48" i="55"/>
  <c r="I48" i="55"/>
  <c r="H49" i="55"/>
  <c r="I49" i="55"/>
  <c r="H50" i="55"/>
  <c r="I50" i="55"/>
  <c r="H51" i="55"/>
  <c r="I51" i="55"/>
  <c r="H52" i="55"/>
  <c r="I52" i="55"/>
  <c r="H53" i="55"/>
  <c r="I53" i="55"/>
  <c r="H54" i="55"/>
  <c r="I54" i="55"/>
  <c r="H55" i="55"/>
  <c r="I55" i="55"/>
  <c r="H56" i="55"/>
  <c r="I56" i="55"/>
  <c r="H57" i="55"/>
  <c r="I57" i="55"/>
  <c r="H58" i="55"/>
  <c r="I58" i="55"/>
  <c r="H59" i="55"/>
  <c r="I59" i="55"/>
  <c r="H60" i="55"/>
  <c r="I60" i="55"/>
  <c r="H61" i="55"/>
  <c r="I61" i="55"/>
  <c r="H62" i="55"/>
  <c r="I62" i="55"/>
  <c r="H63" i="55"/>
  <c r="I63" i="55"/>
  <c r="H64" i="55"/>
  <c r="I64" i="55"/>
  <c r="H65" i="55"/>
  <c r="I65" i="55"/>
  <c r="H66" i="55"/>
  <c r="I66" i="55"/>
  <c r="H67" i="55"/>
  <c r="I67" i="55"/>
  <c r="H68" i="55"/>
  <c r="I68" i="55"/>
  <c r="H69" i="55"/>
  <c r="I69" i="55"/>
  <c r="H70" i="55"/>
  <c r="I70" i="55"/>
  <c r="H71" i="55"/>
  <c r="I71" i="55"/>
  <c r="H72" i="55"/>
  <c r="I72" i="55"/>
  <c r="H73" i="55"/>
  <c r="I73" i="55"/>
  <c r="H74" i="55"/>
  <c r="I74" i="55"/>
  <c r="H75" i="55"/>
  <c r="I75" i="55"/>
  <c r="H76" i="55"/>
  <c r="I76" i="55"/>
  <c r="H77" i="55"/>
  <c r="I77" i="55"/>
  <c r="H78" i="55"/>
  <c r="I78" i="55"/>
  <c r="H79" i="55"/>
  <c r="I79" i="55"/>
  <c r="H80" i="55"/>
  <c r="I80" i="55"/>
  <c r="H81" i="55"/>
  <c r="I81" i="55"/>
  <c r="H82" i="55"/>
  <c r="I82" i="55"/>
  <c r="H83" i="55"/>
  <c r="I83" i="55"/>
  <c r="H84" i="55"/>
  <c r="I84" i="55"/>
  <c r="H85" i="55"/>
  <c r="I85" i="55"/>
  <c r="H86" i="55"/>
  <c r="I86" i="55"/>
  <c r="H87" i="55"/>
  <c r="I87" i="55"/>
  <c r="H88" i="55"/>
  <c r="I88" i="55"/>
  <c r="H89" i="55"/>
  <c r="I89" i="55"/>
  <c r="H90" i="55"/>
  <c r="I90" i="55"/>
  <c r="H91" i="55"/>
  <c r="I91" i="55"/>
  <c r="H92" i="55"/>
  <c r="I92" i="55"/>
  <c r="H93" i="55"/>
  <c r="I93" i="55"/>
  <c r="H94" i="55"/>
  <c r="I94" i="55"/>
  <c r="H95" i="55"/>
  <c r="I95" i="55"/>
  <c r="H96" i="55"/>
  <c r="I96" i="55"/>
  <c r="H97" i="55"/>
  <c r="I97" i="55"/>
  <c r="H98" i="55"/>
  <c r="I98" i="55"/>
  <c r="H99" i="55"/>
  <c r="I99" i="55"/>
  <c r="H100" i="55"/>
  <c r="I100" i="55"/>
  <c r="H101" i="55"/>
  <c r="I101" i="55"/>
  <c r="H102" i="55"/>
  <c r="I102" i="55"/>
  <c r="H103" i="55"/>
  <c r="I103" i="55"/>
  <c r="H104" i="55"/>
  <c r="I104" i="55"/>
  <c r="H105" i="55"/>
  <c r="I105" i="55"/>
  <c r="H106" i="55"/>
  <c r="I106" i="55"/>
  <c r="H107" i="55"/>
  <c r="I107" i="55"/>
  <c r="H108" i="55"/>
  <c r="I108" i="55"/>
  <c r="H109" i="55"/>
  <c r="I109" i="55"/>
  <c r="H110" i="55"/>
  <c r="I110" i="55"/>
  <c r="H111" i="55"/>
  <c r="I111" i="55"/>
  <c r="H112" i="55"/>
  <c r="I112" i="55"/>
  <c r="H113" i="55"/>
  <c r="I113" i="55"/>
  <c r="H114" i="55"/>
  <c r="I114" i="55"/>
  <c r="H115" i="55"/>
  <c r="I115" i="55"/>
  <c r="H116" i="55"/>
  <c r="I116" i="55"/>
  <c r="H117" i="55"/>
  <c r="I117" i="55"/>
  <c r="H118" i="55"/>
  <c r="I118" i="55"/>
  <c r="H119" i="55"/>
  <c r="I119" i="55"/>
  <c r="H120" i="55"/>
  <c r="I120" i="55"/>
  <c r="H121" i="55"/>
  <c r="I121" i="55"/>
  <c r="H122" i="55"/>
  <c r="I122" i="55"/>
  <c r="H123" i="55"/>
  <c r="I123" i="55"/>
  <c r="H124" i="55"/>
  <c r="I124" i="55"/>
  <c r="H125" i="55"/>
  <c r="I125" i="55"/>
  <c r="H126" i="55"/>
  <c r="I126" i="55"/>
  <c r="H127" i="55"/>
  <c r="I127" i="55"/>
  <c r="H128" i="55"/>
  <c r="I128" i="55"/>
  <c r="H129" i="55"/>
  <c r="I129" i="55"/>
  <c r="H130" i="55"/>
  <c r="I130" i="55"/>
  <c r="H131" i="55"/>
  <c r="I131" i="55"/>
  <c r="H132" i="55"/>
  <c r="I132" i="55"/>
  <c r="H133" i="55"/>
  <c r="I133" i="55"/>
  <c r="H134" i="55"/>
  <c r="I134" i="55"/>
  <c r="H135" i="55"/>
  <c r="I135" i="55"/>
  <c r="H136" i="55"/>
  <c r="I136" i="55"/>
  <c r="H137" i="55"/>
  <c r="I137" i="55"/>
  <c r="H138" i="55"/>
  <c r="I138" i="55"/>
  <c r="H139" i="55"/>
  <c r="I139" i="55"/>
  <c r="H140" i="55"/>
  <c r="I140" i="55"/>
  <c r="H141" i="55"/>
  <c r="I141" i="55"/>
  <c r="H142" i="55"/>
  <c r="I142" i="55"/>
  <c r="H143" i="55"/>
  <c r="I143" i="55"/>
  <c r="H144" i="55"/>
  <c r="I144" i="55"/>
  <c r="H145" i="55"/>
  <c r="I145" i="55"/>
  <c r="H146" i="55"/>
  <c r="I146" i="55"/>
  <c r="H147" i="55"/>
  <c r="I147" i="55"/>
  <c r="H148" i="55"/>
  <c r="I148" i="55"/>
  <c r="H149" i="55"/>
  <c r="I149" i="55"/>
  <c r="H150" i="55"/>
  <c r="I150" i="55"/>
  <c r="H151" i="55"/>
  <c r="I151" i="55"/>
  <c r="H152" i="55"/>
  <c r="I152" i="55"/>
  <c r="H153" i="55"/>
  <c r="I153" i="55"/>
  <c r="H154" i="55"/>
  <c r="I154" i="55"/>
  <c r="H155" i="55"/>
  <c r="I155" i="55"/>
  <c r="H156" i="55"/>
  <c r="I156" i="55"/>
  <c r="H157" i="55"/>
  <c r="I157" i="55"/>
  <c r="H158" i="55"/>
  <c r="I158" i="55"/>
  <c r="H159" i="55"/>
  <c r="I159" i="55"/>
  <c r="H160" i="55"/>
  <c r="I160" i="55"/>
  <c r="H161" i="55"/>
  <c r="I161" i="55"/>
  <c r="H162" i="55"/>
  <c r="I162" i="55"/>
  <c r="H163" i="55"/>
  <c r="I163" i="55"/>
  <c r="H164" i="55"/>
  <c r="I164" i="55"/>
  <c r="H165" i="55"/>
  <c r="I165" i="55"/>
  <c r="H166" i="55"/>
  <c r="I166" i="55"/>
  <c r="H167" i="55"/>
  <c r="I167" i="55"/>
  <c r="H168" i="55"/>
  <c r="I168" i="55"/>
  <c r="H169" i="55"/>
  <c r="I169" i="55"/>
  <c r="H170" i="55"/>
  <c r="I170" i="55"/>
  <c r="H171" i="55"/>
  <c r="I171" i="55"/>
  <c r="H172" i="55"/>
  <c r="I172" i="55"/>
  <c r="H173" i="55"/>
  <c r="I173" i="55"/>
  <c r="H174" i="55"/>
  <c r="I174" i="55"/>
  <c r="H175" i="55"/>
  <c r="I175" i="55"/>
  <c r="H176" i="55"/>
  <c r="I176" i="55"/>
  <c r="H177" i="55"/>
  <c r="I177" i="55"/>
  <c r="H178" i="55"/>
  <c r="I178" i="55"/>
  <c r="H179" i="55"/>
  <c r="I179" i="55"/>
  <c r="H180" i="55"/>
  <c r="I180" i="55"/>
  <c r="H181" i="55"/>
  <c r="I181" i="55"/>
  <c r="H182" i="55"/>
  <c r="I182" i="55"/>
  <c r="H183" i="55"/>
  <c r="I183" i="55"/>
  <c r="H184" i="55"/>
  <c r="I184" i="55"/>
  <c r="H185" i="55"/>
  <c r="I185" i="55"/>
  <c r="H186" i="55"/>
  <c r="I186" i="55"/>
  <c r="H187" i="55"/>
  <c r="I187" i="55"/>
  <c r="H188" i="55"/>
  <c r="I188" i="55"/>
  <c r="H189" i="55"/>
  <c r="I189" i="55"/>
  <c r="H190" i="55"/>
  <c r="I190" i="55"/>
  <c r="H191" i="55"/>
  <c r="I191" i="55"/>
  <c r="H192" i="55"/>
  <c r="I192" i="55"/>
  <c r="H193" i="55"/>
  <c r="I193" i="55"/>
  <c r="H194" i="55"/>
  <c r="I194" i="55"/>
  <c r="H195" i="55"/>
  <c r="I195" i="55"/>
  <c r="H196" i="55"/>
  <c r="I196" i="55"/>
  <c r="H197" i="55"/>
  <c r="I197" i="55"/>
  <c r="H198" i="55"/>
  <c r="I198" i="55"/>
  <c r="H199" i="55"/>
  <c r="I199" i="55"/>
  <c r="H200" i="55"/>
  <c r="I200" i="55"/>
  <c r="H201" i="55"/>
  <c r="I201" i="55"/>
  <c r="H202" i="55"/>
  <c r="I202" i="55"/>
  <c r="H203" i="55"/>
  <c r="I203" i="55"/>
  <c r="D5" i="55"/>
  <c r="E5" i="55"/>
  <c r="D6" i="55"/>
  <c r="E6" i="55"/>
  <c r="D7" i="55"/>
  <c r="E7" i="55"/>
  <c r="D8" i="55"/>
  <c r="E8" i="55"/>
  <c r="D9" i="55"/>
  <c r="E9" i="55"/>
  <c r="D10" i="55"/>
  <c r="E10" i="55"/>
  <c r="D11" i="55"/>
  <c r="E11" i="55"/>
  <c r="D12" i="55"/>
  <c r="E12" i="55"/>
  <c r="D13" i="55"/>
  <c r="E13" i="55"/>
  <c r="D14" i="55"/>
  <c r="E14" i="55"/>
  <c r="D15" i="55"/>
  <c r="E15" i="55"/>
  <c r="D16" i="55"/>
  <c r="E16" i="55"/>
  <c r="D17" i="55"/>
  <c r="E17" i="55"/>
  <c r="D18" i="55"/>
  <c r="E18" i="55"/>
  <c r="D19" i="55"/>
  <c r="E19" i="55"/>
  <c r="D20" i="55"/>
  <c r="E20" i="55"/>
  <c r="D21" i="55"/>
  <c r="E21" i="55"/>
  <c r="D22" i="55"/>
  <c r="E22" i="55"/>
  <c r="D23" i="55"/>
  <c r="E23" i="55"/>
  <c r="D24" i="55"/>
  <c r="E24" i="55"/>
  <c r="D25" i="55"/>
  <c r="E25" i="55"/>
  <c r="D26" i="55"/>
  <c r="E26" i="55"/>
  <c r="D27" i="55"/>
  <c r="E27" i="55"/>
  <c r="D28" i="55"/>
  <c r="E28" i="55"/>
  <c r="D29" i="55"/>
  <c r="E29" i="55"/>
  <c r="D30" i="55"/>
  <c r="E30" i="55"/>
  <c r="D31" i="55"/>
  <c r="E31" i="55"/>
  <c r="D32" i="55"/>
  <c r="E32" i="55"/>
  <c r="D33" i="55"/>
  <c r="E33" i="55"/>
  <c r="D34" i="55"/>
  <c r="E34" i="55"/>
  <c r="D35" i="55"/>
  <c r="E35" i="55"/>
  <c r="D36" i="55"/>
  <c r="E36" i="55"/>
  <c r="D37" i="55"/>
  <c r="E37" i="55"/>
  <c r="D38" i="55"/>
  <c r="E38" i="55"/>
  <c r="D39" i="55"/>
  <c r="E39" i="55"/>
  <c r="D40" i="55"/>
  <c r="E40" i="55"/>
  <c r="D41" i="55"/>
  <c r="E41" i="55"/>
  <c r="D42" i="55"/>
  <c r="E42" i="55"/>
  <c r="D43" i="55"/>
  <c r="E43" i="55"/>
  <c r="D44" i="55"/>
  <c r="E44" i="55"/>
  <c r="D45" i="55"/>
  <c r="E45" i="55"/>
  <c r="D46" i="55"/>
  <c r="E46" i="55"/>
  <c r="D47" i="55"/>
  <c r="E47" i="55"/>
  <c r="D48" i="55"/>
  <c r="E48" i="55"/>
  <c r="D49" i="55"/>
  <c r="E49" i="55"/>
  <c r="D50" i="55"/>
  <c r="E50" i="55"/>
  <c r="D51" i="55"/>
  <c r="E51" i="55"/>
  <c r="D52" i="55"/>
  <c r="E52" i="55"/>
  <c r="D53" i="55"/>
  <c r="E53" i="55"/>
  <c r="D54" i="55"/>
  <c r="E54" i="55"/>
  <c r="D55" i="55"/>
  <c r="E55" i="55"/>
  <c r="D56" i="55"/>
  <c r="E56" i="55"/>
  <c r="D57" i="55"/>
  <c r="E57" i="55"/>
  <c r="D58" i="55"/>
  <c r="E58" i="55"/>
  <c r="D59" i="55"/>
  <c r="E59" i="55"/>
  <c r="D60" i="55"/>
  <c r="E60" i="55"/>
  <c r="D61" i="55"/>
  <c r="E61" i="55"/>
  <c r="D62" i="55"/>
  <c r="E62" i="55"/>
  <c r="D63" i="55"/>
  <c r="E63" i="55"/>
  <c r="D64" i="55"/>
  <c r="E64" i="55"/>
  <c r="D65" i="55"/>
  <c r="E65" i="55"/>
  <c r="D66" i="55"/>
  <c r="E66" i="55"/>
  <c r="D67" i="55"/>
  <c r="E67" i="55"/>
  <c r="D68" i="55"/>
  <c r="E68" i="55"/>
  <c r="D69" i="55"/>
  <c r="E69" i="55"/>
  <c r="D70" i="55"/>
  <c r="E70" i="55"/>
  <c r="D71" i="55"/>
  <c r="E71" i="55"/>
  <c r="D72" i="55"/>
  <c r="E72" i="55"/>
  <c r="D73" i="55"/>
  <c r="E73" i="55"/>
  <c r="D74" i="55"/>
  <c r="E74" i="55"/>
  <c r="D75" i="55"/>
  <c r="E75" i="55"/>
  <c r="D76" i="55"/>
  <c r="E76" i="55"/>
  <c r="D77" i="55"/>
  <c r="E77" i="55"/>
  <c r="D78" i="55"/>
  <c r="E78" i="55"/>
  <c r="D79" i="55"/>
  <c r="E79" i="55"/>
  <c r="D80" i="55"/>
  <c r="E80" i="55"/>
  <c r="D81" i="55"/>
  <c r="E81" i="55"/>
  <c r="D82" i="55"/>
  <c r="E82" i="55"/>
  <c r="D83" i="55"/>
  <c r="E83" i="55"/>
  <c r="D84" i="55"/>
  <c r="E84" i="55"/>
  <c r="D85" i="55"/>
  <c r="E85" i="55"/>
  <c r="D86" i="55"/>
  <c r="E86" i="55"/>
  <c r="D87" i="55"/>
  <c r="E87" i="55"/>
  <c r="D88" i="55"/>
  <c r="E88" i="55"/>
  <c r="D89" i="55"/>
  <c r="E89" i="55"/>
  <c r="D90" i="55"/>
  <c r="E90" i="55"/>
  <c r="D91" i="55"/>
  <c r="E91" i="55"/>
  <c r="D92" i="55"/>
  <c r="E92" i="55"/>
  <c r="D93" i="55"/>
  <c r="E93" i="55"/>
  <c r="D94" i="55"/>
  <c r="E94" i="55"/>
  <c r="D95" i="55"/>
  <c r="E95" i="55"/>
  <c r="D96" i="55"/>
  <c r="E96" i="55"/>
  <c r="D97" i="55"/>
  <c r="E97" i="55"/>
  <c r="D98" i="55"/>
  <c r="E98" i="55"/>
  <c r="D99" i="55"/>
  <c r="E99" i="55"/>
  <c r="D100" i="55"/>
  <c r="E100" i="55"/>
  <c r="D101" i="55"/>
  <c r="E101" i="55"/>
  <c r="D102" i="55"/>
  <c r="E102" i="55"/>
  <c r="D103" i="55"/>
  <c r="E103" i="55"/>
  <c r="D104" i="55"/>
  <c r="E104" i="55"/>
  <c r="D105" i="55"/>
  <c r="E105" i="55"/>
  <c r="D106" i="55"/>
  <c r="E106" i="55"/>
  <c r="D107" i="55"/>
  <c r="E107" i="55"/>
  <c r="D108" i="55"/>
  <c r="E108" i="55"/>
  <c r="D109" i="55"/>
  <c r="E109" i="55"/>
  <c r="D110" i="55"/>
  <c r="E110" i="55"/>
  <c r="D111" i="55"/>
  <c r="E111" i="55"/>
  <c r="D112" i="55"/>
  <c r="E112" i="55"/>
  <c r="D113" i="55"/>
  <c r="E113" i="55"/>
  <c r="D114" i="55"/>
  <c r="E114" i="55"/>
  <c r="D115" i="55"/>
  <c r="E115" i="55"/>
  <c r="D116" i="55"/>
  <c r="E116" i="55"/>
  <c r="D117" i="55"/>
  <c r="E117" i="55"/>
  <c r="D118" i="55"/>
  <c r="E118" i="55"/>
  <c r="D119" i="55"/>
  <c r="E119" i="55"/>
  <c r="D120" i="55"/>
  <c r="E120" i="55"/>
  <c r="D121" i="55"/>
  <c r="E121" i="55"/>
  <c r="D122" i="55"/>
  <c r="E122" i="55"/>
  <c r="D123" i="55"/>
  <c r="E123" i="55"/>
  <c r="D124" i="55"/>
  <c r="E124" i="55"/>
  <c r="D125" i="55"/>
  <c r="E125" i="55"/>
  <c r="D126" i="55"/>
  <c r="E126" i="55"/>
  <c r="D127" i="55"/>
  <c r="E127" i="55"/>
  <c r="D128" i="55"/>
  <c r="E128" i="55"/>
  <c r="D129" i="55"/>
  <c r="E129" i="55"/>
  <c r="D130" i="55"/>
  <c r="E130" i="55"/>
  <c r="D131" i="55"/>
  <c r="E131" i="55"/>
  <c r="D132" i="55"/>
  <c r="E132" i="55"/>
  <c r="D133" i="55"/>
  <c r="E133" i="55"/>
  <c r="D134" i="55"/>
  <c r="E134" i="55"/>
  <c r="D135" i="55"/>
  <c r="E135" i="55"/>
  <c r="D136" i="55"/>
  <c r="E136" i="55"/>
  <c r="D137" i="55"/>
  <c r="E137" i="55"/>
  <c r="D138" i="55"/>
  <c r="E138" i="55"/>
  <c r="D139" i="55"/>
  <c r="E139" i="55"/>
  <c r="D140" i="55"/>
  <c r="E140" i="55"/>
  <c r="D141" i="55"/>
  <c r="E141" i="55"/>
  <c r="D142" i="55"/>
  <c r="E142" i="55"/>
  <c r="D143" i="55"/>
  <c r="E143" i="55"/>
  <c r="D144" i="55"/>
  <c r="E144" i="55"/>
  <c r="D145" i="55"/>
  <c r="E145" i="55"/>
  <c r="D146" i="55"/>
  <c r="E146" i="55"/>
  <c r="D147" i="55"/>
  <c r="E147" i="55"/>
  <c r="D148" i="55"/>
  <c r="E148" i="55"/>
  <c r="D149" i="55"/>
  <c r="E149" i="55"/>
  <c r="D150" i="55"/>
  <c r="E150" i="55"/>
  <c r="D151" i="55"/>
  <c r="E151" i="55"/>
  <c r="D152" i="55"/>
  <c r="E152" i="55"/>
  <c r="D153" i="55"/>
  <c r="E153" i="55"/>
  <c r="D154" i="55"/>
  <c r="E154" i="55"/>
  <c r="D155" i="55"/>
  <c r="E155" i="55"/>
  <c r="D156" i="55"/>
  <c r="E156" i="55"/>
  <c r="D157" i="55"/>
  <c r="E157" i="55"/>
  <c r="D158" i="55"/>
  <c r="E158" i="55"/>
  <c r="D159" i="55"/>
  <c r="E159" i="55"/>
  <c r="D160" i="55"/>
  <c r="E160" i="55"/>
  <c r="D161" i="55"/>
  <c r="E161" i="55"/>
  <c r="D162" i="55"/>
  <c r="E162" i="55"/>
  <c r="D163" i="55"/>
  <c r="E163" i="55"/>
  <c r="D164" i="55"/>
  <c r="E164" i="55"/>
  <c r="D165" i="55"/>
  <c r="E165" i="55"/>
  <c r="D166" i="55"/>
  <c r="E166" i="55"/>
  <c r="D167" i="55"/>
  <c r="E167" i="55"/>
  <c r="D168" i="55"/>
  <c r="E168" i="55"/>
  <c r="D169" i="55"/>
  <c r="E169" i="55"/>
  <c r="D170" i="55"/>
  <c r="E170" i="55"/>
  <c r="D171" i="55"/>
  <c r="E171" i="55"/>
  <c r="D172" i="55"/>
  <c r="E172" i="55"/>
  <c r="D173" i="55"/>
  <c r="E173" i="55"/>
  <c r="D174" i="55"/>
  <c r="E174" i="55"/>
  <c r="D175" i="55"/>
  <c r="E175" i="55"/>
  <c r="D176" i="55"/>
  <c r="E176" i="55"/>
  <c r="D177" i="55"/>
  <c r="E177" i="55"/>
  <c r="D178" i="55"/>
  <c r="E178" i="55"/>
  <c r="D179" i="55"/>
  <c r="E179" i="55"/>
  <c r="D180" i="55"/>
  <c r="E180" i="55"/>
  <c r="D181" i="55"/>
  <c r="E181" i="55"/>
  <c r="D182" i="55"/>
  <c r="E182" i="55"/>
  <c r="D183" i="55"/>
  <c r="E183" i="55"/>
  <c r="D184" i="55"/>
  <c r="E184" i="55"/>
  <c r="D185" i="55"/>
  <c r="E185" i="55"/>
  <c r="D186" i="55"/>
  <c r="E186" i="55"/>
  <c r="D187" i="55"/>
  <c r="E187" i="55"/>
  <c r="D188" i="55"/>
  <c r="E188" i="55"/>
  <c r="D189" i="55"/>
  <c r="E189" i="55"/>
  <c r="D190" i="55"/>
  <c r="E190" i="55"/>
  <c r="D191" i="55"/>
  <c r="E191" i="55"/>
  <c r="D192" i="55"/>
  <c r="E192" i="55"/>
  <c r="D193" i="55"/>
  <c r="E193" i="55"/>
  <c r="D194" i="55"/>
  <c r="E194" i="55"/>
  <c r="D195" i="55"/>
  <c r="E195" i="55"/>
  <c r="D196" i="55"/>
  <c r="E196" i="55"/>
  <c r="D197" i="55"/>
  <c r="E197" i="55"/>
  <c r="D198" i="55"/>
  <c r="E198" i="55"/>
  <c r="D199" i="55"/>
  <c r="E199" i="55"/>
  <c r="D200" i="55"/>
  <c r="E200" i="55"/>
  <c r="D201" i="55"/>
  <c r="E201" i="55"/>
  <c r="D202" i="55"/>
  <c r="E202" i="55"/>
  <c r="D203" i="55"/>
  <c r="E203" i="55"/>
  <c r="M4" i="55"/>
  <c r="L4" i="55"/>
  <c r="I4" i="55"/>
  <c r="H4" i="55"/>
  <c r="E4" i="55"/>
  <c r="D4" i="55"/>
  <c r="K5" i="55"/>
  <c r="K6" i="55"/>
  <c r="K7" i="55"/>
  <c r="K8" i="55"/>
  <c r="K9" i="55"/>
  <c r="K10" i="55"/>
  <c r="K11" i="55"/>
  <c r="K12" i="55"/>
  <c r="K13" i="55"/>
  <c r="K14" i="55"/>
  <c r="K15" i="55"/>
  <c r="K16" i="55"/>
  <c r="K17" i="55"/>
  <c r="K18" i="55"/>
  <c r="K19" i="55"/>
  <c r="K20" i="55"/>
  <c r="K21" i="55"/>
  <c r="K22" i="55"/>
  <c r="K23" i="55"/>
  <c r="K24" i="55"/>
  <c r="K25" i="55"/>
  <c r="K26" i="55"/>
  <c r="K27" i="55"/>
  <c r="K28" i="55"/>
  <c r="K29" i="55"/>
  <c r="K30" i="55"/>
  <c r="K31" i="55"/>
  <c r="K32" i="55"/>
  <c r="K33" i="55"/>
  <c r="K34" i="55"/>
  <c r="K35" i="55"/>
  <c r="K36" i="55"/>
  <c r="K37" i="55"/>
  <c r="K38" i="55"/>
  <c r="K39" i="55"/>
  <c r="K40" i="55"/>
  <c r="K41" i="55"/>
  <c r="K42" i="55"/>
  <c r="K43" i="55"/>
  <c r="K44" i="55"/>
  <c r="K45" i="55"/>
  <c r="K46" i="55"/>
  <c r="K47" i="55"/>
  <c r="K48" i="55"/>
  <c r="K49" i="55"/>
  <c r="K50" i="55"/>
  <c r="K51" i="55"/>
  <c r="K52" i="55"/>
  <c r="K53" i="55"/>
  <c r="K54" i="55"/>
  <c r="K55" i="55"/>
  <c r="K56" i="55"/>
  <c r="K57" i="55"/>
  <c r="K58" i="55"/>
  <c r="K59" i="55"/>
  <c r="K60" i="55"/>
  <c r="K61" i="55"/>
  <c r="K62" i="55"/>
  <c r="K63" i="55"/>
  <c r="K64" i="55"/>
  <c r="K65" i="55"/>
  <c r="K66" i="55"/>
  <c r="K67" i="55"/>
  <c r="K68" i="55"/>
  <c r="K69" i="55"/>
  <c r="K70" i="55"/>
  <c r="K71" i="55"/>
  <c r="K72" i="55"/>
  <c r="K73" i="55"/>
  <c r="K74" i="55"/>
  <c r="K75" i="55"/>
  <c r="K76" i="55"/>
  <c r="K77" i="55"/>
  <c r="K78" i="55"/>
  <c r="K79" i="55"/>
  <c r="K80" i="55"/>
  <c r="K81" i="55"/>
  <c r="K82" i="55"/>
  <c r="K83" i="55"/>
  <c r="K84" i="55"/>
  <c r="K85" i="55"/>
  <c r="K86" i="55"/>
  <c r="K87" i="55"/>
  <c r="K88" i="55"/>
  <c r="K89" i="55"/>
  <c r="K90" i="55"/>
  <c r="K91" i="55"/>
  <c r="K92" i="55"/>
  <c r="K93" i="55"/>
  <c r="K94" i="55"/>
  <c r="K95" i="55"/>
  <c r="K96" i="55"/>
  <c r="K97" i="55"/>
  <c r="K98" i="55"/>
  <c r="K99" i="55"/>
  <c r="K100" i="55"/>
  <c r="K101" i="55"/>
  <c r="K102" i="55"/>
  <c r="K103" i="55"/>
  <c r="K104" i="55"/>
  <c r="K105" i="55"/>
  <c r="K106" i="55"/>
  <c r="K107" i="55"/>
  <c r="K108" i="55"/>
  <c r="K109" i="55"/>
  <c r="K110" i="55"/>
  <c r="K111" i="55"/>
  <c r="K112" i="55"/>
  <c r="K113" i="55"/>
  <c r="K114" i="55"/>
  <c r="K115" i="55"/>
  <c r="K116" i="55"/>
  <c r="K117" i="55"/>
  <c r="K118" i="55"/>
  <c r="K119" i="55"/>
  <c r="K120" i="55"/>
  <c r="K121" i="55"/>
  <c r="K122" i="55"/>
  <c r="K123" i="55"/>
  <c r="K124" i="55"/>
  <c r="K125" i="55"/>
  <c r="K126" i="55"/>
  <c r="K127" i="55"/>
  <c r="K128" i="55"/>
  <c r="K129" i="55"/>
  <c r="K130" i="55"/>
  <c r="K131" i="55"/>
  <c r="K132" i="55"/>
  <c r="K133" i="55"/>
  <c r="K134" i="55"/>
  <c r="K135" i="55"/>
  <c r="K136" i="55"/>
  <c r="K137" i="55"/>
  <c r="K138" i="55"/>
  <c r="K139" i="55"/>
  <c r="K140" i="55"/>
  <c r="K141" i="55"/>
  <c r="K142" i="55"/>
  <c r="K143" i="55"/>
  <c r="K144" i="55"/>
  <c r="K145" i="55"/>
  <c r="K146" i="55"/>
  <c r="K147" i="55"/>
  <c r="K148" i="55"/>
  <c r="K149" i="55"/>
  <c r="K150" i="55"/>
  <c r="K151" i="55"/>
  <c r="K152" i="55"/>
  <c r="K153" i="55"/>
  <c r="K154" i="55"/>
  <c r="K155" i="55"/>
  <c r="K156" i="55"/>
  <c r="K157" i="55"/>
  <c r="K158" i="55"/>
  <c r="K159" i="55"/>
  <c r="K160" i="55"/>
  <c r="K161" i="55"/>
  <c r="K162" i="55"/>
  <c r="K163" i="55"/>
  <c r="K164" i="55"/>
  <c r="K165" i="55"/>
  <c r="K166" i="55"/>
  <c r="K167" i="55"/>
  <c r="K168" i="55"/>
  <c r="K169" i="55"/>
  <c r="K170" i="55"/>
  <c r="K171" i="55"/>
  <c r="K172" i="55"/>
  <c r="K173" i="55"/>
  <c r="K174" i="55"/>
  <c r="K175" i="55"/>
  <c r="K176" i="55"/>
  <c r="K177" i="55"/>
  <c r="K178" i="55"/>
  <c r="K179" i="55"/>
  <c r="K180" i="55"/>
  <c r="K181" i="55"/>
  <c r="K182" i="55"/>
  <c r="K183" i="55"/>
  <c r="K184" i="55"/>
  <c r="K185" i="55"/>
  <c r="K186" i="55"/>
  <c r="K187" i="55"/>
  <c r="K188" i="55"/>
  <c r="K189" i="55"/>
  <c r="K190" i="55"/>
  <c r="K191" i="55"/>
  <c r="K192" i="55"/>
  <c r="K193" i="55"/>
  <c r="K194" i="55"/>
  <c r="K195" i="55"/>
  <c r="K196" i="55"/>
  <c r="K197" i="55"/>
  <c r="K198" i="55"/>
  <c r="K199" i="55"/>
  <c r="K200" i="55"/>
  <c r="K201" i="55"/>
  <c r="K202" i="55"/>
  <c r="K203" i="55"/>
  <c r="K4" i="55"/>
  <c r="G5" i="55"/>
  <c r="G6" i="55"/>
  <c r="G7" i="55"/>
  <c r="G8" i="55"/>
  <c r="G9" i="55"/>
  <c r="G10" i="55"/>
  <c r="G11" i="55"/>
  <c r="G12" i="55"/>
  <c r="G13" i="55"/>
  <c r="G14" i="55"/>
  <c r="G15" i="55"/>
  <c r="G16" i="55"/>
  <c r="G17" i="55"/>
  <c r="G18" i="55"/>
  <c r="G19" i="55"/>
  <c r="G20" i="55"/>
  <c r="G21" i="55"/>
  <c r="G22" i="55"/>
  <c r="G23" i="55"/>
  <c r="G24" i="55"/>
  <c r="G25" i="55"/>
  <c r="G26" i="55"/>
  <c r="G27" i="55"/>
  <c r="G28" i="55"/>
  <c r="G29" i="55"/>
  <c r="G30" i="55"/>
  <c r="G31" i="55"/>
  <c r="G32" i="55"/>
  <c r="G33" i="55"/>
  <c r="G34" i="55"/>
  <c r="G35" i="55"/>
  <c r="G36" i="55"/>
  <c r="G37" i="55"/>
  <c r="G38" i="55"/>
  <c r="G39" i="55"/>
  <c r="G40" i="55"/>
  <c r="G41" i="55"/>
  <c r="G42" i="55"/>
  <c r="G43" i="55"/>
  <c r="G44" i="55"/>
  <c r="G45" i="55"/>
  <c r="G46" i="55"/>
  <c r="G47" i="55"/>
  <c r="G48" i="55"/>
  <c r="G49" i="55"/>
  <c r="G50" i="55"/>
  <c r="G51" i="55"/>
  <c r="G52" i="55"/>
  <c r="G53" i="55"/>
  <c r="G54" i="55"/>
  <c r="G55" i="55"/>
  <c r="G56" i="55"/>
  <c r="G57" i="55"/>
  <c r="G58" i="55"/>
  <c r="G59" i="55"/>
  <c r="G60" i="55"/>
  <c r="G61" i="55"/>
  <c r="G62" i="55"/>
  <c r="G63" i="55"/>
  <c r="G64" i="55"/>
  <c r="G65" i="55"/>
  <c r="G66" i="55"/>
  <c r="G67" i="55"/>
  <c r="G68" i="55"/>
  <c r="G69" i="55"/>
  <c r="G70" i="55"/>
  <c r="G71" i="55"/>
  <c r="G72" i="55"/>
  <c r="G73" i="55"/>
  <c r="G74" i="55"/>
  <c r="G75" i="55"/>
  <c r="G76" i="55"/>
  <c r="G77" i="55"/>
  <c r="G78" i="55"/>
  <c r="G79" i="55"/>
  <c r="G80" i="55"/>
  <c r="G81" i="55"/>
  <c r="G82" i="55"/>
  <c r="G83" i="55"/>
  <c r="G84" i="55"/>
  <c r="G85" i="55"/>
  <c r="G86" i="55"/>
  <c r="G87" i="55"/>
  <c r="G88" i="55"/>
  <c r="G89" i="55"/>
  <c r="G90" i="55"/>
  <c r="G91" i="55"/>
  <c r="G92" i="55"/>
  <c r="G93" i="55"/>
  <c r="G94" i="55"/>
  <c r="G95" i="55"/>
  <c r="G96" i="55"/>
  <c r="G97" i="55"/>
  <c r="G98" i="55"/>
  <c r="G99" i="55"/>
  <c r="G100" i="55"/>
  <c r="G101" i="55"/>
  <c r="G102" i="55"/>
  <c r="G103" i="55"/>
  <c r="G104" i="55"/>
  <c r="G105" i="55"/>
  <c r="G106" i="55"/>
  <c r="G107" i="55"/>
  <c r="G108" i="55"/>
  <c r="G109" i="55"/>
  <c r="G110" i="55"/>
  <c r="G111" i="55"/>
  <c r="G112" i="55"/>
  <c r="G113" i="55"/>
  <c r="G114" i="55"/>
  <c r="G115" i="55"/>
  <c r="G116" i="55"/>
  <c r="G117" i="55"/>
  <c r="G118" i="55"/>
  <c r="G119" i="55"/>
  <c r="G120" i="55"/>
  <c r="G121" i="55"/>
  <c r="G122" i="55"/>
  <c r="G123" i="55"/>
  <c r="G124" i="55"/>
  <c r="G125" i="55"/>
  <c r="G126" i="55"/>
  <c r="G127" i="55"/>
  <c r="G128" i="55"/>
  <c r="G129" i="55"/>
  <c r="G130" i="55"/>
  <c r="G131" i="55"/>
  <c r="G132" i="55"/>
  <c r="G133" i="55"/>
  <c r="G134" i="55"/>
  <c r="G135" i="55"/>
  <c r="G136" i="55"/>
  <c r="G137" i="55"/>
  <c r="G138" i="55"/>
  <c r="G139" i="55"/>
  <c r="G140" i="55"/>
  <c r="G141" i="55"/>
  <c r="G142" i="55"/>
  <c r="G143" i="55"/>
  <c r="G144" i="55"/>
  <c r="G145" i="55"/>
  <c r="G146" i="55"/>
  <c r="G147" i="55"/>
  <c r="G148" i="55"/>
  <c r="G149" i="55"/>
  <c r="G150" i="55"/>
  <c r="G151" i="55"/>
  <c r="G152" i="55"/>
  <c r="G153" i="55"/>
  <c r="G154" i="55"/>
  <c r="G155" i="55"/>
  <c r="G156" i="55"/>
  <c r="G157" i="55"/>
  <c r="G158" i="55"/>
  <c r="G159" i="55"/>
  <c r="G160" i="55"/>
  <c r="G161" i="55"/>
  <c r="G162" i="55"/>
  <c r="G163" i="55"/>
  <c r="G164" i="55"/>
  <c r="G165" i="55"/>
  <c r="G166" i="55"/>
  <c r="G167" i="55"/>
  <c r="G168" i="55"/>
  <c r="G169" i="55"/>
  <c r="G170" i="55"/>
  <c r="G171" i="55"/>
  <c r="G172" i="55"/>
  <c r="G173" i="55"/>
  <c r="G174" i="55"/>
  <c r="G175" i="55"/>
  <c r="G176" i="55"/>
  <c r="G177" i="55"/>
  <c r="G178" i="55"/>
  <c r="G179" i="55"/>
  <c r="G180" i="55"/>
  <c r="G181" i="55"/>
  <c r="G182" i="55"/>
  <c r="G183" i="55"/>
  <c r="G184" i="55"/>
  <c r="G185" i="55"/>
  <c r="G186" i="55"/>
  <c r="G187" i="55"/>
  <c r="G188" i="55"/>
  <c r="G189" i="55"/>
  <c r="G190" i="55"/>
  <c r="G191" i="55"/>
  <c r="G192" i="55"/>
  <c r="G193" i="55"/>
  <c r="G194" i="55"/>
  <c r="G195" i="55"/>
  <c r="G196" i="55"/>
  <c r="G197" i="55"/>
  <c r="G198" i="55"/>
  <c r="G199" i="55"/>
  <c r="G200" i="55"/>
  <c r="G201" i="55"/>
  <c r="G202" i="55"/>
  <c r="G203" i="55"/>
  <c r="G4" i="55"/>
  <c r="C5" i="55"/>
  <c r="C6" i="55"/>
  <c r="C7" i="55"/>
  <c r="C8" i="55"/>
  <c r="C9" i="55"/>
  <c r="C10" i="55"/>
  <c r="C11" i="55"/>
  <c r="C12" i="55"/>
  <c r="C13" i="55"/>
  <c r="C14" i="55"/>
  <c r="C15" i="55"/>
  <c r="C16" i="55"/>
  <c r="C17" i="55"/>
  <c r="C18" i="55"/>
  <c r="C19" i="55"/>
  <c r="C20" i="55"/>
  <c r="C21" i="55"/>
  <c r="C22" i="55"/>
  <c r="C23" i="55"/>
  <c r="C24" i="55"/>
  <c r="C25" i="55"/>
  <c r="C26" i="55"/>
  <c r="C27" i="55"/>
  <c r="C28" i="55"/>
  <c r="C29" i="55"/>
  <c r="C30" i="55"/>
  <c r="C31" i="55"/>
  <c r="C32" i="55"/>
  <c r="C33" i="55"/>
  <c r="C34" i="55"/>
  <c r="C35" i="55"/>
  <c r="C36" i="55"/>
  <c r="C37" i="55"/>
  <c r="C38" i="55"/>
  <c r="C39" i="55"/>
  <c r="C40" i="55"/>
  <c r="C41" i="55"/>
  <c r="C42" i="55"/>
  <c r="C43" i="55"/>
  <c r="C44" i="55"/>
  <c r="C45" i="55"/>
  <c r="C46" i="55"/>
  <c r="C47" i="55"/>
  <c r="C48" i="55"/>
  <c r="C49" i="55"/>
  <c r="C50" i="55"/>
  <c r="C51" i="55"/>
  <c r="C52" i="55"/>
  <c r="C53" i="55"/>
  <c r="C54" i="55"/>
  <c r="C55" i="55"/>
  <c r="C56" i="55"/>
  <c r="C57" i="55"/>
  <c r="C58" i="55"/>
  <c r="C59" i="55"/>
  <c r="C60" i="55"/>
  <c r="C61" i="55"/>
  <c r="C62" i="55"/>
  <c r="C63" i="55"/>
  <c r="C64" i="55"/>
  <c r="C65" i="55"/>
  <c r="C66" i="55"/>
  <c r="C67" i="55"/>
  <c r="C68" i="55"/>
  <c r="C69" i="55"/>
  <c r="C70" i="55"/>
  <c r="C71" i="55"/>
  <c r="C72" i="55"/>
  <c r="C73" i="55"/>
  <c r="C74" i="55"/>
  <c r="C75" i="55"/>
  <c r="C76" i="55"/>
  <c r="C77" i="55"/>
  <c r="C78" i="55"/>
  <c r="C79" i="55"/>
  <c r="C80" i="55"/>
  <c r="C81" i="55"/>
  <c r="C82" i="55"/>
  <c r="C83" i="55"/>
  <c r="C84" i="55"/>
  <c r="C85" i="55"/>
  <c r="C86" i="55"/>
  <c r="C87" i="55"/>
  <c r="C88" i="55"/>
  <c r="C89" i="55"/>
  <c r="C90" i="55"/>
  <c r="C91" i="55"/>
  <c r="C92" i="55"/>
  <c r="C93" i="55"/>
  <c r="C94" i="55"/>
  <c r="C95" i="55"/>
  <c r="C96" i="55"/>
  <c r="C97" i="55"/>
  <c r="C98" i="55"/>
  <c r="C99" i="55"/>
  <c r="C100" i="55"/>
  <c r="C101" i="55"/>
  <c r="C102" i="55"/>
  <c r="C103" i="55"/>
  <c r="C104" i="55"/>
  <c r="C105" i="55"/>
  <c r="C106" i="55"/>
  <c r="C107" i="55"/>
  <c r="C108" i="55"/>
  <c r="C109" i="55"/>
  <c r="C110" i="55"/>
  <c r="C111" i="55"/>
  <c r="C112" i="55"/>
  <c r="C113" i="55"/>
  <c r="C114" i="55"/>
  <c r="C115" i="55"/>
  <c r="C116" i="55"/>
  <c r="C117" i="55"/>
  <c r="C118" i="55"/>
  <c r="C119" i="55"/>
  <c r="C120" i="55"/>
  <c r="C121" i="55"/>
  <c r="C122" i="55"/>
  <c r="C123" i="55"/>
  <c r="C124" i="55"/>
  <c r="C125" i="55"/>
  <c r="C126" i="55"/>
  <c r="C127" i="55"/>
  <c r="C128" i="55"/>
  <c r="C129" i="55"/>
  <c r="C130" i="55"/>
  <c r="C131" i="55"/>
  <c r="C132" i="55"/>
  <c r="C133" i="55"/>
  <c r="C134" i="55"/>
  <c r="C135" i="55"/>
  <c r="C136" i="55"/>
  <c r="C137" i="55"/>
  <c r="C138" i="55"/>
  <c r="C139" i="55"/>
  <c r="C140" i="55"/>
  <c r="C141" i="55"/>
  <c r="C142" i="55"/>
  <c r="C143" i="55"/>
  <c r="C144" i="55"/>
  <c r="C145" i="55"/>
  <c r="C146" i="55"/>
  <c r="C147" i="55"/>
  <c r="C148" i="55"/>
  <c r="C149" i="55"/>
  <c r="C150" i="55"/>
  <c r="C151" i="55"/>
  <c r="C152" i="55"/>
  <c r="C153" i="55"/>
  <c r="C154" i="55"/>
  <c r="C155" i="55"/>
  <c r="C156" i="55"/>
  <c r="C157" i="55"/>
  <c r="C158" i="55"/>
  <c r="C159" i="55"/>
  <c r="C160" i="55"/>
  <c r="C161" i="55"/>
  <c r="C162" i="55"/>
  <c r="C163" i="55"/>
  <c r="C164" i="55"/>
  <c r="C165" i="55"/>
  <c r="C166" i="55"/>
  <c r="C167" i="55"/>
  <c r="C168" i="55"/>
  <c r="C169" i="55"/>
  <c r="C170" i="55"/>
  <c r="C171" i="55"/>
  <c r="C172" i="55"/>
  <c r="C173" i="55"/>
  <c r="C174" i="55"/>
  <c r="C175" i="55"/>
  <c r="C176" i="55"/>
  <c r="C177" i="55"/>
  <c r="C178" i="55"/>
  <c r="C179" i="55"/>
  <c r="C180" i="55"/>
  <c r="C181" i="55"/>
  <c r="C182" i="55"/>
  <c r="C183" i="55"/>
  <c r="C184" i="55"/>
  <c r="C185" i="55"/>
  <c r="C186" i="55"/>
  <c r="C187" i="55"/>
  <c r="C188" i="55"/>
  <c r="C189" i="55"/>
  <c r="C190" i="55"/>
  <c r="C191" i="55"/>
  <c r="C192" i="55"/>
  <c r="C193" i="55"/>
  <c r="C194" i="55"/>
  <c r="C195" i="55"/>
  <c r="C196" i="55"/>
  <c r="C197" i="55"/>
  <c r="C198" i="55"/>
  <c r="C199" i="55"/>
  <c r="C200" i="55"/>
  <c r="C201" i="55"/>
  <c r="C202" i="55"/>
  <c r="C203" i="55"/>
  <c r="C4" i="55"/>
  <c r="J5" i="55"/>
  <c r="J6" i="55"/>
  <c r="J7" i="55"/>
  <c r="J8" i="55"/>
  <c r="J9" i="55"/>
  <c r="J10" i="55"/>
  <c r="J11" i="55"/>
  <c r="J12" i="55"/>
  <c r="J13" i="55"/>
  <c r="J14" i="55"/>
  <c r="J15" i="55"/>
  <c r="J16" i="55"/>
  <c r="J17" i="55"/>
  <c r="J18" i="55"/>
  <c r="J19" i="55"/>
  <c r="J20" i="55"/>
  <c r="J21" i="55"/>
  <c r="J22" i="55"/>
  <c r="J23" i="55"/>
  <c r="J24" i="55"/>
  <c r="J25" i="55"/>
  <c r="J26" i="55"/>
  <c r="J27" i="55"/>
  <c r="J28" i="55"/>
  <c r="J29" i="55"/>
  <c r="J30" i="55"/>
  <c r="J31" i="55"/>
  <c r="J32" i="55"/>
  <c r="J33" i="55"/>
  <c r="J34" i="55"/>
  <c r="J35" i="55"/>
  <c r="J36" i="55"/>
  <c r="J37" i="55"/>
  <c r="J38" i="55"/>
  <c r="J39" i="55"/>
  <c r="J40" i="55"/>
  <c r="J41" i="55"/>
  <c r="J42" i="55"/>
  <c r="J43" i="55"/>
  <c r="J44" i="55"/>
  <c r="J45" i="55"/>
  <c r="J46" i="55"/>
  <c r="J47" i="55"/>
  <c r="J48" i="55"/>
  <c r="J49" i="55"/>
  <c r="J50" i="55"/>
  <c r="J51" i="55"/>
  <c r="J52" i="55"/>
  <c r="J53" i="55"/>
  <c r="J54" i="55"/>
  <c r="J55" i="55"/>
  <c r="J56" i="55"/>
  <c r="J57" i="55"/>
  <c r="J58" i="55"/>
  <c r="J59" i="55"/>
  <c r="J60" i="55"/>
  <c r="J61" i="55"/>
  <c r="J62" i="55"/>
  <c r="J63" i="55"/>
  <c r="J64" i="55"/>
  <c r="J65" i="55"/>
  <c r="J66" i="55"/>
  <c r="J67" i="55"/>
  <c r="J68" i="55"/>
  <c r="J69" i="55"/>
  <c r="J70" i="55"/>
  <c r="J71" i="55"/>
  <c r="J72" i="55"/>
  <c r="J73" i="55"/>
  <c r="J74" i="55"/>
  <c r="J75" i="55"/>
  <c r="J76" i="55"/>
  <c r="J77" i="55"/>
  <c r="J78" i="55"/>
  <c r="J79" i="55"/>
  <c r="J80" i="55"/>
  <c r="J81" i="55"/>
  <c r="J82" i="55"/>
  <c r="J83" i="55"/>
  <c r="J84" i="55"/>
  <c r="J85" i="55"/>
  <c r="J86" i="55"/>
  <c r="J87" i="55"/>
  <c r="J88" i="55"/>
  <c r="J89" i="55"/>
  <c r="J90" i="55"/>
  <c r="J91" i="55"/>
  <c r="J92" i="55"/>
  <c r="J93" i="55"/>
  <c r="J94" i="55"/>
  <c r="J95" i="55"/>
  <c r="J96" i="55"/>
  <c r="J97" i="55"/>
  <c r="J98" i="55"/>
  <c r="J99" i="55"/>
  <c r="J100" i="55"/>
  <c r="J101" i="55"/>
  <c r="J102" i="55"/>
  <c r="J103" i="55"/>
  <c r="J104" i="55"/>
  <c r="J105" i="55"/>
  <c r="J106" i="55"/>
  <c r="J107" i="55"/>
  <c r="J108" i="55"/>
  <c r="J109" i="55"/>
  <c r="J110" i="55"/>
  <c r="J111" i="55"/>
  <c r="J112" i="55"/>
  <c r="J113" i="55"/>
  <c r="J114" i="55"/>
  <c r="J115" i="55"/>
  <c r="J116" i="55"/>
  <c r="J117" i="55"/>
  <c r="J118" i="55"/>
  <c r="J119" i="55"/>
  <c r="J120" i="55"/>
  <c r="J121" i="55"/>
  <c r="J122" i="55"/>
  <c r="J123" i="55"/>
  <c r="J124" i="55"/>
  <c r="J125" i="55"/>
  <c r="J126" i="55"/>
  <c r="J127" i="55"/>
  <c r="J128" i="55"/>
  <c r="J129" i="55"/>
  <c r="J130" i="55"/>
  <c r="J131" i="55"/>
  <c r="J132" i="55"/>
  <c r="J133" i="55"/>
  <c r="J134" i="55"/>
  <c r="J135" i="55"/>
  <c r="J136" i="55"/>
  <c r="J137" i="55"/>
  <c r="J138" i="55"/>
  <c r="J139" i="55"/>
  <c r="J140" i="55"/>
  <c r="J141" i="55"/>
  <c r="J142" i="55"/>
  <c r="J143" i="55"/>
  <c r="J144" i="55"/>
  <c r="J145" i="55"/>
  <c r="J146" i="55"/>
  <c r="J147" i="55"/>
  <c r="J148" i="55"/>
  <c r="J149" i="55"/>
  <c r="J150" i="55"/>
  <c r="J151" i="55"/>
  <c r="J152" i="55"/>
  <c r="J153" i="55"/>
  <c r="J4" i="55"/>
  <c r="F5" i="55"/>
  <c r="F6" i="55"/>
  <c r="F7" i="55"/>
  <c r="F8" i="55"/>
  <c r="F9" i="55"/>
  <c r="F10" i="55"/>
  <c r="F11" i="55"/>
  <c r="F12" i="55"/>
  <c r="F13" i="55"/>
  <c r="F14" i="55"/>
  <c r="F15" i="55"/>
  <c r="F16" i="55"/>
  <c r="F17" i="55"/>
  <c r="F18" i="55"/>
  <c r="F19" i="55"/>
  <c r="F20" i="55"/>
  <c r="F21" i="55"/>
  <c r="F22" i="55"/>
  <c r="F23" i="55"/>
  <c r="F24" i="55"/>
  <c r="F25" i="55"/>
  <c r="F26" i="55"/>
  <c r="F27" i="55"/>
  <c r="F28" i="55"/>
  <c r="F29" i="55"/>
  <c r="F30" i="55"/>
  <c r="F31" i="55"/>
  <c r="F32" i="55"/>
  <c r="F33" i="55"/>
  <c r="F34" i="55"/>
  <c r="F35" i="55"/>
  <c r="F36" i="55"/>
  <c r="F37" i="55"/>
  <c r="F38" i="55"/>
  <c r="F39" i="55"/>
  <c r="F40" i="55"/>
  <c r="F41" i="55"/>
  <c r="F42" i="55"/>
  <c r="F43" i="55"/>
  <c r="F44" i="55"/>
  <c r="F45" i="55"/>
  <c r="F46" i="55"/>
  <c r="F47" i="55"/>
  <c r="F48" i="55"/>
  <c r="F49" i="55"/>
  <c r="F50" i="55"/>
  <c r="F51" i="55"/>
  <c r="F52" i="55"/>
  <c r="F53" i="55"/>
  <c r="F54" i="55"/>
  <c r="F55" i="55"/>
  <c r="F56" i="55"/>
  <c r="F57" i="55"/>
  <c r="F58" i="55"/>
  <c r="F59" i="55"/>
  <c r="F60" i="55"/>
  <c r="F61" i="55"/>
  <c r="F62" i="55"/>
  <c r="F63" i="55"/>
  <c r="F64" i="55"/>
  <c r="F65" i="55"/>
  <c r="F66" i="55"/>
  <c r="F67" i="55"/>
  <c r="F68" i="55"/>
  <c r="F69" i="55"/>
  <c r="F70" i="55"/>
  <c r="F71" i="55"/>
  <c r="F72" i="55"/>
  <c r="F73" i="55"/>
  <c r="F74" i="55"/>
  <c r="F75" i="55"/>
  <c r="F76" i="55"/>
  <c r="F77" i="55"/>
  <c r="F78" i="55"/>
  <c r="F79" i="55"/>
  <c r="F80" i="55"/>
  <c r="F81" i="55"/>
  <c r="F82" i="55"/>
  <c r="F83" i="55"/>
  <c r="F84" i="55"/>
  <c r="F85" i="55"/>
  <c r="F86" i="55"/>
  <c r="F87" i="55"/>
  <c r="F88" i="55"/>
  <c r="F89" i="55"/>
  <c r="F90" i="55"/>
  <c r="F91" i="55"/>
  <c r="F92" i="55"/>
  <c r="F93" i="55"/>
  <c r="F94" i="55"/>
  <c r="F95" i="55"/>
  <c r="F96" i="55"/>
  <c r="F97" i="55"/>
  <c r="F98" i="55"/>
  <c r="F99" i="55"/>
  <c r="F100" i="55"/>
  <c r="F101" i="55"/>
  <c r="F102" i="55"/>
  <c r="F103" i="55"/>
  <c r="F104" i="55"/>
  <c r="F105" i="55"/>
  <c r="F106" i="55"/>
  <c r="F107" i="55"/>
  <c r="F108" i="55"/>
  <c r="F109" i="55"/>
  <c r="F110" i="55"/>
  <c r="F111" i="55"/>
  <c r="F112" i="55"/>
  <c r="F113" i="55"/>
  <c r="F114" i="55"/>
  <c r="F115" i="55"/>
  <c r="F116" i="55"/>
  <c r="F117" i="55"/>
  <c r="F118" i="55"/>
  <c r="F119" i="55"/>
  <c r="F120" i="55"/>
  <c r="F121" i="55"/>
  <c r="F122" i="55"/>
  <c r="F123" i="55"/>
  <c r="F124" i="55"/>
  <c r="F125" i="55"/>
  <c r="F126" i="55"/>
  <c r="F127" i="55"/>
  <c r="F128" i="55"/>
  <c r="F129" i="55"/>
  <c r="F130" i="55"/>
  <c r="F131" i="55"/>
  <c r="F132" i="55"/>
  <c r="F133" i="55"/>
  <c r="F134" i="55"/>
  <c r="F135" i="55"/>
  <c r="F136" i="55"/>
  <c r="F137" i="55"/>
  <c r="F138" i="55"/>
  <c r="F139" i="55"/>
  <c r="F140" i="55"/>
  <c r="F141" i="55"/>
  <c r="F142" i="55"/>
  <c r="F143" i="55"/>
  <c r="F144" i="55"/>
  <c r="F145" i="55"/>
  <c r="F146" i="55"/>
  <c r="F147" i="55"/>
  <c r="F148" i="55"/>
  <c r="F149" i="55"/>
  <c r="F150" i="55"/>
  <c r="F151" i="55"/>
  <c r="F152" i="55"/>
  <c r="F153" i="55"/>
  <c r="F4" i="55"/>
  <c r="B153" i="55"/>
  <c r="B152" i="55"/>
  <c r="B151" i="55"/>
  <c r="B150" i="55"/>
  <c r="B149" i="55"/>
  <c r="B148" i="55"/>
  <c r="B147" i="55"/>
  <c r="B146" i="55"/>
  <c r="B145" i="55"/>
  <c r="B144" i="55"/>
  <c r="B143" i="55"/>
  <c r="B142" i="55"/>
  <c r="B141" i="55"/>
  <c r="B140" i="55"/>
  <c r="B139" i="55"/>
  <c r="B138" i="55"/>
  <c r="B137" i="55"/>
  <c r="B136" i="55"/>
  <c r="B135" i="55"/>
  <c r="B134" i="55"/>
  <c r="B133" i="55"/>
  <c r="B132" i="55"/>
  <c r="B131" i="55"/>
  <c r="B130" i="55"/>
  <c r="B129" i="55"/>
  <c r="B128" i="55"/>
  <c r="B127" i="55"/>
  <c r="B126" i="55"/>
  <c r="B125" i="55"/>
  <c r="B124" i="55"/>
  <c r="B123" i="55"/>
  <c r="B122" i="55"/>
  <c r="B121" i="55"/>
  <c r="B120" i="55"/>
  <c r="B119" i="55"/>
  <c r="B118" i="55"/>
  <c r="B117" i="55"/>
  <c r="B116" i="55"/>
  <c r="B115" i="55"/>
  <c r="B114" i="55"/>
  <c r="B113" i="55"/>
  <c r="B112" i="55"/>
  <c r="B111" i="55"/>
  <c r="B110" i="55"/>
  <c r="B109" i="55"/>
  <c r="B108" i="55"/>
  <c r="B107" i="55"/>
  <c r="B106" i="55"/>
  <c r="B105" i="55"/>
  <c r="B104" i="55"/>
  <c r="B103" i="55"/>
  <c r="B102" i="55"/>
  <c r="B101" i="55"/>
  <c r="B100" i="55"/>
  <c r="B99" i="55"/>
  <c r="B98" i="55"/>
  <c r="B97" i="55"/>
  <c r="B96" i="55"/>
  <c r="B95" i="55"/>
  <c r="B94" i="55"/>
  <c r="B93" i="55"/>
  <c r="B92" i="55"/>
  <c r="B91" i="55"/>
  <c r="B90" i="55"/>
  <c r="B89" i="55"/>
  <c r="B88" i="55"/>
  <c r="B87" i="55"/>
  <c r="B86" i="55"/>
  <c r="B85" i="55"/>
  <c r="B84" i="55"/>
  <c r="B83" i="55"/>
  <c r="B82" i="55"/>
  <c r="B81" i="55"/>
  <c r="B80" i="55"/>
  <c r="B79" i="55"/>
  <c r="B78" i="55"/>
  <c r="B77" i="55"/>
  <c r="B76" i="55"/>
  <c r="B75" i="55"/>
  <c r="B74" i="55"/>
  <c r="B73" i="55"/>
  <c r="B72" i="55"/>
  <c r="B71" i="55"/>
  <c r="B70" i="55"/>
  <c r="B69" i="55"/>
  <c r="B68" i="55"/>
  <c r="B67" i="55"/>
  <c r="B66" i="55"/>
  <c r="B65" i="55"/>
  <c r="B64" i="55"/>
  <c r="B63" i="55"/>
  <c r="B62" i="55"/>
  <c r="B61" i="55"/>
  <c r="B60" i="55"/>
  <c r="B59" i="55"/>
  <c r="B58" i="55"/>
  <c r="B57" i="55"/>
  <c r="B56" i="55"/>
  <c r="B55" i="55"/>
  <c r="B54" i="55"/>
  <c r="B53" i="55"/>
  <c r="B52" i="55"/>
  <c r="B51" i="55"/>
  <c r="B50" i="55"/>
  <c r="B49" i="55"/>
  <c r="B48" i="55"/>
  <c r="B47" i="55"/>
  <c r="B46" i="55"/>
  <c r="B45" i="55"/>
  <c r="B44" i="55"/>
  <c r="B43" i="55"/>
  <c r="B42" i="55"/>
  <c r="B41" i="55"/>
  <c r="B40" i="55"/>
  <c r="B39" i="55"/>
  <c r="B38" i="55"/>
  <c r="B37" i="55"/>
  <c r="B36" i="55"/>
  <c r="B35" i="55"/>
  <c r="B34" i="55"/>
  <c r="B33" i="55"/>
  <c r="B32" i="55"/>
  <c r="B31" i="55"/>
  <c r="B30" i="55"/>
  <c r="B29" i="55"/>
  <c r="B28" i="55"/>
  <c r="B27" i="55"/>
  <c r="B26" i="55"/>
  <c r="B25" i="55"/>
  <c r="B24" i="55"/>
  <c r="B23" i="55"/>
  <c r="B22" i="55"/>
  <c r="B21" i="55"/>
  <c r="B20" i="55"/>
  <c r="B19" i="55"/>
  <c r="B18" i="55"/>
  <c r="B17" i="55"/>
  <c r="B16" i="55"/>
  <c r="B15" i="55"/>
  <c r="B14" i="55"/>
  <c r="B13" i="55"/>
  <c r="B12" i="55"/>
  <c r="B11" i="55"/>
  <c r="B10" i="55"/>
  <c r="B9" i="55"/>
  <c r="B8" i="55"/>
  <c r="B7" i="55"/>
  <c r="B6" i="55"/>
  <c r="B5" i="55"/>
  <c r="B4" i="55"/>
  <c r="BL246" i="54" l="1"/>
  <c r="BW305" i="54" l="1"/>
  <c r="BV305" i="54"/>
  <c r="BU305" i="54"/>
  <c r="BW246" i="54"/>
  <c r="BV246" i="54"/>
  <c r="BG305" i="54" l="1"/>
  <c r="BH305" i="54"/>
  <c r="BI305" i="54"/>
  <c r="BJ305" i="54"/>
  <c r="BK305" i="54"/>
  <c r="BL305" i="54"/>
  <c r="BM305" i="54"/>
  <c r="BN305" i="54"/>
  <c r="BO305" i="54"/>
  <c r="BP305" i="54"/>
  <c r="BQ305" i="54"/>
  <c r="BR305" i="54"/>
  <c r="BS305" i="54"/>
  <c r="BT305" i="54"/>
  <c r="BF305" i="54"/>
  <c r="BF246" i="54"/>
  <c r="BN246" i="54" l="1"/>
  <c r="BG246" i="54"/>
  <c r="BH246" i="54"/>
  <c r="BI246" i="54"/>
  <c r="BJ246" i="54"/>
  <c r="BK246" i="54"/>
  <c r="BM246" i="54"/>
  <c r="BO246" i="54"/>
  <c r="BP246" i="54"/>
  <c r="BQ246" i="54"/>
  <c r="BR246" i="54"/>
  <c r="BS246" i="54"/>
  <c r="BT246" i="54"/>
  <c r="AE246" i="54" l="1"/>
  <c r="AF246" i="54"/>
  <c r="AG246" i="54"/>
  <c r="AH246" i="54"/>
  <c r="AI246" i="54"/>
  <c r="AJ246" i="54"/>
  <c r="AK246" i="54"/>
  <c r="AL246" i="54"/>
  <c r="AM246" i="54"/>
  <c r="AN246" i="54"/>
  <c r="AO246" i="54"/>
  <c r="AP246" i="54"/>
  <c r="AQ246" i="54"/>
  <c r="AR246" i="54"/>
  <c r="AS246" i="54"/>
  <c r="AT246" i="54"/>
  <c r="AU246" i="54"/>
  <c r="AV246" i="54"/>
  <c r="AW246" i="54"/>
  <c r="AX246" i="54"/>
  <c r="AY246" i="54"/>
  <c r="AZ246" i="54"/>
  <c r="BA246" i="54"/>
  <c r="BB246" i="54"/>
  <c r="BC246" i="54"/>
  <c r="BD246" i="54"/>
  <c r="AD246" i="54"/>
  <c r="C182" i="54"/>
  <c r="D182" i="54"/>
  <c r="E182" i="54"/>
  <c r="F182" i="54"/>
  <c r="G182" i="54"/>
  <c r="H182" i="54"/>
  <c r="I182" i="54"/>
  <c r="J182" i="54"/>
  <c r="K182" i="54"/>
  <c r="L182" i="54"/>
  <c r="M182" i="54"/>
  <c r="N182" i="54"/>
  <c r="O182" i="54"/>
  <c r="P182" i="54"/>
  <c r="Q182" i="54"/>
  <c r="R182" i="54"/>
  <c r="S182" i="54"/>
  <c r="T182" i="54"/>
  <c r="U182" i="54"/>
  <c r="V182" i="54"/>
  <c r="W182" i="54"/>
  <c r="X182" i="54"/>
  <c r="Y182" i="54"/>
  <c r="Z182" i="54"/>
  <c r="AA182" i="54"/>
  <c r="AB182" i="54"/>
  <c r="B182" i="54"/>
</calcChain>
</file>

<file path=xl/sharedStrings.xml><?xml version="1.0" encoding="utf-8"?>
<sst xmlns="http://schemas.openxmlformats.org/spreadsheetml/2006/main" count="1258" uniqueCount="327">
  <si>
    <t>2001-2018</t>
  </si>
  <si>
    <t>2019 onwards</t>
  </si>
  <si>
    <t>Anyone who filed an IR3 personal tax return for that income year, even if they filed a nil return or a loss</t>
  </si>
  <si>
    <t>Included</t>
  </si>
  <si>
    <t>Anyone who received a personal tax summary(PTS) for that income year. PTSs were only automatically issued for certain people who had not filed an IR3. Others could request to have one.</t>
  </si>
  <si>
    <t>N/A</t>
  </si>
  <si>
    <t>Anyone who paid PAYE via an employer, including recipients of wages and salaries, taxable welfare benefits, New Zealand Superannuation, earnings-related accident compensation income, student allowances, and paid parental leave, even if they did not file a return.</t>
  </si>
  <si>
    <t>Anyone who received an automatic income tax assessment at year end. From 2019, these are created for anybody with income during the year from any source for which Inland Revenue holds information; for example wages and salaries, taxable welfare benefits, New Zealand Superannuation, earnings-related accident compensation income, student allowances, and paid parental leave interest, dividends, and income earned through portfolio investment entities (PIEs) if it was taxed at the wrong rate</t>
  </si>
  <si>
    <t>Individuals with part year income.</t>
  </si>
  <si>
    <t>Included if they filed or had PAYE income</t>
  </si>
  <si>
    <t xml:space="preserve">Included if they filed or had automatic assessment income </t>
  </si>
  <si>
    <t>Individuals whose only income was from interest or dividends, all fully taxed at source so they did not, prior to 2019, need to file a tax return</t>
  </si>
  <si>
    <t>Excluded</t>
  </si>
  <si>
    <t>Included. Over time, coverage has improved by having both IRD numbers for joint bank accounts.</t>
  </si>
  <si>
    <t>Individuals with no taxable income and who did not file a tax return</t>
  </si>
  <si>
    <t>Individuals who filed a non-resident return</t>
  </si>
  <si>
    <t>Excluded unless picked up in PAYE</t>
  </si>
  <si>
    <t xml:space="preserve">Individuals whose only income was from PIE(s), all fully and correctly taxed at source </t>
  </si>
  <si>
    <t>Children</t>
  </si>
  <si>
    <t>Included if they filed a tax return or had PAYE income such as a wage or salary</t>
  </si>
  <si>
    <t>Included if they filed or had automatic assessment income</t>
  </si>
  <si>
    <t>PAYE earnings such as wages and salaries, taxable welfare benefits, New Zealand Superannuation, earnings-related accident compensation income, student allowances, schedular payments, and paid parental leave.</t>
  </si>
  <si>
    <t>Income sources specifically returned on the IR3 form such as self employment, shareholder salaries, estate or trust income, overseas income, partnership income, look through company income, Maori authority distributions, rental income (including bright line property income), income from taxable sale/disposal of property, Government subsidy and any other taxable income</t>
  </si>
  <si>
    <t>Included if IR3 filed</t>
  </si>
  <si>
    <t>Deductions such as brought forward losses, LAQC or look through losses received from companies, partnership losses, deductible expenses such as return preparation fees or schedular expenses</t>
  </si>
  <si>
    <t>Interest and dividends</t>
  </si>
  <si>
    <t>Included only if IR3 filed or income disclosed for personal tax summary</t>
  </si>
  <si>
    <t>Included for all</t>
  </si>
  <si>
    <t>PIE income (for example KiwiSaver earnings)</t>
  </si>
  <si>
    <t>Taxable Income</t>
  </si>
  <si>
    <t>Number of People</t>
  </si>
  <si>
    <t>Taxable Income ($M)</t>
  </si>
  <si>
    <t>Tax on Taxable Income ($M)</t>
  </si>
  <si>
    <t>bands to $300,000</t>
  </si>
  <si>
    <t>bands to $1,000,000</t>
  </si>
  <si>
    <t>nil</t>
  </si>
  <si>
    <t>$0.01    -   $100</t>
  </si>
  <si>
    <t>$1      -   $1,000</t>
  </si>
  <si>
    <t>$101     -   $1,000</t>
  </si>
  <si>
    <t>$1,001  -   $2,000</t>
  </si>
  <si>
    <t>$2,001  -   $3,000</t>
  </si>
  <si>
    <t>$3,001   -  $4,000</t>
  </si>
  <si>
    <t>$4,001   -  $5,000</t>
  </si>
  <si>
    <t>$5,001   -  $6,000</t>
  </si>
  <si>
    <t>$6,001   -  $7,000</t>
  </si>
  <si>
    <t>$7,001   -  $8,000</t>
  </si>
  <si>
    <t>$8,001   -  $9,000</t>
  </si>
  <si>
    <t>$9,001   - $10,000</t>
  </si>
  <si>
    <t>$10,001  - $11,000</t>
  </si>
  <si>
    <t>$11,001  - $12,000</t>
  </si>
  <si>
    <t>$12,001  - $13,000</t>
  </si>
  <si>
    <t>$13,001  - $14,000</t>
  </si>
  <si>
    <t>$14,001  - $15,000</t>
  </si>
  <si>
    <t>$15,001  - $16,000</t>
  </si>
  <si>
    <t>$16,001  - $17,000</t>
  </si>
  <si>
    <t>$17,001  - $18,000</t>
  </si>
  <si>
    <t>$18,001  - $19,000</t>
  </si>
  <si>
    <t>$19,001 -  $20,000</t>
  </si>
  <si>
    <t>$20,000 -  $21,000</t>
  </si>
  <si>
    <t>$21,001 -  $22,000</t>
  </si>
  <si>
    <t>$22,001  - $23,000</t>
  </si>
  <si>
    <t>$23,001  - $24,000</t>
  </si>
  <si>
    <t>$24,001  - $25,000</t>
  </si>
  <si>
    <t>$25,001  - $26,000</t>
  </si>
  <si>
    <t>$26,001  - $27,000</t>
  </si>
  <si>
    <t>$27,001  - $28,000</t>
  </si>
  <si>
    <t>$28,001  - $29,000</t>
  </si>
  <si>
    <t>$29,001  - $30,000</t>
  </si>
  <si>
    <t>$30,001  - $31,000</t>
  </si>
  <si>
    <t>$31,001  - $32,000</t>
  </si>
  <si>
    <t>$32,001  - $33,000</t>
  </si>
  <si>
    <t>$33,001  - $34,000</t>
  </si>
  <si>
    <t>$34,001  - $35,000</t>
  </si>
  <si>
    <t>$35,001  - $36,000</t>
  </si>
  <si>
    <t>$36,001  - $37,000</t>
  </si>
  <si>
    <t>$37,001  - $38,000</t>
  </si>
  <si>
    <t>$38,001  - $39,000</t>
  </si>
  <si>
    <t>$39,001 -  $40,000</t>
  </si>
  <si>
    <t>$40,001  - $41,000</t>
  </si>
  <si>
    <t>$41,001  - $42,000</t>
  </si>
  <si>
    <t>$42,001  - $43,000</t>
  </si>
  <si>
    <t>$43,001  - $44,000</t>
  </si>
  <si>
    <t>$44,001  - $45,000</t>
  </si>
  <si>
    <t>$45,001  - $46,000</t>
  </si>
  <si>
    <t>$46,001  - $47,000</t>
  </si>
  <si>
    <t>$47,001  - $48,000</t>
  </si>
  <si>
    <t>$48,001  - $49,000</t>
  </si>
  <si>
    <t>$49,001  - $50,000</t>
  </si>
  <si>
    <t>$50,000  - $51,000</t>
  </si>
  <si>
    <t>$51,001  - $52,000</t>
  </si>
  <si>
    <t>$52,001  - $53,000</t>
  </si>
  <si>
    <t>$53,001  - $54,000</t>
  </si>
  <si>
    <t>$54,001  - $55,000</t>
  </si>
  <si>
    <t>$55,001  - $56,000</t>
  </si>
  <si>
    <t>$56,001  - $57,000</t>
  </si>
  <si>
    <t>$57,001  - $58,000</t>
  </si>
  <si>
    <t>$58,001  - $59,000</t>
  </si>
  <si>
    <t>$59,001  - $60,000</t>
  </si>
  <si>
    <t>$60,001  - $61,000</t>
  </si>
  <si>
    <t>$61,001  - $62,000</t>
  </si>
  <si>
    <t>$62,001  - $63,000</t>
  </si>
  <si>
    <t>$63,001  - $64,000</t>
  </si>
  <si>
    <t>$64,001  - $65,000</t>
  </si>
  <si>
    <t>$65,001  - $66,000</t>
  </si>
  <si>
    <t>$66,001  - $67,000</t>
  </si>
  <si>
    <t>$67,001  - $68,000</t>
  </si>
  <si>
    <t>$68,001  - $69,000</t>
  </si>
  <si>
    <t>$69,001 -  $70,000</t>
  </si>
  <si>
    <t>$70,001  - $71,000</t>
  </si>
  <si>
    <t>$71,001  - $72,000</t>
  </si>
  <si>
    <t>$72,001  - $73,000</t>
  </si>
  <si>
    <t>$73,001  - $74,000</t>
  </si>
  <si>
    <t>$74,001  - $75,000</t>
  </si>
  <si>
    <t>$75,001  - $76,000</t>
  </si>
  <si>
    <t>$76,001  - $77,000</t>
  </si>
  <si>
    <t>$77,001  - $78,000</t>
  </si>
  <si>
    <t>$78,001  - $79,000</t>
  </si>
  <si>
    <t>$79,001  - $80,000</t>
  </si>
  <si>
    <t>$80,000  - $81,000</t>
  </si>
  <si>
    <t>$81,001  - $82,000</t>
  </si>
  <si>
    <t>$82,001  - $83,000</t>
  </si>
  <si>
    <t>$83,001  - $84,000</t>
  </si>
  <si>
    <t>$84,001  - $85,000</t>
  </si>
  <si>
    <t>$85,001  - $86,000</t>
  </si>
  <si>
    <t>$86,001  - $87,000</t>
  </si>
  <si>
    <t>$87,001  - $88,000</t>
  </si>
  <si>
    <t>$88,001  - $89,000</t>
  </si>
  <si>
    <t>$89,001  - $90,000</t>
  </si>
  <si>
    <t>$90,001  - $91,000</t>
  </si>
  <si>
    <t>$91,001  - $92,000</t>
  </si>
  <si>
    <t>$92,001  - $93,000</t>
  </si>
  <si>
    <t>$93,001  - $94,000</t>
  </si>
  <si>
    <t>$94,001  - $95,000</t>
  </si>
  <si>
    <t>$95,001  - $96,000</t>
  </si>
  <si>
    <t>$96,001  - $97,000</t>
  </si>
  <si>
    <t>$97,001  - $98,000</t>
  </si>
  <si>
    <t>$98,001  - $99,000</t>
  </si>
  <si>
    <t>$99,001 - $100,000</t>
  </si>
  <si>
    <t>$100,001 - $101,000</t>
  </si>
  <si>
    <t>$101,001 - $102,000</t>
  </si>
  <si>
    <t>$102,001 - $103,000</t>
  </si>
  <si>
    <t>$103,001 - $104,000</t>
  </si>
  <si>
    <t>$104,001 - $105,000</t>
  </si>
  <si>
    <t>$105,001 - $106,000</t>
  </si>
  <si>
    <t>$106,001 - $107,000</t>
  </si>
  <si>
    <t>$107,001 - $108,000</t>
  </si>
  <si>
    <t>$108,001 - $109,000</t>
  </si>
  <si>
    <t>$109,001 - $110,000</t>
  </si>
  <si>
    <t>$110,001 - $111,000</t>
  </si>
  <si>
    <t>$111,001 - $112,000</t>
  </si>
  <si>
    <t>$112,001 - $113,000</t>
  </si>
  <si>
    <t>$113,001 - $114,000</t>
  </si>
  <si>
    <t>$114,001 - $115,000</t>
  </si>
  <si>
    <t>$115,001 - $116,000</t>
  </si>
  <si>
    <t>$116,001 - $117,000</t>
  </si>
  <si>
    <t>$117,001 - $118,000</t>
  </si>
  <si>
    <t>$118,001 - $119,000</t>
  </si>
  <si>
    <t>$119,001 - $120,000</t>
  </si>
  <si>
    <t>$120,001 - $121,000</t>
  </si>
  <si>
    <t>$121,001 - $122,000</t>
  </si>
  <si>
    <t>$122,001 - $123,000</t>
  </si>
  <si>
    <t>$123,001 - $124,000</t>
  </si>
  <si>
    <t>$124,001 - $125,000</t>
  </si>
  <si>
    <t>$125,001 - $126,000</t>
  </si>
  <si>
    <t>$126,001 - $127,000</t>
  </si>
  <si>
    <t>$127,001 - $128,000</t>
  </si>
  <si>
    <t>$128,001 - $129,000</t>
  </si>
  <si>
    <t>$129,001 - $130,000</t>
  </si>
  <si>
    <t>$130,001 - $131,000</t>
  </si>
  <si>
    <t>$131,001 - $132,000</t>
  </si>
  <si>
    <t>$132,001 - $133,000</t>
  </si>
  <si>
    <t>$133,001 - $134,000</t>
  </si>
  <si>
    <t>$134,001 - $135,000</t>
  </si>
  <si>
    <t>$135,001 - $136,000</t>
  </si>
  <si>
    <t>$136,001 - $137,000</t>
  </si>
  <si>
    <t>$137,001 - $138,000</t>
  </si>
  <si>
    <t>$138,001 - $139,000</t>
  </si>
  <si>
    <t>$139,001 - $140,000</t>
  </si>
  <si>
    <t>$140,001 - $141,000</t>
  </si>
  <si>
    <t>$141,001 - $142,000</t>
  </si>
  <si>
    <t>$142,001 - $143,000</t>
  </si>
  <si>
    <t>$143,001 - $144,000</t>
  </si>
  <si>
    <t>$144,001 - $145,000</t>
  </si>
  <si>
    <t>$145,001 - $146,000</t>
  </si>
  <si>
    <t>$146,001 - $147,000</t>
  </si>
  <si>
    <t>$147,001 - $148,000</t>
  </si>
  <si>
    <t>$148,001 - $149,000</t>
  </si>
  <si>
    <t>$149,001 - $150,000</t>
  </si>
  <si>
    <t>$150,001 - $155,000</t>
  </si>
  <si>
    <t>$150,001 - $151,000</t>
  </si>
  <si>
    <t>$155,001 - $160,000</t>
  </si>
  <si>
    <t>$151,001 - $152,000</t>
  </si>
  <si>
    <t>$160,001 - $165,000</t>
  </si>
  <si>
    <t>$152,001 - $153,000</t>
  </si>
  <si>
    <t>$165,001 - $170,000</t>
  </si>
  <si>
    <t>$153,001 - $154,000</t>
  </si>
  <si>
    <t>$170,001 - $175,000</t>
  </si>
  <si>
    <t>$154,001 - $155,000</t>
  </si>
  <si>
    <t>$175,001 - $180,000</t>
  </si>
  <si>
    <t>$155,001 - $156,000</t>
  </si>
  <si>
    <t>$180,001 - $185,000</t>
  </si>
  <si>
    <t>$156,001 - $157,000</t>
  </si>
  <si>
    <t>$185,001 - $190,000</t>
  </si>
  <si>
    <t>$157,001 - $158,000</t>
  </si>
  <si>
    <t>$190,001 - $195,000</t>
  </si>
  <si>
    <t>$158,001 - $159,000</t>
  </si>
  <si>
    <t>$195,001 - $200,000</t>
  </si>
  <si>
    <t>$159,001 - $160,000</t>
  </si>
  <si>
    <t>$200,001 - $205,000</t>
  </si>
  <si>
    <t>$160,001 - $161,000</t>
  </si>
  <si>
    <t>$205,001 - $210,000</t>
  </si>
  <si>
    <t>$161,001 - $162,000</t>
  </si>
  <si>
    <t>$210,001 - $215,000</t>
  </si>
  <si>
    <t>$162,001 - $163,000</t>
  </si>
  <si>
    <t>$215,001 - $220,000</t>
  </si>
  <si>
    <t>$163,001 - $164,000</t>
  </si>
  <si>
    <t>$220,001 - $225,000</t>
  </si>
  <si>
    <t>$164,001 - $165,000</t>
  </si>
  <si>
    <t>$225,001 - $230,000</t>
  </si>
  <si>
    <t>$165,001 - $166,000</t>
  </si>
  <si>
    <t>$230,001 - $235,000</t>
  </si>
  <si>
    <t>$166,001 - $167,000</t>
  </si>
  <si>
    <t>$235,001 - $240,000</t>
  </si>
  <si>
    <t>$167,001 - $168,000</t>
  </si>
  <si>
    <t>$240,001 - $245,000</t>
  </si>
  <si>
    <t>$168,001 - $169,000</t>
  </si>
  <si>
    <t>$245,001 - $250,000</t>
  </si>
  <si>
    <t>$169,001 - $170,000</t>
  </si>
  <si>
    <t>Over $250,000</t>
  </si>
  <si>
    <t>$170,001 - $171,000</t>
  </si>
  <si>
    <t>$171,001 - $172,000</t>
  </si>
  <si>
    <t>Total</t>
  </si>
  <si>
    <t>$172,001 - $173,000</t>
  </si>
  <si>
    <t>$173,001 - $174,000</t>
  </si>
  <si>
    <t>$174,001 - $175,000</t>
  </si>
  <si>
    <t>$175,001 - $176,000</t>
  </si>
  <si>
    <t>$176,001 - $177,000</t>
  </si>
  <si>
    <t>$177,001 - $178,000</t>
  </si>
  <si>
    <t>$178,001 - $179,000</t>
  </si>
  <si>
    <t>$179,001 - $180,000</t>
  </si>
  <si>
    <t>$180,001 - $181,000</t>
  </si>
  <si>
    <t>$181,001 - $182,000</t>
  </si>
  <si>
    <t>$182,001 - $183,000</t>
  </si>
  <si>
    <t>$183,001 - $184,000</t>
  </si>
  <si>
    <t>$184,001 - $185,000</t>
  </si>
  <si>
    <t>$185,001 - $186,000</t>
  </si>
  <si>
    <t>$186,001 - $187,000</t>
  </si>
  <si>
    <t>$187,001 - $188,000</t>
  </si>
  <si>
    <t>$188,001 - $189,000</t>
  </si>
  <si>
    <t>$189,001 - $190,000</t>
  </si>
  <si>
    <t>$190,001 - $191,000</t>
  </si>
  <si>
    <t>$191,001 - $192,000</t>
  </si>
  <si>
    <t>$192,001 - $193,000</t>
  </si>
  <si>
    <t>$193,001 - $194,000</t>
  </si>
  <si>
    <t>$194,001 - $195,000</t>
  </si>
  <si>
    <t>$195,001 - $196,000</t>
  </si>
  <si>
    <t>$196,001 - $197,000</t>
  </si>
  <si>
    <t>$197,001 - $198,000</t>
  </si>
  <si>
    <t>$198,001 - $199,000</t>
  </si>
  <si>
    <t>$199,001 - $200,000</t>
  </si>
  <si>
    <t>$250,001 - $255,000</t>
  </si>
  <si>
    <t>$255,001 - $260,000</t>
  </si>
  <si>
    <t>$260,001 - $265,000</t>
  </si>
  <si>
    <t>$265,001 - $270,000</t>
  </si>
  <si>
    <t>$270,001 - $275,000</t>
  </si>
  <si>
    <t>$275,001 - $280,000</t>
  </si>
  <si>
    <t>$280,001 - $285,000</t>
  </si>
  <si>
    <t>$285,001 - $290,000</t>
  </si>
  <si>
    <t>$290,001 - $295,000</t>
  </si>
  <si>
    <t>$295,001 - $300,000</t>
  </si>
  <si>
    <t>Over $300,000</t>
  </si>
  <si>
    <t>$300,000 - $350,000</t>
  </si>
  <si>
    <t>$350,001 - $400,000</t>
  </si>
  <si>
    <t>$400,001 - $450,000</t>
  </si>
  <si>
    <t>$450,001 - $500,000</t>
  </si>
  <si>
    <t>$500,001 - $550,000</t>
  </si>
  <si>
    <t>$550,001 - $600,000</t>
  </si>
  <si>
    <t>$600,001 - $650,000</t>
  </si>
  <si>
    <t>$650,001 - $700,000</t>
  </si>
  <si>
    <t>$700,001 - $750,000</t>
  </si>
  <si>
    <t>$750,001 - $800,000</t>
  </si>
  <si>
    <t>$800,001 - $850,000</t>
  </si>
  <si>
    <t>$850,001 - $900,000</t>
  </si>
  <si>
    <t>$900,001 - $950,000</t>
  </si>
  <si>
    <t>$950,001 - $1,000,000</t>
  </si>
  <si>
    <t>Over $1,000,000</t>
  </si>
  <si>
    <t>Decile*</t>
  </si>
  <si>
    <t>Income at  upper boundary ($)</t>
  </si>
  <si>
    <t>Top 10%**</t>
  </si>
  <si>
    <t>* Each decile contains the population divided by 10</t>
  </si>
  <si>
    <t>** Each percentile for the 10% of income earners contains the population divided by 100</t>
  </si>
  <si>
    <t>Age Bands</t>
  </si>
  <si>
    <t>Under 15</t>
  </si>
  <si>
    <t>15-19</t>
  </si>
  <si>
    <t>20-24</t>
  </si>
  <si>
    <t>25-29</t>
  </si>
  <si>
    <t>30-34</t>
  </si>
  <si>
    <t>35-39</t>
  </si>
  <si>
    <t>40-44</t>
  </si>
  <si>
    <t>45-49</t>
  </si>
  <si>
    <t>50-54</t>
  </si>
  <si>
    <t>55-59</t>
  </si>
  <si>
    <t>60-64</t>
  </si>
  <si>
    <t>65-69</t>
  </si>
  <si>
    <t>70-74</t>
  </si>
  <si>
    <t>75+</t>
  </si>
  <si>
    <t>Unknown</t>
  </si>
  <si>
    <t>Number of individuals</t>
  </si>
  <si>
    <t>Aggregate taxable income</t>
  </si>
  <si>
    <t xml:space="preserve">Aggregate tax assessed </t>
  </si>
  <si>
    <t>Band</t>
  </si>
  <si>
    <t>Income from indivduals from 2001 to 2024</t>
  </si>
  <si>
    <t xml:space="preserve"> </t>
  </si>
  <si>
    <t>Income from individuals from 2019 to 2024 by Age Band</t>
  </si>
  <si>
    <t>.</t>
  </si>
  <si>
    <t>All</t>
  </si>
  <si>
    <t>Age Band</t>
  </si>
  <si>
    <t>2024 income distribution by age band and income band (Number of people)</t>
  </si>
  <si>
    <t>0-14</t>
  </si>
  <si>
    <t>15-24</t>
  </si>
  <si>
    <t>25-34</t>
  </si>
  <si>
    <t>35-44</t>
  </si>
  <si>
    <t>45-54</t>
  </si>
  <si>
    <t>55-64</t>
  </si>
  <si>
    <t>65+</t>
  </si>
  <si>
    <t>Over $180,000</t>
  </si>
  <si>
    <t>bands to $180,000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</si>
</sst>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_ ;\-#,##0\ "/>
    <numFmt numFmtId="166" formatCode="0.0"/>
    <numFmt numFmtId="167" formatCode="0.0%"/>
    <numFmt numFmtId="168" formatCode="_-* #,##0_-;\-* #,##0_-;_-* &quot;-&quot;??_-;_-@_-"/>
    <numFmt numFmtId="169" formatCode="_-* #,##0.0_-;\-* #,##0.0_-;_-* &quot;-&quot;??_-;_-@_-"/>
  </numFmts>
  <fonts count="17" x14ac:knownFonts="1">
    <font>
      <sz val="10"/>
      <name val="Arial"/>
    </font>
    <font>
      <sz val="11"/>
      <color theme="1"/>
      <name val="Calibri"/>
      <family val="2"/>
      <scheme val="minor"/>
    </font>
    <font>
      <sz val="10"/>
      <name val="Arial"/>
      <family val="2"/>
    </font>
    <font>
      <sz val="8"/>
      <name val="Arial"/>
      <family val="2"/>
    </font>
    <font>
      <sz val="10"/>
      <name val="Verdana"/>
      <family val="2"/>
    </font>
    <font>
      <b/>
      <sz val="10"/>
      <name val="Verdana"/>
      <family val="2"/>
    </font>
    <font>
      <b/>
      <sz val="12"/>
      <name val="Verdana"/>
      <family val="2"/>
    </font>
    <font>
      <sz val="10"/>
      <name val="Arial"/>
      <family val="2"/>
    </font>
    <font>
      <sz val="10"/>
      <color rgb="FFFF0000"/>
      <name val="Verdana"/>
      <family val="2"/>
    </font>
    <font>
      <b/>
      <u/>
      <sz val="10"/>
      <name val="Verdana"/>
      <family val="2"/>
    </font>
    <font>
      <b/>
      <sz val="10"/>
      <color theme="0"/>
      <name val="Verdana"/>
      <family val="2"/>
    </font>
    <font>
      <sz val="10"/>
      <color rgb="FF37424A"/>
      <name val="Verdana"/>
      <family val="2"/>
    </font>
    <font>
      <sz val="10"/>
      <color theme="1"/>
      <name val="Verdana"/>
      <family val="2"/>
    </font>
    <font>
      <b/>
      <sz val="10"/>
      <color theme="1"/>
      <name val="Verdana"/>
      <family val="2"/>
    </font>
    <font>
      <b/>
      <sz val="10"/>
      <color rgb="FF696969"/>
      <name val="Verdana"/>
      <family val="2"/>
    </font>
    <font>
      <b/>
      <sz val="10"/>
      <color rgb="FF2A3037"/>
      <name val="Verdana"/>
      <family val="2"/>
    </font>
    <font>
      <sz val="10"/>
      <color rgb="FF2A3037"/>
      <name val="Verdana"/>
      <family val="2"/>
    </font>
  </fonts>
  <fills count="4">
    <fill>
      <patternFill patternType="none"/>
    </fill>
    <fill>
      <patternFill patternType="gray125"/>
    </fill>
    <fill>
      <patternFill patternType="solid">
        <fgColor rgb="FFFFFFFF"/>
        <bgColor indexed="64"/>
      </patternFill>
    </fill>
    <fill>
      <patternFill patternType="solid">
        <fgColor rgb="FF0D8390"/>
        <bgColor indexed="64"/>
      </patternFill>
    </fill>
  </fills>
  <borders count="28">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rgb="FFE6F0F7"/>
      </left>
      <right/>
      <top/>
      <bottom style="thick">
        <color rgb="FFE6F0F7"/>
      </bottom>
      <diagonal/>
    </border>
    <border>
      <left/>
      <right/>
      <top/>
      <bottom style="thick">
        <color rgb="FFE6F0F7"/>
      </bottom>
      <diagonal/>
    </border>
    <border>
      <left/>
      <right style="thick">
        <color rgb="FFE6F0F7"/>
      </right>
      <top/>
      <bottom style="thick">
        <color rgb="FFE6F0F7"/>
      </bottom>
      <diagonal/>
    </border>
    <border>
      <left/>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rgb="FFC1C1C1"/>
      </left>
      <right style="medium">
        <color rgb="FFEBEDEF"/>
      </right>
      <top style="medium">
        <color rgb="FFC1C1C1"/>
      </top>
      <bottom/>
      <diagonal/>
    </border>
    <border>
      <left style="medium">
        <color rgb="FFEBEDEF"/>
      </left>
      <right/>
      <top style="medium">
        <color rgb="FFC1C1C1"/>
      </top>
      <bottom style="medium">
        <color rgb="FFEBEDEF"/>
      </bottom>
      <diagonal/>
    </border>
    <border>
      <left/>
      <right/>
      <top style="medium">
        <color rgb="FFC1C1C1"/>
      </top>
      <bottom style="medium">
        <color rgb="FFEBEDEF"/>
      </bottom>
      <diagonal/>
    </border>
    <border>
      <left style="medium">
        <color rgb="FFEBEDEF"/>
      </left>
      <right style="medium">
        <color rgb="FFEBEDEF"/>
      </right>
      <top style="medium">
        <color rgb="FFEBEDEF"/>
      </top>
      <bottom style="medium">
        <color rgb="FFEBEDEF"/>
      </bottom>
      <diagonal/>
    </border>
    <border>
      <left style="medium">
        <color rgb="FFEBEDEF"/>
      </left>
      <right/>
      <top style="medium">
        <color rgb="FFEBEDEF"/>
      </top>
      <bottom style="medium">
        <color rgb="FFEBEDEF"/>
      </bottom>
      <diagonal/>
    </border>
    <border>
      <left style="medium">
        <color rgb="FFC1C1C1"/>
      </left>
      <right style="medium">
        <color rgb="FFEBEDEF"/>
      </right>
      <top style="medium">
        <color rgb="FFEBEDEF"/>
      </top>
      <bottom style="medium">
        <color rgb="FFEBEDEF"/>
      </bottom>
      <diagonal/>
    </border>
    <border>
      <left style="medium">
        <color rgb="FFEBEDEF"/>
      </left>
      <right style="medium">
        <color rgb="FFEBEDEF"/>
      </right>
      <top style="medium">
        <color rgb="FFEBEDEF"/>
      </top>
      <bottom/>
      <diagonal/>
    </border>
    <border>
      <left style="medium">
        <color rgb="FFEBEDEF"/>
      </left>
      <right/>
      <top style="medium">
        <color rgb="FFEBEDEF"/>
      </top>
      <bottom/>
      <diagonal/>
    </border>
    <border>
      <left style="medium">
        <color rgb="FFC1C1C1"/>
      </left>
      <right style="medium">
        <color rgb="FFEBEDEF"/>
      </right>
      <top style="medium">
        <color rgb="FFEBEDEF"/>
      </top>
      <bottom/>
      <diagonal/>
    </border>
  </borders>
  <cellStyleXfs count="5">
    <xf numFmtId="0" fontId="0" fillId="0" borderId="0"/>
    <xf numFmtId="9" fontId="2" fillId="0" borderId="0" applyFont="0" applyFill="0" applyBorder="0" applyAlignment="0" applyProtection="0"/>
    <xf numFmtId="0" fontId="2" fillId="0" borderId="0"/>
    <xf numFmtId="43" fontId="7" fillId="0" borderId="0" applyFont="0" applyFill="0" applyBorder="0" applyAlignment="0" applyProtection="0"/>
    <xf numFmtId="0" fontId="1" fillId="0" borderId="0"/>
  </cellStyleXfs>
  <cellXfs count="126">
    <xf numFmtId="0" fontId="0" fillId="0" borderId="0" xfId="0"/>
    <xf numFmtId="3" fontId="0" fillId="0" borderId="0" xfId="0" applyNumberFormat="1"/>
    <xf numFmtId="0" fontId="4" fillId="0" borderId="0" xfId="0" applyFont="1"/>
    <xf numFmtId="0" fontId="5" fillId="0" borderId="0" xfId="0" applyFont="1"/>
    <xf numFmtId="0" fontId="5" fillId="0" borderId="0" xfId="0" applyFont="1" applyAlignment="1">
      <alignment horizontal="left"/>
    </xf>
    <xf numFmtId="164" fontId="4" fillId="0" borderId="0" xfId="0" applyNumberFormat="1" applyFont="1"/>
    <xf numFmtId="3" fontId="5" fillId="0" borderId="0" xfId="0" applyNumberFormat="1" applyFont="1"/>
    <xf numFmtId="3" fontId="4" fillId="0" borderId="1" xfId="0" applyNumberFormat="1" applyFont="1" applyBorder="1"/>
    <xf numFmtId="164" fontId="4" fillId="0" borderId="1" xfId="0" applyNumberFormat="1" applyFont="1" applyBorder="1"/>
    <xf numFmtId="0" fontId="4" fillId="0" borderId="0" xfId="2" applyFont="1"/>
    <xf numFmtId="3" fontId="4" fillId="0" borderId="0" xfId="0" applyNumberFormat="1" applyFont="1"/>
    <xf numFmtId="10" fontId="4" fillId="0" borderId="0" xfId="1" applyNumberFormat="1" applyFont="1"/>
    <xf numFmtId="164" fontId="4" fillId="0" borderId="1" xfId="2" applyNumberFormat="1" applyFont="1" applyBorder="1"/>
    <xf numFmtId="0" fontId="4" fillId="0" borderId="5" xfId="2" applyFont="1" applyBorder="1"/>
    <xf numFmtId="0" fontId="4" fillId="0" borderId="6" xfId="0" applyFont="1" applyBorder="1"/>
    <xf numFmtId="0" fontId="4" fillId="0" borderId="5" xfId="0" applyFont="1" applyBorder="1"/>
    <xf numFmtId="164" fontId="4" fillId="0" borderId="6" xfId="0" applyNumberFormat="1" applyFont="1" applyBorder="1"/>
    <xf numFmtId="164" fontId="4" fillId="0" borderId="8" xfId="0" applyNumberFormat="1" applyFont="1" applyBorder="1"/>
    <xf numFmtId="3" fontId="4" fillId="0" borderId="5" xfId="0" applyNumberFormat="1" applyFont="1" applyBorder="1"/>
    <xf numFmtId="3" fontId="4" fillId="0" borderId="7" xfId="0" applyNumberFormat="1" applyFont="1" applyBorder="1"/>
    <xf numFmtId="0" fontId="5" fillId="0" borderId="9" xfId="0" applyFont="1" applyBorder="1"/>
    <xf numFmtId="0" fontId="4" fillId="0" borderId="10" xfId="0" applyFont="1" applyBorder="1"/>
    <xf numFmtId="0" fontId="5" fillId="0" borderId="10" xfId="0" applyFont="1" applyBorder="1"/>
    <xf numFmtId="0" fontId="4" fillId="0" borderId="11" xfId="0" applyFont="1" applyBorder="1"/>
    <xf numFmtId="0" fontId="4" fillId="0" borderId="6" xfId="2" applyFont="1" applyBorder="1"/>
    <xf numFmtId="3" fontId="4" fillId="0" borderId="5" xfId="2" applyNumberFormat="1" applyFont="1" applyBorder="1"/>
    <xf numFmtId="164" fontId="4" fillId="0" borderId="0" xfId="2" applyNumberFormat="1" applyFont="1"/>
    <xf numFmtId="164" fontId="4" fillId="0" borderId="6" xfId="2" applyNumberFormat="1" applyFont="1" applyBorder="1"/>
    <xf numFmtId="3" fontId="4" fillId="0" borderId="7" xfId="2" applyNumberFormat="1" applyFont="1" applyBorder="1"/>
    <xf numFmtId="164" fontId="4" fillId="0" borderId="8" xfId="2" applyNumberFormat="1" applyFont="1" applyBorder="1"/>
    <xf numFmtId="0" fontId="4" fillId="0" borderId="5" xfId="0" applyFont="1" applyBorder="1" applyAlignment="1">
      <alignment horizontal="left"/>
    </xf>
    <xf numFmtId="0" fontId="4" fillId="0" borderId="7" xfId="0" applyFont="1" applyBorder="1" applyAlignment="1">
      <alignment horizontal="left"/>
    </xf>
    <xf numFmtId="0" fontId="4" fillId="0" borderId="2" xfId="0" applyFont="1" applyBorder="1"/>
    <xf numFmtId="0" fontId="4" fillId="0" borderId="3" xfId="0" applyFont="1" applyBorder="1"/>
    <xf numFmtId="0" fontId="4" fillId="0" borderId="4" xfId="0" applyFont="1" applyBorder="1"/>
    <xf numFmtId="0" fontId="4" fillId="0" borderId="2" xfId="0" applyFont="1" applyBorder="1" applyAlignment="1">
      <alignment horizontal="left"/>
    </xf>
    <xf numFmtId="3" fontId="4" fillId="0" borderId="2" xfId="0" applyNumberFormat="1" applyFont="1" applyBorder="1"/>
    <xf numFmtId="164" fontId="4" fillId="0" borderId="3" xfId="0" applyNumberFormat="1" applyFont="1" applyBorder="1"/>
    <xf numFmtId="164" fontId="4" fillId="0" borderId="4" xfId="0" applyNumberFormat="1" applyFont="1" applyBorder="1"/>
    <xf numFmtId="3" fontId="4" fillId="0" borderId="3" xfId="0" applyNumberFormat="1" applyFont="1" applyBorder="1"/>
    <xf numFmtId="0" fontId="5" fillId="0" borderId="5" xfId="0" applyFont="1" applyBorder="1" applyAlignment="1">
      <alignment horizontal="center" wrapText="1"/>
    </xf>
    <xf numFmtId="0" fontId="5" fillId="0" borderId="0" xfId="0" applyFont="1" applyAlignment="1">
      <alignment horizontal="center" wrapText="1"/>
    </xf>
    <xf numFmtId="0" fontId="5" fillId="0" borderId="2" xfId="0" applyFont="1" applyBorder="1" applyAlignment="1">
      <alignment horizontal="center"/>
    </xf>
    <xf numFmtId="0" fontId="6" fillId="0" borderId="0" xfId="0" applyFont="1"/>
    <xf numFmtId="3" fontId="4" fillId="0" borderId="11" xfId="0" applyNumberFormat="1" applyFont="1" applyBorder="1"/>
    <xf numFmtId="3" fontId="4" fillId="0" borderId="6" xfId="0" applyNumberFormat="1" applyFont="1" applyBorder="1"/>
    <xf numFmtId="0" fontId="8" fillId="0" borderId="0" xfId="0" applyFont="1"/>
    <xf numFmtId="0" fontId="9" fillId="0" borderId="0" xfId="0" applyFont="1"/>
    <xf numFmtId="165" fontId="0" fillId="0" borderId="0" xfId="3" applyNumberFormat="1" applyFont="1"/>
    <xf numFmtId="165" fontId="2" fillId="0" borderId="0" xfId="3" applyNumberFormat="1" applyFont="1"/>
    <xf numFmtId="165" fontId="4" fillId="0" borderId="5" xfId="3" applyNumberFormat="1" applyFont="1" applyBorder="1"/>
    <xf numFmtId="165" fontId="4" fillId="0" borderId="7" xfId="3" applyNumberFormat="1" applyFont="1" applyBorder="1"/>
    <xf numFmtId="166" fontId="0" fillId="0" borderId="0" xfId="0" applyNumberFormat="1"/>
    <xf numFmtId="0" fontId="4" fillId="3" borderId="0" xfId="0" applyFont="1" applyFill="1" applyAlignment="1">
      <alignment vertical="center"/>
    </xf>
    <xf numFmtId="0" fontId="10" fillId="3" borderId="0" xfId="0" applyFont="1" applyFill="1" applyAlignment="1">
      <alignment horizontal="center" vertical="center"/>
    </xf>
    <xf numFmtId="0" fontId="11" fillId="2" borderId="12" xfId="0" applyFont="1" applyFill="1" applyBorder="1" applyAlignment="1">
      <alignment vertical="center" wrapText="1"/>
    </xf>
    <xf numFmtId="0" fontId="11" fillId="2" borderId="13" xfId="0" applyFont="1" applyFill="1" applyBorder="1" applyAlignment="1">
      <alignment horizontal="left" vertical="center" wrapText="1" indent="2"/>
    </xf>
    <xf numFmtId="0" fontId="11" fillId="2" borderId="14" xfId="0" applyFont="1" applyFill="1" applyBorder="1" applyAlignment="1">
      <alignment horizontal="left" vertical="center" wrapText="1" indent="2"/>
    </xf>
    <xf numFmtId="3" fontId="4" fillId="0" borderId="16" xfId="0" applyNumberFormat="1" applyFont="1" applyBorder="1"/>
    <xf numFmtId="164" fontId="4" fillId="0" borderId="15" xfId="0" applyNumberFormat="1" applyFont="1" applyBorder="1"/>
    <xf numFmtId="164" fontId="4" fillId="0" borderId="17" xfId="0" applyNumberFormat="1" applyFont="1" applyBorder="1"/>
    <xf numFmtId="3" fontId="4" fillId="0" borderId="15" xfId="0" applyNumberFormat="1" applyFont="1" applyBorder="1"/>
    <xf numFmtId="0" fontId="4" fillId="0" borderId="18" xfId="0" applyFont="1" applyBorder="1"/>
    <xf numFmtId="3" fontId="4" fillId="0" borderId="16" xfId="2" applyNumberFormat="1" applyFont="1" applyBorder="1"/>
    <xf numFmtId="164" fontId="4" fillId="0" borderId="15" xfId="2" applyNumberFormat="1" applyFont="1" applyBorder="1"/>
    <xf numFmtId="0" fontId="4" fillId="0" borderId="5" xfId="0" applyFont="1" applyBorder="1" applyAlignment="1">
      <alignment horizontal="right"/>
    </xf>
    <xf numFmtId="0" fontId="4" fillId="0" borderId="11" xfId="0" applyFont="1" applyBorder="1" applyAlignment="1">
      <alignment horizontal="right"/>
    </xf>
    <xf numFmtId="0" fontId="4" fillId="0" borderId="9" xfId="0" applyFont="1" applyBorder="1" applyAlignment="1">
      <alignment horizontal="right"/>
    </xf>
    <xf numFmtId="0" fontId="4" fillId="0" borderId="10" xfId="0" applyFont="1" applyBorder="1" applyAlignment="1">
      <alignment horizontal="right"/>
    </xf>
    <xf numFmtId="167" fontId="4" fillId="0" borderId="0" xfId="1" applyNumberFormat="1" applyFont="1"/>
    <xf numFmtId="0" fontId="0" fillId="0" borderId="9" xfId="0" applyBorder="1"/>
    <xf numFmtId="0" fontId="0" fillId="0" borderId="2" xfId="0" applyBorder="1"/>
    <xf numFmtId="0" fontId="0" fillId="0" borderId="3" xfId="0" applyBorder="1"/>
    <xf numFmtId="0" fontId="0" fillId="0" borderId="4" xfId="0" applyBorder="1"/>
    <xf numFmtId="168" fontId="12" fillId="0" borderId="5" xfId="3" applyNumberFormat="1" applyFont="1" applyBorder="1"/>
    <xf numFmtId="169" fontId="12" fillId="0" borderId="0" xfId="3" applyNumberFormat="1" applyFont="1"/>
    <xf numFmtId="169" fontId="12" fillId="0" borderId="6" xfId="3" applyNumberFormat="1" applyFont="1" applyBorder="1"/>
    <xf numFmtId="168" fontId="12" fillId="0" borderId="7" xfId="3" applyNumberFormat="1" applyFont="1" applyBorder="1"/>
    <xf numFmtId="169" fontId="12" fillId="0" borderId="1" xfId="3" applyNumberFormat="1" applyFont="1" applyBorder="1"/>
    <xf numFmtId="169" fontId="12" fillId="0" borderId="8" xfId="3" applyNumberFormat="1" applyFont="1" applyBorder="1"/>
    <xf numFmtId="0" fontId="13" fillId="0" borderId="0" xfId="0" applyFont="1"/>
    <xf numFmtId="0" fontId="12" fillId="0" borderId="10" xfId="0" quotePrefix="1" applyFont="1" applyBorder="1"/>
    <xf numFmtId="0" fontId="12" fillId="0" borderId="11" xfId="0" quotePrefix="1" applyFont="1" applyBorder="1"/>
    <xf numFmtId="2" fontId="4" fillId="0" borderId="0" xfId="0" applyNumberFormat="1" applyFont="1"/>
    <xf numFmtId="1" fontId="4" fillId="0" borderId="0" xfId="1" applyNumberFormat="1" applyFont="1"/>
    <xf numFmtId="167" fontId="4" fillId="0" borderId="0" xfId="0" applyNumberFormat="1" applyFont="1"/>
    <xf numFmtId="0" fontId="2" fillId="0" borderId="0" xfId="0" applyFont="1"/>
    <xf numFmtId="0" fontId="12" fillId="0" borderId="0" xfId="0" quotePrefix="1" applyFont="1"/>
    <xf numFmtId="165" fontId="4" fillId="0" borderId="0" xfId="3" applyNumberFormat="1" applyFont="1" applyBorder="1"/>
    <xf numFmtId="0" fontId="14" fillId="0" borderId="0" xfId="0" applyFont="1" applyAlignment="1">
      <alignment horizontal="left" vertical="center"/>
    </xf>
    <xf numFmtId="0" fontId="15" fillId="2" borderId="19" xfId="0" applyFont="1" applyFill="1" applyBorder="1" applyAlignment="1">
      <alignment vertical="center" wrapText="1"/>
    </xf>
    <xf numFmtId="0" fontId="15" fillId="2" borderId="22" xfId="0" applyFont="1" applyFill="1" applyBorder="1" applyAlignment="1">
      <alignment horizontal="center" vertical="top"/>
    </xf>
    <xf numFmtId="0" fontId="15" fillId="2" borderId="22" xfId="0" applyFont="1" applyFill="1" applyBorder="1" applyAlignment="1">
      <alignment horizontal="center" vertical="top" wrapText="1"/>
    </xf>
    <xf numFmtId="0" fontId="15" fillId="2" borderId="23" xfId="0" applyFont="1" applyFill="1" applyBorder="1" applyAlignment="1">
      <alignment horizontal="center" vertical="top" wrapText="1"/>
    </xf>
    <xf numFmtId="0" fontId="15" fillId="2" borderId="24" xfId="0" applyFont="1" applyFill="1" applyBorder="1" applyAlignment="1">
      <alignment horizontal="left" vertical="top" wrapText="1"/>
    </xf>
    <xf numFmtId="3" fontId="16" fillId="2" borderId="25" xfId="0" applyNumberFormat="1" applyFont="1" applyFill="1" applyBorder="1" applyAlignment="1">
      <alignment wrapText="1"/>
    </xf>
    <xf numFmtId="3" fontId="16" fillId="2" borderId="26" xfId="0" applyNumberFormat="1" applyFont="1" applyFill="1" applyBorder="1" applyAlignment="1">
      <alignment wrapText="1"/>
    </xf>
    <xf numFmtId="3" fontId="16" fillId="2" borderId="22" xfId="0" applyNumberFormat="1" applyFont="1" applyFill="1" applyBorder="1" applyAlignment="1">
      <alignment horizontal="right" wrapText="1"/>
    </xf>
    <xf numFmtId="3" fontId="16" fillId="2" borderId="23" xfId="0" applyNumberFormat="1" applyFont="1" applyFill="1" applyBorder="1" applyAlignment="1">
      <alignment horizontal="right" wrapText="1"/>
    </xf>
    <xf numFmtId="0" fontId="15" fillId="2" borderId="27" xfId="0" applyFont="1" applyFill="1" applyBorder="1" applyAlignment="1">
      <alignment horizontal="left" vertical="top" wrapText="1"/>
    </xf>
    <xf numFmtId="3" fontId="16" fillId="2" borderId="25" xfId="0" applyNumberFormat="1" applyFont="1" applyFill="1" applyBorder="1" applyAlignment="1">
      <alignment horizontal="right" wrapText="1"/>
    </xf>
    <xf numFmtId="168" fontId="4" fillId="0" borderId="0" xfId="3" applyNumberFormat="1" applyFont="1"/>
    <xf numFmtId="0" fontId="5" fillId="0" borderId="5" xfId="0" applyFont="1" applyBorder="1" applyAlignment="1">
      <alignment horizontal="center" wrapText="1"/>
    </xf>
    <xf numFmtId="0" fontId="5" fillId="0" borderId="7" xfId="0" applyFont="1" applyBorder="1" applyAlignment="1">
      <alignment horizontal="center" wrapText="1"/>
    </xf>
    <xf numFmtId="0" fontId="5" fillId="0" borderId="0" xfId="0" applyFont="1" applyAlignment="1">
      <alignment horizontal="center" wrapText="1"/>
    </xf>
    <xf numFmtId="0" fontId="5" fillId="0" borderId="1" xfId="0" applyFont="1" applyBorder="1" applyAlignment="1">
      <alignment horizontal="center" wrapText="1"/>
    </xf>
    <xf numFmtId="0" fontId="5" fillId="0" borderId="6" xfId="0" applyFont="1" applyBorder="1" applyAlignment="1">
      <alignment horizontal="center" wrapText="1"/>
    </xf>
    <xf numFmtId="0" fontId="5" fillId="0" borderId="8" xfId="0" applyFont="1" applyBorder="1" applyAlignment="1">
      <alignment horizontal="center"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5" xfId="2" applyFont="1" applyBorder="1" applyAlignment="1">
      <alignment horizontal="center" wrapText="1"/>
    </xf>
    <xf numFmtId="0" fontId="5" fillId="0" borderId="7" xfId="2" applyFont="1" applyBorder="1" applyAlignment="1">
      <alignment horizontal="center" wrapText="1"/>
    </xf>
    <xf numFmtId="0" fontId="5" fillId="0" borderId="0" xfId="2" applyFont="1" applyAlignment="1">
      <alignment horizontal="center" wrapText="1"/>
    </xf>
    <xf numFmtId="0" fontId="5" fillId="0" borderId="1" xfId="2" applyFont="1" applyBorder="1" applyAlignment="1">
      <alignment horizontal="center" wrapText="1"/>
    </xf>
    <xf numFmtId="0" fontId="5" fillId="0" borderId="6" xfId="2" applyFont="1" applyBorder="1" applyAlignment="1">
      <alignment horizontal="center" wrapText="1"/>
    </xf>
    <xf numFmtId="0" fontId="5" fillId="0" borderId="8" xfId="2" applyFont="1" applyBorder="1" applyAlignment="1">
      <alignment horizontal="center" wrapText="1"/>
    </xf>
    <xf numFmtId="0" fontId="5" fillId="0" borderId="9" xfId="2" applyFont="1" applyBorder="1" applyAlignment="1">
      <alignment horizontal="center" vertical="center"/>
    </xf>
    <xf numFmtId="0" fontId="5" fillId="0" borderId="10" xfId="2" applyFont="1" applyBorder="1" applyAlignment="1">
      <alignment horizontal="center" vertical="center"/>
    </xf>
    <xf numFmtId="0" fontId="5" fillId="0" borderId="11" xfId="2"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15" fillId="2" borderId="20" xfId="0" applyFont="1" applyFill="1" applyBorder="1" applyAlignment="1">
      <alignment horizontal="center" vertical="top" wrapText="1"/>
    </xf>
    <xf numFmtId="0" fontId="15" fillId="2" borderId="21" xfId="0" applyFont="1" applyFill="1" applyBorder="1" applyAlignment="1">
      <alignment horizontal="center" vertical="top" wrapText="1"/>
    </xf>
    <xf numFmtId="0" fontId="2" fillId="0" borderId="0" xfId="0" applyFont="1" applyAlignment="1">
      <alignment horizontal="center"/>
    </xf>
  </cellXfs>
  <cellStyles count="5">
    <cellStyle name="Comma" xfId="3" builtinId="3"/>
    <cellStyle name="Normal" xfId="0" builtinId="0"/>
    <cellStyle name="Normal 2" xfId="2" xr:uid="{34A32C57-3268-41C2-89EA-5AC8A60E23CA}"/>
    <cellStyle name="Normal 3" xfId="4" xr:uid="{9E8528E7-4048-49BA-B252-107C8810C710}"/>
    <cellStyle name="Percent" xfId="1" builtinId="5"/>
  </cellStyles>
  <dxfs count="0"/>
  <tableStyles count="0" defaultTableStyle="TableStyleMedium2" defaultPivotStyle="PivotStyleLight16"/>
  <colors>
    <mruColors>
      <color rgb="FF99004F"/>
      <color rgb="FF0D8390"/>
      <color rgb="FF00426B"/>
      <color rgb="FFF4471F"/>
      <color rgb="FFA496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NZ" sz="1400" b="1"/>
              <a:t>Individuals taxable income distribution</a:t>
            </a:r>
          </a:p>
        </c:rich>
      </c:tx>
      <c:layout>
        <c:manualLayout>
          <c:xMode val="edge"/>
          <c:yMode val="edge"/>
          <c:x val="3.9086473251246277E-2"/>
          <c:y val="1.23228589032655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US"/>
        </a:p>
      </c:txPr>
    </c:title>
    <c:autoTitleDeleted val="0"/>
    <c:plotArea>
      <c:layout/>
      <c:lineChart>
        <c:grouping val="standard"/>
        <c:varyColors val="0"/>
        <c:ser>
          <c:idx val="1"/>
          <c:order val="1"/>
          <c:tx>
            <c:v>2004 tax year</c:v>
          </c:tx>
          <c:spPr>
            <a:ln w="28575" cap="rnd">
              <a:solidFill>
                <a:srgbClr val="F4471F">
                  <a:alpha val="50196"/>
                </a:srgbClr>
              </a:solidFill>
              <a:round/>
            </a:ln>
            <a:effectLst/>
          </c:spPr>
          <c:marker>
            <c:symbol val="none"/>
          </c:marker>
          <c:cat>
            <c:numRef>
              <c:f>'Hidden 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'Hidden Graph Data'!$B$3:$B$203</c:f>
              <c:numCache>
                <c:formatCode>#,##0</c:formatCode>
                <c:ptCount val="201"/>
                <c:pt idx="1">
                  <c:v>101730</c:v>
                </c:pt>
                <c:pt idx="2">
                  <c:v>69610</c:v>
                </c:pt>
                <c:pt idx="3">
                  <c:v>60660</c:v>
                </c:pt>
                <c:pt idx="4">
                  <c:v>55380</c:v>
                </c:pt>
                <c:pt idx="5">
                  <c:v>52620</c:v>
                </c:pt>
                <c:pt idx="6">
                  <c:v>50480</c:v>
                </c:pt>
                <c:pt idx="7">
                  <c:v>48990</c:v>
                </c:pt>
                <c:pt idx="8">
                  <c:v>49790</c:v>
                </c:pt>
                <c:pt idx="9">
                  <c:v>75090</c:v>
                </c:pt>
                <c:pt idx="10">
                  <c:v>62970</c:v>
                </c:pt>
                <c:pt idx="11">
                  <c:v>88570</c:v>
                </c:pt>
                <c:pt idx="12">
                  <c:v>188070</c:v>
                </c:pt>
                <c:pt idx="13">
                  <c:v>96990</c:v>
                </c:pt>
                <c:pt idx="14">
                  <c:v>64290</c:v>
                </c:pt>
                <c:pt idx="15">
                  <c:v>120160</c:v>
                </c:pt>
                <c:pt idx="16">
                  <c:v>155680</c:v>
                </c:pt>
                <c:pt idx="17">
                  <c:v>64120</c:v>
                </c:pt>
                <c:pt idx="18">
                  <c:v>49020</c:v>
                </c:pt>
                <c:pt idx="19">
                  <c:v>46180</c:v>
                </c:pt>
                <c:pt idx="20">
                  <c:v>45280</c:v>
                </c:pt>
                <c:pt idx="21">
                  <c:v>48560</c:v>
                </c:pt>
                <c:pt idx="22">
                  <c:v>44360</c:v>
                </c:pt>
                <c:pt idx="23">
                  <c:v>41540</c:v>
                </c:pt>
                <c:pt idx="24">
                  <c:v>43170</c:v>
                </c:pt>
                <c:pt idx="25">
                  <c:v>44940</c:v>
                </c:pt>
                <c:pt idx="26">
                  <c:v>40620</c:v>
                </c:pt>
                <c:pt idx="27">
                  <c:v>40180</c:v>
                </c:pt>
                <c:pt idx="28">
                  <c:v>39670</c:v>
                </c:pt>
                <c:pt idx="29">
                  <c:v>39960</c:v>
                </c:pt>
                <c:pt idx="30">
                  <c:v>41680</c:v>
                </c:pt>
                <c:pt idx="31">
                  <c:v>39800</c:v>
                </c:pt>
                <c:pt idx="32">
                  <c:v>38230</c:v>
                </c:pt>
                <c:pt idx="33">
                  <c:v>38510</c:v>
                </c:pt>
                <c:pt idx="34">
                  <c:v>38380</c:v>
                </c:pt>
                <c:pt idx="35">
                  <c:v>36760</c:v>
                </c:pt>
                <c:pt idx="36">
                  <c:v>38920</c:v>
                </c:pt>
                <c:pt idx="37">
                  <c:v>36300</c:v>
                </c:pt>
                <c:pt idx="38">
                  <c:v>45670</c:v>
                </c:pt>
                <c:pt idx="39">
                  <c:v>39420</c:v>
                </c:pt>
                <c:pt idx="40">
                  <c:v>37440</c:v>
                </c:pt>
                <c:pt idx="41">
                  <c:v>33180</c:v>
                </c:pt>
                <c:pt idx="42">
                  <c:v>30200</c:v>
                </c:pt>
                <c:pt idx="43">
                  <c:v>30160</c:v>
                </c:pt>
                <c:pt idx="44">
                  <c:v>27490</c:v>
                </c:pt>
                <c:pt idx="45">
                  <c:v>26010</c:v>
                </c:pt>
                <c:pt idx="46">
                  <c:v>24960</c:v>
                </c:pt>
                <c:pt idx="47">
                  <c:v>24540</c:v>
                </c:pt>
                <c:pt idx="48">
                  <c:v>22470</c:v>
                </c:pt>
                <c:pt idx="49">
                  <c:v>21670</c:v>
                </c:pt>
                <c:pt idx="50">
                  <c:v>19610</c:v>
                </c:pt>
                <c:pt idx="51">
                  <c:v>20650</c:v>
                </c:pt>
                <c:pt idx="52">
                  <c:v>18600</c:v>
                </c:pt>
                <c:pt idx="53">
                  <c:v>17730</c:v>
                </c:pt>
                <c:pt idx="54">
                  <c:v>16100</c:v>
                </c:pt>
                <c:pt idx="55">
                  <c:v>14970</c:v>
                </c:pt>
                <c:pt idx="56">
                  <c:v>15110</c:v>
                </c:pt>
                <c:pt idx="57">
                  <c:v>14950</c:v>
                </c:pt>
                <c:pt idx="58">
                  <c:v>15400</c:v>
                </c:pt>
                <c:pt idx="59">
                  <c:v>14460</c:v>
                </c:pt>
                <c:pt idx="60">
                  <c:v>24660</c:v>
                </c:pt>
                <c:pt idx="61">
                  <c:v>18280</c:v>
                </c:pt>
                <c:pt idx="62">
                  <c:v>14390</c:v>
                </c:pt>
                <c:pt idx="63">
                  <c:v>12260</c:v>
                </c:pt>
                <c:pt idx="64">
                  <c:v>10700</c:v>
                </c:pt>
                <c:pt idx="65">
                  <c:v>9730</c:v>
                </c:pt>
                <c:pt idx="66">
                  <c:v>8610</c:v>
                </c:pt>
                <c:pt idx="67">
                  <c:v>8240</c:v>
                </c:pt>
                <c:pt idx="68">
                  <c:v>8080</c:v>
                </c:pt>
                <c:pt idx="69">
                  <c:v>7190</c:v>
                </c:pt>
                <c:pt idx="70">
                  <c:v>7250</c:v>
                </c:pt>
                <c:pt idx="71">
                  <c:v>5940</c:v>
                </c:pt>
                <c:pt idx="72">
                  <c:v>5950</c:v>
                </c:pt>
                <c:pt idx="73">
                  <c:v>5430</c:v>
                </c:pt>
                <c:pt idx="74">
                  <c:v>5580</c:v>
                </c:pt>
                <c:pt idx="75">
                  <c:v>5180</c:v>
                </c:pt>
                <c:pt idx="76">
                  <c:v>5660</c:v>
                </c:pt>
                <c:pt idx="77">
                  <c:v>4690</c:v>
                </c:pt>
                <c:pt idx="78">
                  <c:v>4000</c:v>
                </c:pt>
                <c:pt idx="79">
                  <c:v>3940</c:v>
                </c:pt>
                <c:pt idx="80">
                  <c:v>4510</c:v>
                </c:pt>
                <c:pt idx="81">
                  <c:v>3820</c:v>
                </c:pt>
                <c:pt idx="82">
                  <c:v>3730</c:v>
                </c:pt>
                <c:pt idx="83">
                  <c:v>3330</c:v>
                </c:pt>
                <c:pt idx="84">
                  <c:v>3450</c:v>
                </c:pt>
                <c:pt idx="85">
                  <c:v>3300</c:v>
                </c:pt>
                <c:pt idx="86">
                  <c:v>3200</c:v>
                </c:pt>
                <c:pt idx="87">
                  <c:v>3500</c:v>
                </c:pt>
                <c:pt idx="88">
                  <c:v>2470</c:v>
                </c:pt>
                <c:pt idx="89">
                  <c:v>2560</c:v>
                </c:pt>
                <c:pt idx="90">
                  <c:v>2340</c:v>
                </c:pt>
                <c:pt idx="91">
                  <c:v>2570</c:v>
                </c:pt>
                <c:pt idx="92">
                  <c:v>2700</c:v>
                </c:pt>
                <c:pt idx="93">
                  <c:v>2210</c:v>
                </c:pt>
                <c:pt idx="94">
                  <c:v>2510</c:v>
                </c:pt>
                <c:pt idx="95">
                  <c:v>2080</c:v>
                </c:pt>
                <c:pt idx="96">
                  <c:v>2080</c:v>
                </c:pt>
                <c:pt idx="97">
                  <c:v>1800</c:v>
                </c:pt>
                <c:pt idx="98">
                  <c:v>2180</c:v>
                </c:pt>
                <c:pt idx="99">
                  <c:v>1710</c:v>
                </c:pt>
                <c:pt idx="100">
                  <c:v>1860</c:v>
                </c:pt>
                <c:pt idx="101">
                  <c:v>1740</c:v>
                </c:pt>
                <c:pt idx="102">
                  <c:v>1860</c:v>
                </c:pt>
                <c:pt idx="103">
                  <c:v>1560</c:v>
                </c:pt>
                <c:pt idx="104">
                  <c:v>1410</c:v>
                </c:pt>
                <c:pt idx="105">
                  <c:v>1380</c:v>
                </c:pt>
                <c:pt idx="106">
                  <c:v>1050</c:v>
                </c:pt>
                <c:pt idx="107">
                  <c:v>1460</c:v>
                </c:pt>
                <c:pt idx="108">
                  <c:v>1140</c:v>
                </c:pt>
                <c:pt idx="109">
                  <c:v>1380</c:v>
                </c:pt>
                <c:pt idx="110">
                  <c:v>1140</c:v>
                </c:pt>
                <c:pt idx="111">
                  <c:v>1330</c:v>
                </c:pt>
                <c:pt idx="112">
                  <c:v>1070</c:v>
                </c:pt>
                <c:pt idx="113">
                  <c:v>1150</c:v>
                </c:pt>
                <c:pt idx="114">
                  <c:v>910</c:v>
                </c:pt>
                <c:pt idx="115">
                  <c:v>1060</c:v>
                </c:pt>
                <c:pt idx="116">
                  <c:v>850</c:v>
                </c:pt>
                <c:pt idx="117">
                  <c:v>910</c:v>
                </c:pt>
                <c:pt idx="118">
                  <c:v>800</c:v>
                </c:pt>
                <c:pt idx="119">
                  <c:v>900</c:v>
                </c:pt>
                <c:pt idx="120">
                  <c:v>960</c:v>
                </c:pt>
                <c:pt idx="121">
                  <c:v>850</c:v>
                </c:pt>
                <c:pt idx="122">
                  <c:v>830</c:v>
                </c:pt>
                <c:pt idx="123">
                  <c:v>1000</c:v>
                </c:pt>
                <c:pt idx="124">
                  <c:v>1010</c:v>
                </c:pt>
                <c:pt idx="125">
                  <c:v>660</c:v>
                </c:pt>
                <c:pt idx="126">
                  <c:v>730</c:v>
                </c:pt>
                <c:pt idx="127">
                  <c:v>660</c:v>
                </c:pt>
                <c:pt idx="128">
                  <c:v>650</c:v>
                </c:pt>
                <c:pt idx="129">
                  <c:v>770</c:v>
                </c:pt>
                <c:pt idx="130">
                  <c:v>810</c:v>
                </c:pt>
                <c:pt idx="131">
                  <c:v>500</c:v>
                </c:pt>
                <c:pt idx="132">
                  <c:v>680</c:v>
                </c:pt>
                <c:pt idx="133">
                  <c:v>520</c:v>
                </c:pt>
                <c:pt idx="134">
                  <c:v>550</c:v>
                </c:pt>
                <c:pt idx="135">
                  <c:v>550</c:v>
                </c:pt>
                <c:pt idx="136">
                  <c:v>630</c:v>
                </c:pt>
                <c:pt idx="137">
                  <c:v>460</c:v>
                </c:pt>
                <c:pt idx="138">
                  <c:v>520</c:v>
                </c:pt>
                <c:pt idx="139">
                  <c:v>590</c:v>
                </c:pt>
                <c:pt idx="140">
                  <c:v>920</c:v>
                </c:pt>
                <c:pt idx="141">
                  <c:v>460</c:v>
                </c:pt>
                <c:pt idx="142">
                  <c:v>500</c:v>
                </c:pt>
                <c:pt idx="143">
                  <c:v>400</c:v>
                </c:pt>
                <c:pt idx="144">
                  <c:v>310</c:v>
                </c:pt>
                <c:pt idx="145">
                  <c:v>450</c:v>
                </c:pt>
                <c:pt idx="146">
                  <c:v>330</c:v>
                </c:pt>
                <c:pt idx="147">
                  <c:v>400</c:v>
                </c:pt>
                <c:pt idx="148">
                  <c:v>470</c:v>
                </c:pt>
                <c:pt idx="149">
                  <c:v>360</c:v>
                </c:pt>
                <c:pt idx="150">
                  <c:v>210</c:v>
                </c:pt>
              </c:numCache>
            </c:numRef>
          </c:val>
          <c:smooth val="0"/>
          <c:extLst>
            <c:ext xmlns:c16="http://schemas.microsoft.com/office/drawing/2014/chart" uri="{C3380CC4-5D6E-409C-BE32-E72D297353CC}">
              <c16:uniqueId val="{00000001-7E91-42FA-BD23-4352381EAD22}"/>
            </c:ext>
          </c:extLst>
        </c:ser>
        <c:ser>
          <c:idx val="2"/>
          <c:order val="2"/>
          <c:tx>
            <c:v>2014 tax year</c:v>
          </c:tx>
          <c:spPr>
            <a:ln w="28575" cap="rnd">
              <a:solidFill>
                <a:srgbClr val="0D8390">
                  <a:alpha val="50196"/>
                </a:srgbClr>
              </a:solidFill>
              <a:round/>
            </a:ln>
            <a:effectLst/>
          </c:spPr>
          <c:marker>
            <c:symbol val="none"/>
          </c:marker>
          <c:cat>
            <c:numRef>
              <c:f>'Hidden 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'Hidden Graph Data'!$C$3:$C$203</c:f>
              <c:numCache>
                <c:formatCode>#,##0</c:formatCode>
                <c:ptCount val="201"/>
                <c:pt idx="1">
                  <c:v>83060</c:v>
                </c:pt>
                <c:pt idx="2">
                  <c:v>58080</c:v>
                </c:pt>
                <c:pt idx="3">
                  <c:v>46360</c:v>
                </c:pt>
                <c:pt idx="4">
                  <c:v>42390</c:v>
                </c:pt>
                <c:pt idx="5">
                  <c:v>39930</c:v>
                </c:pt>
                <c:pt idx="6">
                  <c:v>42470</c:v>
                </c:pt>
                <c:pt idx="7">
                  <c:v>42340</c:v>
                </c:pt>
                <c:pt idx="8">
                  <c:v>42630</c:v>
                </c:pt>
                <c:pt idx="9">
                  <c:v>42460</c:v>
                </c:pt>
                <c:pt idx="10">
                  <c:v>54710</c:v>
                </c:pt>
                <c:pt idx="11">
                  <c:v>41450</c:v>
                </c:pt>
                <c:pt idx="12">
                  <c:v>69820</c:v>
                </c:pt>
                <c:pt idx="13">
                  <c:v>55430</c:v>
                </c:pt>
                <c:pt idx="14">
                  <c:v>45650</c:v>
                </c:pt>
                <c:pt idx="15">
                  <c:v>43750</c:v>
                </c:pt>
                <c:pt idx="16">
                  <c:v>112460</c:v>
                </c:pt>
                <c:pt idx="17">
                  <c:v>188400</c:v>
                </c:pt>
                <c:pt idx="18">
                  <c:v>81460</c:v>
                </c:pt>
                <c:pt idx="19">
                  <c:v>45330</c:v>
                </c:pt>
                <c:pt idx="20">
                  <c:v>90330</c:v>
                </c:pt>
                <c:pt idx="21">
                  <c:v>48630</c:v>
                </c:pt>
                <c:pt idx="22">
                  <c:v>138760</c:v>
                </c:pt>
                <c:pt idx="23">
                  <c:v>38570</c:v>
                </c:pt>
                <c:pt idx="24">
                  <c:v>36050</c:v>
                </c:pt>
                <c:pt idx="25">
                  <c:v>38760</c:v>
                </c:pt>
                <c:pt idx="26">
                  <c:v>35580</c:v>
                </c:pt>
                <c:pt idx="27">
                  <c:v>35030</c:v>
                </c:pt>
                <c:pt idx="28">
                  <c:v>34990</c:v>
                </c:pt>
                <c:pt idx="29">
                  <c:v>33900</c:v>
                </c:pt>
                <c:pt idx="30">
                  <c:v>35420</c:v>
                </c:pt>
                <c:pt idx="31">
                  <c:v>35370</c:v>
                </c:pt>
                <c:pt idx="32">
                  <c:v>34600</c:v>
                </c:pt>
                <c:pt idx="33">
                  <c:v>35680</c:v>
                </c:pt>
                <c:pt idx="34">
                  <c:v>34850</c:v>
                </c:pt>
                <c:pt idx="35">
                  <c:v>35520</c:v>
                </c:pt>
                <c:pt idx="36">
                  <c:v>34790</c:v>
                </c:pt>
                <c:pt idx="37">
                  <c:v>35790</c:v>
                </c:pt>
                <c:pt idx="38">
                  <c:v>37280</c:v>
                </c:pt>
                <c:pt idx="39">
                  <c:v>36730</c:v>
                </c:pt>
                <c:pt idx="40">
                  <c:v>36150</c:v>
                </c:pt>
                <c:pt idx="41">
                  <c:v>34420</c:v>
                </c:pt>
                <c:pt idx="42">
                  <c:v>34000</c:v>
                </c:pt>
                <c:pt idx="43">
                  <c:v>35700</c:v>
                </c:pt>
                <c:pt idx="44">
                  <c:v>35300</c:v>
                </c:pt>
                <c:pt idx="45">
                  <c:v>34200</c:v>
                </c:pt>
                <c:pt idx="46">
                  <c:v>33350</c:v>
                </c:pt>
                <c:pt idx="47">
                  <c:v>31890</c:v>
                </c:pt>
                <c:pt idx="48">
                  <c:v>39160</c:v>
                </c:pt>
                <c:pt idx="49">
                  <c:v>32470</c:v>
                </c:pt>
                <c:pt idx="50">
                  <c:v>34150</c:v>
                </c:pt>
                <c:pt idx="51">
                  <c:v>30440</c:v>
                </c:pt>
                <c:pt idx="52">
                  <c:v>30770</c:v>
                </c:pt>
                <c:pt idx="53">
                  <c:v>25650</c:v>
                </c:pt>
                <c:pt idx="54">
                  <c:v>25190</c:v>
                </c:pt>
                <c:pt idx="55">
                  <c:v>28120</c:v>
                </c:pt>
                <c:pt idx="56">
                  <c:v>26990</c:v>
                </c:pt>
                <c:pt idx="57">
                  <c:v>26050</c:v>
                </c:pt>
                <c:pt idx="58">
                  <c:v>24510</c:v>
                </c:pt>
                <c:pt idx="59">
                  <c:v>23650</c:v>
                </c:pt>
                <c:pt idx="60">
                  <c:v>21880</c:v>
                </c:pt>
                <c:pt idx="61">
                  <c:v>22090</c:v>
                </c:pt>
                <c:pt idx="62">
                  <c:v>22130</c:v>
                </c:pt>
                <c:pt idx="63">
                  <c:v>20220</c:v>
                </c:pt>
                <c:pt idx="64">
                  <c:v>20440</c:v>
                </c:pt>
                <c:pt idx="65">
                  <c:v>20650</c:v>
                </c:pt>
                <c:pt idx="66">
                  <c:v>21000</c:v>
                </c:pt>
                <c:pt idx="67">
                  <c:v>18940</c:v>
                </c:pt>
                <c:pt idx="68">
                  <c:v>18460</c:v>
                </c:pt>
                <c:pt idx="69">
                  <c:v>19490</c:v>
                </c:pt>
                <c:pt idx="70">
                  <c:v>28480</c:v>
                </c:pt>
                <c:pt idx="71">
                  <c:v>20870</c:v>
                </c:pt>
                <c:pt idx="72">
                  <c:v>18770</c:v>
                </c:pt>
                <c:pt idx="73">
                  <c:v>17740</c:v>
                </c:pt>
                <c:pt idx="74">
                  <c:v>16320</c:v>
                </c:pt>
                <c:pt idx="75">
                  <c:v>13710</c:v>
                </c:pt>
                <c:pt idx="76">
                  <c:v>15070</c:v>
                </c:pt>
                <c:pt idx="77">
                  <c:v>13820</c:v>
                </c:pt>
                <c:pt idx="78">
                  <c:v>13030</c:v>
                </c:pt>
                <c:pt idx="79">
                  <c:v>11960</c:v>
                </c:pt>
                <c:pt idx="80">
                  <c:v>13770</c:v>
                </c:pt>
                <c:pt idx="81">
                  <c:v>12860</c:v>
                </c:pt>
                <c:pt idx="82">
                  <c:v>10550</c:v>
                </c:pt>
                <c:pt idx="83">
                  <c:v>9690</c:v>
                </c:pt>
                <c:pt idx="84">
                  <c:v>8460</c:v>
                </c:pt>
                <c:pt idx="85">
                  <c:v>9280</c:v>
                </c:pt>
                <c:pt idx="86">
                  <c:v>9160</c:v>
                </c:pt>
                <c:pt idx="87">
                  <c:v>9570</c:v>
                </c:pt>
                <c:pt idx="88">
                  <c:v>7810</c:v>
                </c:pt>
                <c:pt idx="89">
                  <c:v>8550</c:v>
                </c:pt>
                <c:pt idx="90">
                  <c:v>7470</c:v>
                </c:pt>
                <c:pt idx="91">
                  <c:v>7380</c:v>
                </c:pt>
                <c:pt idx="92">
                  <c:v>6680</c:v>
                </c:pt>
                <c:pt idx="93">
                  <c:v>7030</c:v>
                </c:pt>
                <c:pt idx="94">
                  <c:v>6120</c:v>
                </c:pt>
                <c:pt idx="95">
                  <c:v>6260</c:v>
                </c:pt>
                <c:pt idx="96">
                  <c:v>6070</c:v>
                </c:pt>
                <c:pt idx="97">
                  <c:v>5800</c:v>
                </c:pt>
                <c:pt idx="98">
                  <c:v>5240</c:v>
                </c:pt>
                <c:pt idx="99">
                  <c:v>6310</c:v>
                </c:pt>
                <c:pt idx="100">
                  <c:v>6360</c:v>
                </c:pt>
                <c:pt idx="101">
                  <c:v>4940</c:v>
                </c:pt>
                <c:pt idx="102">
                  <c:v>4620</c:v>
                </c:pt>
                <c:pt idx="103">
                  <c:v>4490</c:v>
                </c:pt>
                <c:pt idx="104">
                  <c:v>4490</c:v>
                </c:pt>
                <c:pt idx="105">
                  <c:v>3660</c:v>
                </c:pt>
                <c:pt idx="106">
                  <c:v>4070</c:v>
                </c:pt>
                <c:pt idx="107">
                  <c:v>3690</c:v>
                </c:pt>
                <c:pt idx="108">
                  <c:v>4140</c:v>
                </c:pt>
                <c:pt idx="109">
                  <c:v>4110</c:v>
                </c:pt>
                <c:pt idx="110">
                  <c:v>3290</c:v>
                </c:pt>
                <c:pt idx="111">
                  <c:v>2900</c:v>
                </c:pt>
                <c:pt idx="112">
                  <c:v>3400</c:v>
                </c:pt>
                <c:pt idx="113">
                  <c:v>3610</c:v>
                </c:pt>
                <c:pt idx="114">
                  <c:v>2990</c:v>
                </c:pt>
                <c:pt idx="115">
                  <c:v>3080</c:v>
                </c:pt>
                <c:pt idx="116">
                  <c:v>2770</c:v>
                </c:pt>
                <c:pt idx="117">
                  <c:v>2910</c:v>
                </c:pt>
                <c:pt idx="118">
                  <c:v>2710</c:v>
                </c:pt>
                <c:pt idx="119">
                  <c:v>2890</c:v>
                </c:pt>
                <c:pt idx="120">
                  <c:v>3090</c:v>
                </c:pt>
                <c:pt idx="121">
                  <c:v>2400</c:v>
                </c:pt>
                <c:pt idx="122">
                  <c:v>2960</c:v>
                </c:pt>
                <c:pt idx="123">
                  <c:v>2870</c:v>
                </c:pt>
                <c:pt idx="124">
                  <c:v>2680</c:v>
                </c:pt>
                <c:pt idx="125">
                  <c:v>2420</c:v>
                </c:pt>
                <c:pt idx="126">
                  <c:v>2880</c:v>
                </c:pt>
                <c:pt idx="127">
                  <c:v>2570</c:v>
                </c:pt>
                <c:pt idx="128">
                  <c:v>2520</c:v>
                </c:pt>
                <c:pt idx="129">
                  <c:v>1900</c:v>
                </c:pt>
                <c:pt idx="130">
                  <c:v>2510</c:v>
                </c:pt>
                <c:pt idx="131">
                  <c:v>1670</c:v>
                </c:pt>
                <c:pt idx="132">
                  <c:v>1900</c:v>
                </c:pt>
                <c:pt idx="133">
                  <c:v>1900</c:v>
                </c:pt>
                <c:pt idx="134">
                  <c:v>2070</c:v>
                </c:pt>
                <c:pt idx="135">
                  <c:v>1950</c:v>
                </c:pt>
                <c:pt idx="136">
                  <c:v>1860</c:v>
                </c:pt>
                <c:pt idx="137">
                  <c:v>2000</c:v>
                </c:pt>
                <c:pt idx="138">
                  <c:v>1520</c:v>
                </c:pt>
                <c:pt idx="139">
                  <c:v>1360</c:v>
                </c:pt>
                <c:pt idx="140">
                  <c:v>1700</c:v>
                </c:pt>
                <c:pt idx="141">
                  <c:v>1860</c:v>
                </c:pt>
                <c:pt idx="142">
                  <c:v>1540</c:v>
                </c:pt>
                <c:pt idx="143">
                  <c:v>1490</c:v>
                </c:pt>
                <c:pt idx="144">
                  <c:v>1850</c:v>
                </c:pt>
                <c:pt idx="145">
                  <c:v>1290</c:v>
                </c:pt>
                <c:pt idx="146">
                  <c:v>1390</c:v>
                </c:pt>
                <c:pt idx="147">
                  <c:v>1590</c:v>
                </c:pt>
                <c:pt idx="148">
                  <c:v>1530</c:v>
                </c:pt>
                <c:pt idx="149">
                  <c:v>1500</c:v>
                </c:pt>
                <c:pt idx="150">
                  <c:v>1750</c:v>
                </c:pt>
                <c:pt idx="151">
                  <c:v>1280</c:v>
                </c:pt>
                <c:pt idx="152">
                  <c:v>1080</c:v>
                </c:pt>
                <c:pt idx="153">
                  <c:v>1380</c:v>
                </c:pt>
                <c:pt idx="154">
                  <c:v>1290</c:v>
                </c:pt>
                <c:pt idx="155">
                  <c:v>860</c:v>
                </c:pt>
                <c:pt idx="156">
                  <c:v>1060</c:v>
                </c:pt>
                <c:pt idx="157">
                  <c:v>820</c:v>
                </c:pt>
                <c:pt idx="158">
                  <c:v>1010</c:v>
                </c:pt>
                <c:pt idx="159">
                  <c:v>1000</c:v>
                </c:pt>
                <c:pt idx="160">
                  <c:v>1310</c:v>
                </c:pt>
                <c:pt idx="161">
                  <c:v>980</c:v>
                </c:pt>
                <c:pt idx="162">
                  <c:v>910</c:v>
                </c:pt>
                <c:pt idx="163">
                  <c:v>990</c:v>
                </c:pt>
                <c:pt idx="164">
                  <c:v>1070</c:v>
                </c:pt>
                <c:pt idx="165">
                  <c:v>750</c:v>
                </c:pt>
                <c:pt idx="166">
                  <c:v>760</c:v>
                </c:pt>
                <c:pt idx="167">
                  <c:v>720</c:v>
                </c:pt>
                <c:pt idx="168">
                  <c:v>940</c:v>
                </c:pt>
                <c:pt idx="169">
                  <c:v>1160</c:v>
                </c:pt>
                <c:pt idx="170">
                  <c:v>970</c:v>
                </c:pt>
                <c:pt idx="171">
                  <c:v>570</c:v>
                </c:pt>
                <c:pt idx="172">
                  <c:v>750</c:v>
                </c:pt>
                <c:pt idx="173">
                  <c:v>1140</c:v>
                </c:pt>
                <c:pt idx="174">
                  <c:v>1020</c:v>
                </c:pt>
                <c:pt idx="175">
                  <c:v>760</c:v>
                </c:pt>
                <c:pt idx="176">
                  <c:v>770</c:v>
                </c:pt>
                <c:pt idx="177">
                  <c:v>800</c:v>
                </c:pt>
                <c:pt idx="178">
                  <c:v>610</c:v>
                </c:pt>
                <c:pt idx="179">
                  <c:v>570</c:v>
                </c:pt>
                <c:pt idx="180">
                  <c:v>710</c:v>
                </c:pt>
                <c:pt idx="181">
                  <c:v>680</c:v>
                </c:pt>
                <c:pt idx="182">
                  <c:v>710</c:v>
                </c:pt>
                <c:pt idx="183">
                  <c:v>670</c:v>
                </c:pt>
                <c:pt idx="184">
                  <c:v>780</c:v>
                </c:pt>
                <c:pt idx="185">
                  <c:v>700</c:v>
                </c:pt>
                <c:pt idx="186">
                  <c:v>520</c:v>
                </c:pt>
                <c:pt idx="187">
                  <c:v>750</c:v>
                </c:pt>
                <c:pt idx="188">
                  <c:v>470</c:v>
                </c:pt>
                <c:pt idx="189">
                  <c:v>480</c:v>
                </c:pt>
                <c:pt idx="190">
                  <c:v>570</c:v>
                </c:pt>
                <c:pt idx="191">
                  <c:v>600</c:v>
                </c:pt>
                <c:pt idx="192">
                  <c:v>490</c:v>
                </c:pt>
                <c:pt idx="193">
                  <c:v>710</c:v>
                </c:pt>
                <c:pt idx="194">
                  <c:v>380</c:v>
                </c:pt>
                <c:pt idx="195">
                  <c:v>570</c:v>
                </c:pt>
                <c:pt idx="196">
                  <c:v>720</c:v>
                </c:pt>
                <c:pt idx="197">
                  <c:v>440</c:v>
                </c:pt>
                <c:pt idx="198">
                  <c:v>450</c:v>
                </c:pt>
                <c:pt idx="199">
                  <c:v>360</c:v>
                </c:pt>
                <c:pt idx="200">
                  <c:v>680</c:v>
                </c:pt>
              </c:numCache>
            </c:numRef>
          </c:val>
          <c:smooth val="0"/>
          <c:extLst>
            <c:ext xmlns:c16="http://schemas.microsoft.com/office/drawing/2014/chart" uri="{C3380CC4-5D6E-409C-BE32-E72D297353CC}">
              <c16:uniqueId val="{00000002-7E91-42FA-BD23-4352381EAD22}"/>
            </c:ext>
          </c:extLst>
        </c:ser>
        <c:ser>
          <c:idx val="3"/>
          <c:order val="3"/>
          <c:tx>
            <c:v>2024 tax year</c:v>
          </c:tx>
          <c:spPr>
            <a:ln w="28575" cap="rnd">
              <a:solidFill>
                <a:srgbClr val="00426B"/>
              </a:solidFill>
              <a:round/>
            </a:ln>
            <a:effectLst/>
          </c:spPr>
          <c:marker>
            <c:symbol val="none"/>
          </c:marker>
          <c:cat>
            <c:numRef>
              <c:f>'Hidden 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'Hidden Graph Data'!$E$3:$E$203</c:f>
              <c:numCache>
                <c:formatCode>#,##0</c:formatCode>
                <c:ptCount val="201"/>
                <c:pt idx="1">
                  <c:v>136970</c:v>
                </c:pt>
                <c:pt idx="2">
                  <c:v>53720</c:v>
                </c:pt>
                <c:pt idx="3">
                  <c:v>38310</c:v>
                </c:pt>
                <c:pt idx="4">
                  <c:v>33200</c:v>
                </c:pt>
                <c:pt idx="5">
                  <c:v>30890</c:v>
                </c:pt>
                <c:pt idx="6">
                  <c:v>29510</c:v>
                </c:pt>
                <c:pt idx="7">
                  <c:v>28180</c:v>
                </c:pt>
                <c:pt idx="8">
                  <c:v>27930</c:v>
                </c:pt>
                <c:pt idx="9">
                  <c:v>27310</c:v>
                </c:pt>
                <c:pt idx="10">
                  <c:v>27190</c:v>
                </c:pt>
                <c:pt idx="11">
                  <c:v>27490</c:v>
                </c:pt>
                <c:pt idx="12">
                  <c:v>27530</c:v>
                </c:pt>
                <c:pt idx="13">
                  <c:v>27860</c:v>
                </c:pt>
                <c:pt idx="14">
                  <c:v>28060</c:v>
                </c:pt>
                <c:pt idx="15">
                  <c:v>29140</c:v>
                </c:pt>
                <c:pt idx="16">
                  <c:v>28920</c:v>
                </c:pt>
                <c:pt idx="17">
                  <c:v>34580</c:v>
                </c:pt>
                <c:pt idx="18">
                  <c:v>43060</c:v>
                </c:pt>
                <c:pt idx="19">
                  <c:v>31570</c:v>
                </c:pt>
                <c:pt idx="20">
                  <c:v>41680</c:v>
                </c:pt>
                <c:pt idx="21">
                  <c:v>82560</c:v>
                </c:pt>
                <c:pt idx="22">
                  <c:v>39460</c:v>
                </c:pt>
                <c:pt idx="23">
                  <c:v>110190</c:v>
                </c:pt>
                <c:pt idx="24">
                  <c:v>130830</c:v>
                </c:pt>
                <c:pt idx="25">
                  <c:v>54760</c:v>
                </c:pt>
                <c:pt idx="26">
                  <c:v>47750</c:v>
                </c:pt>
                <c:pt idx="27">
                  <c:v>44010</c:v>
                </c:pt>
                <c:pt idx="28">
                  <c:v>78680</c:v>
                </c:pt>
                <c:pt idx="29">
                  <c:v>88270</c:v>
                </c:pt>
                <c:pt idx="30">
                  <c:v>46080</c:v>
                </c:pt>
                <c:pt idx="31">
                  <c:v>115500</c:v>
                </c:pt>
                <c:pt idx="32">
                  <c:v>49810</c:v>
                </c:pt>
                <c:pt idx="33">
                  <c:v>47980</c:v>
                </c:pt>
                <c:pt idx="34">
                  <c:v>41300</c:v>
                </c:pt>
                <c:pt idx="35">
                  <c:v>38570</c:v>
                </c:pt>
                <c:pt idx="36">
                  <c:v>36570</c:v>
                </c:pt>
                <c:pt idx="37">
                  <c:v>35300</c:v>
                </c:pt>
                <c:pt idx="38">
                  <c:v>35650</c:v>
                </c:pt>
                <c:pt idx="39">
                  <c:v>33800</c:v>
                </c:pt>
                <c:pt idx="40">
                  <c:v>32370</c:v>
                </c:pt>
                <c:pt idx="41">
                  <c:v>32100</c:v>
                </c:pt>
                <c:pt idx="42">
                  <c:v>31210</c:v>
                </c:pt>
                <c:pt idx="43">
                  <c:v>30790</c:v>
                </c:pt>
                <c:pt idx="44">
                  <c:v>31580</c:v>
                </c:pt>
                <c:pt idx="45">
                  <c:v>30780</c:v>
                </c:pt>
                <c:pt idx="46">
                  <c:v>30760</c:v>
                </c:pt>
                <c:pt idx="47">
                  <c:v>31270</c:v>
                </c:pt>
                <c:pt idx="48">
                  <c:v>36700</c:v>
                </c:pt>
                <c:pt idx="49">
                  <c:v>34820</c:v>
                </c:pt>
                <c:pt idx="50">
                  <c:v>32340</c:v>
                </c:pt>
                <c:pt idx="51">
                  <c:v>33030</c:v>
                </c:pt>
                <c:pt idx="52">
                  <c:v>32770</c:v>
                </c:pt>
                <c:pt idx="53">
                  <c:v>33490</c:v>
                </c:pt>
                <c:pt idx="54">
                  <c:v>33510</c:v>
                </c:pt>
                <c:pt idx="55">
                  <c:v>33910</c:v>
                </c:pt>
                <c:pt idx="56">
                  <c:v>33700</c:v>
                </c:pt>
                <c:pt idx="57">
                  <c:v>33660</c:v>
                </c:pt>
                <c:pt idx="58">
                  <c:v>33890</c:v>
                </c:pt>
                <c:pt idx="59">
                  <c:v>33810</c:v>
                </c:pt>
                <c:pt idx="60">
                  <c:v>33690</c:v>
                </c:pt>
                <c:pt idx="61">
                  <c:v>34310</c:v>
                </c:pt>
                <c:pt idx="62">
                  <c:v>32910</c:v>
                </c:pt>
                <c:pt idx="63">
                  <c:v>33490</c:v>
                </c:pt>
                <c:pt idx="64">
                  <c:v>32400</c:v>
                </c:pt>
                <c:pt idx="65">
                  <c:v>32620</c:v>
                </c:pt>
                <c:pt idx="66">
                  <c:v>31980</c:v>
                </c:pt>
                <c:pt idx="67">
                  <c:v>31780</c:v>
                </c:pt>
                <c:pt idx="68">
                  <c:v>31500</c:v>
                </c:pt>
                <c:pt idx="69">
                  <c:v>31640</c:v>
                </c:pt>
                <c:pt idx="70">
                  <c:v>40910</c:v>
                </c:pt>
                <c:pt idx="71">
                  <c:v>36660</c:v>
                </c:pt>
                <c:pt idx="72">
                  <c:v>30230</c:v>
                </c:pt>
                <c:pt idx="73">
                  <c:v>29510</c:v>
                </c:pt>
                <c:pt idx="74">
                  <c:v>28300</c:v>
                </c:pt>
                <c:pt idx="75">
                  <c:v>28030</c:v>
                </c:pt>
                <c:pt idx="76">
                  <c:v>28020</c:v>
                </c:pt>
                <c:pt idx="77">
                  <c:v>26560</c:v>
                </c:pt>
                <c:pt idx="78">
                  <c:v>25660</c:v>
                </c:pt>
                <c:pt idx="79">
                  <c:v>25390</c:v>
                </c:pt>
                <c:pt idx="80">
                  <c:v>24690</c:v>
                </c:pt>
                <c:pt idx="81">
                  <c:v>25230</c:v>
                </c:pt>
                <c:pt idx="82">
                  <c:v>23390</c:v>
                </c:pt>
                <c:pt idx="83">
                  <c:v>22500</c:v>
                </c:pt>
                <c:pt idx="84">
                  <c:v>22450</c:v>
                </c:pt>
                <c:pt idx="85">
                  <c:v>21750</c:v>
                </c:pt>
                <c:pt idx="86">
                  <c:v>21920</c:v>
                </c:pt>
                <c:pt idx="87">
                  <c:v>20630</c:v>
                </c:pt>
                <c:pt idx="88">
                  <c:v>20110</c:v>
                </c:pt>
                <c:pt idx="89">
                  <c:v>19440</c:v>
                </c:pt>
                <c:pt idx="90">
                  <c:v>19070</c:v>
                </c:pt>
                <c:pt idx="91">
                  <c:v>19220</c:v>
                </c:pt>
                <c:pt idx="92">
                  <c:v>18230</c:v>
                </c:pt>
                <c:pt idx="93">
                  <c:v>17940</c:v>
                </c:pt>
                <c:pt idx="94">
                  <c:v>17610</c:v>
                </c:pt>
                <c:pt idx="95">
                  <c:v>16960</c:v>
                </c:pt>
                <c:pt idx="96">
                  <c:v>17030</c:v>
                </c:pt>
                <c:pt idx="97">
                  <c:v>16130</c:v>
                </c:pt>
                <c:pt idx="98">
                  <c:v>15690</c:v>
                </c:pt>
                <c:pt idx="99">
                  <c:v>15500</c:v>
                </c:pt>
                <c:pt idx="100">
                  <c:v>15750</c:v>
                </c:pt>
                <c:pt idx="101">
                  <c:v>16710</c:v>
                </c:pt>
                <c:pt idx="102">
                  <c:v>14920</c:v>
                </c:pt>
                <c:pt idx="103">
                  <c:v>14800</c:v>
                </c:pt>
                <c:pt idx="104">
                  <c:v>14230</c:v>
                </c:pt>
                <c:pt idx="105">
                  <c:v>13740</c:v>
                </c:pt>
                <c:pt idx="106">
                  <c:v>13340</c:v>
                </c:pt>
                <c:pt idx="107">
                  <c:v>12800</c:v>
                </c:pt>
                <c:pt idx="108">
                  <c:v>12440</c:v>
                </c:pt>
                <c:pt idx="109">
                  <c:v>12070</c:v>
                </c:pt>
                <c:pt idx="110">
                  <c:v>11990</c:v>
                </c:pt>
                <c:pt idx="111">
                  <c:v>11990</c:v>
                </c:pt>
                <c:pt idx="112">
                  <c:v>11180</c:v>
                </c:pt>
                <c:pt idx="113">
                  <c:v>10990</c:v>
                </c:pt>
                <c:pt idx="114">
                  <c:v>10590</c:v>
                </c:pt>
                <c:pt idx="115">
                  <c:v>10480</c:v>
                </c:pt>
                <c:pt idx="116">
                  <c:v>10270</c:v>
                </c:pt>
                <c:pt idx="117">
                  <c:v>10000</c:v>
                </c:pt>
                <c:pt idx="118">
                  <c:v>9530</c:v>
                </c:pt>
                <c:pt idx="119">
                  <c:v>9370</c:v>
                </c:pt>
                <c:pt idx="120">
                  <c:v>9510</c:v>
                </c:pt>
                <c:pt idx="121">
                  <c:v>9780</c:v>
                </c:pt>
                <c:pt idx="122">
                  <c:v>8820</c:v>
                </c:pt>
                <c:pt idx="123">
                  <c:v>8490</c:v>
                </c:pt>
                <c:pt idx="124">
                  <c:v>8260</c:v>
                </c:pt>
                <c:pt idx="125">
                  <c:v>8160</c:v>
                </c:pt>
                <c:pt idx="126">
                  <c:v>8160</c:v>
                </c:pt>
                <c:pt idx="127">
                  <c:v>7790</c:v>
                </c:pt>
                <c:pt idx="128">
                  <c:v>7630</c:v>
                </c:pt>
                <c:pt idx="129">
                  <c:v>7480</c:v>
                </c:pt>
                <c:pt idx="130">
                  <c:v>7390</c:v>
                </c:pt>
                <c:pt idx="131">
                  <c:v>7290</c:v>
                </c:pt>
                <c:pt idx="132">
                  <c:v>6950</c:v>
                </c:pt>
                <c:pt idx="133">
                  <c:v>6890</c:v>
                </c:pt>
                <c:pt idx="134">
                  <c:v>6530</c:v>
                </c:pt>
                <c:pt idx="135">
                  <c:v>6510</c:v>
                </c:pt>
                <c:pt idx="136">
                  <c:v>6400</c:v>
                </c:pt>
                <c:pt idx="137">
                  <c:v>6100</c:v>
                </c:pt>
                <c:pt idx="138">
                  <c:v>5930</c:v>
                </c:pt>
                <c:pt idx="139">
                  <c:v>5760</c:v>
                </c:pt>
                <c:pt idx="140">
                  <c:v>5760</c:v>
                </c:pt>
                <c:pt idx="141">
                  <c:v>6060</c:v>
                </c:pt>
                <c:pt idx="142">
                  <c:v>5470</c:v>
                </c:pt>
                <c:pt idx="143">
                  <c:v>5290</c:v>
                </c:pt>
                <c:pt idx="144">
                  <c:v>5240</c:v>
                </c:pt>
                <c:pt idx="145">
                  <c:v>5220</c:v>
                </c:pt>
                <c:pt idx="146">
                  <c:v>5100</c:v>
                </c:pt>
                <c:pt idx="147">
                  <c:v>5000</c:v>
                </c:pt>
                <c:pt idx="148">
                  <c:v>4780</c:v>
                </c:pt>
                <c:pt idx="149">
                  <c:v>4530</c:v>
                </c:pt>
                <c:pt idx="150">
                  <c:v>4920</c:v>
                </c:pt>
                <c:pt idx="151">
                  <c:v>5240</c:v>
                </c:pt>
                <c:pt idx="152">
                  <c:v>4540</c:v>
                </c:pt>
                <c:pt idx="153">
                  <c:v>4400</c:v>
                </c:pt>
                <c:pt idx="154">
                  <c:v>4270</c:v>
                </c:pt>
                <c:pt idx="155">
                  <c:v>4100</c:v>
                </c:pt>
                <c:pt idx="156">
                  <c:v>4230</c:v>
                </c:pt>
                <c:pt idx="157">
                  <c:v>3930</c:v>
                </c:pt>
                <c:pt idx="158">
                  <c:v>3920</c:v>
                </c:pt>
                <c:pt idx="159">
                  <c:v>3830</c:v>
                </c:pt>
                <c:pt idx="160">
                  <c:v>3760</c:v>
                </c:pt>
                <c:pt idx="161">
                  <c:v>3970</c:v>
                </c:pt>
                <c:pt idx="162">
                  <c:v>3710</c:v>
                </c:pt>
                <c:pt idx="163">
                  <c:v>3560</c:v>
                </c:pt>
                <c:pt idx="164">
                  <c:v>3550</c:v>
                </c:pt>
                <c:pt idx="165">
                  <c:v>3410</c:v>
                </c:pt>
                <c:pt idx="166">
                  <c:v>3550</c:v>
                </c:pt>
                <c:pt idx="167">
                  <c:v>3280</c:v>
                </c:pt>
                <c:pt idx="168">
                  <c:v>3170</c:v>
                </c:pt>
                <c:pt idx="169">
                  <c:v>3210</c:v>
                </c:pt>
                <c:pt idx="170">
                  <c:v>3190</c:v>
                </c:pt>
                <c:pt idx="171">
                  <c:v>3220</c:v>
                </c:pt>
                <c:pt idx="172">
                  <c:v>2980</c:v>
                </c:pt>
                <c:pt idx="173">
                  <c:v>3060</c:v>
                </c:pt>
                <c:pt idx="174">
                  <c:v>2950</c:v>
                </c:pt>
                <c:pt idx="175">
                  <c:v>3120</c:v>
                </c:pt>
                <c:pt idx="176">
                  <c:v>3240</c:v>
                </c:pt>
                <c:pt idx="177">
                  <c:v>3170</c:v>
                </c:pt>
                <c:pt idx="178">
                  <c:v>3150</c:v>
                </c:pt>
                <c:pt idx="179">
                  <c:v>3380</c:v>
                </c:pt>
                <c:pt idx="180">
                  <c:v>7110</c:v>
                </c:pt>
                <c:pt idx="181">
                  <c:v>4550</c:v>
                </c:pt>
                <c:pt idx="182">
                  <c:v>2750</c:v>
                </c:pt>
                <c:pt idx="183">
                  <c:v>2510</c:v>
                </c:pt>
                <c:pt idx="184">
                  <c:v>2330</c:v>
                </c:pt>
                <c:pt idx="185">
                  <c:v>2400</c:v>
                </c:pt>
                <c:pt idx="186">
                  <c:v>2430</c:v>
                </c:pt>
                <c:pt idx="187">
                  <c:v>2100</c:v>
                </c:pt>
                <c:pt idx="188">
                  <c:v>2050</c:v>
                </c:pt>
                <c:pt idx="189">
                  <c:v>1870</c:v>
                </c:pt>
                <c:pt idx="190">
                  <c:v>2000</c:v>
                </c:pt>
                <c:pt idx="191">
                  <c:v>2000</c:v>
                </c:pt>
                <c:pt idx="192">
                  <c:v>1890</c:v>
                </c:pt>
                <c:pt idx="193">
                  <c:v>1800</c:v>
                </c:pt>
                <c:pt idx="194">
                  <c:v>1750</c:v>
                </c:pt>
                <c:pt idx="195">
                  <c:v>1740</c:v>
                </c:pt>
                <c:pt idx="196">
                  <c:v>1680</c:v>
                </c:pt>
                <c:pt idx="197">
                  <c:v>1670</c:v>
                </c:pt>
                <c:pt idx="198">
                  <c:v>1590</c:v>
                </c:pt>
                <c:pt idx="199">
                  <c:v>1620</c:v>
                </c:pt>
                <c:pt idx="200">
                  <c:v>1740</c:v>
                </c:pt>
              </c:numCache>
            </c:numRef>
          </c:val>
          <c:smooth val="0"/>
          <c:extLst>
            <c:ext xmlns:c16="http://schemas.microsoft.com/office/drawing/2014/chart" uri="{C3380CC4-5D6E-409C-BE32-E72D297353CC}">
              <c16:uniqueId val="{00000003-7E91-42FA-BD23-4352381EAD22}"/>
            </c:ext>
          </c:extLst>
        </c:ser>
        <c:dLbls>
          <c:showLegendKey val="0"/>
          <c:showVal val="0"/>
          <c:showCatName val="0"/>
          <c:showSerName val="0"/>
          <c:showPercent val="0"/>
          <c:showBubbleSize val="0"/>
        </c:dLbls>
        <c:smooth val="0"/>
        <c:axId val="380043631"/>
        <c:axId val="380044463"/>
        <c:extLst>
          <c:ext xmlns:c15="http://schemas.microsoft.com/office/drawing/2012/chart" uri="{02D57815-91ED-43cb-92C2-25804820EDAC}">
            <c15:filteredLineSeries>
              <c15:ser>
                <c:idx val="0"/>
                <c:order val="0"/>
                <c:spPr>
                  <a:ln w="28575" cap="rnd">
                    <a:solidFill>
                      <a:schemeClr val="accent1"/>
                    </a:solidFill>
                    <a:round/>
                  </a:ln>
                  <a:effectLst/>
                </c:spPr>
                <c:marker>
                  <c:symbol val="none"/>
                </c:marker>
                <c:cat>
                  <c:numRef>
                    <c:extLst>
                      <c:ext uri="{02D57815-91ED-43cb-92C2-25804820EDAC}">
                        <c15:formulaRef>
                          <c15:sqref>'Hidden Graph Data'!$A$3:$A$203</c15:sqref>
                        </c15:formulaRef>
                      </c:ext>
                    </c:extLst>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extLst>
                      <c:ext uri="{02D57815-91ED-43cb-92C2-25804820EDAC}">
                        <c15:formulaRef>
                          <c15:sqref>'Hidden Graph Data'!$A$2:$A$153</c15:sqref>
                        </c15:formulaRef>
                      </c:ext>
                    </c:extLst>
                    <c:numCache>
                      <c:formatCode>#,##0_ ;\-#,##0\ </c:formatCode>
                      <c:ptCount val="152"/>
                      <c:pt idx="0">
                        <c:v>0</c:v>
                      </c:pt>
                      <c:pt idx="1">
                        <c:v>0</c:v>
                      </c:pt>
                      <c:pt idx="2">
                        <c:v>1000</c:v>
                      </c:pt>
                      <c:pt idx="3">
                        <c:v>2000</c:v>
                      </c:pt>
                      <c:pt idx="4">
                        <c:v>3000</c:v>
                      </c:pt>
                      <c:pt idx="5">
                        <c:v>4000</c:v>
                      </c:pt>
                      <c:pt idx="6">
                        <c:v>5000</c:v>
                      </c:pt>
                      <c:pt idx="7">
                        <c:v>6000</c:v>
                      </c:pt>
                      <c:pt idx="8">
                        <c:v>7000</c:v>
                      </c:pt>
                      <c:pt idx="9">
                        <c:v>8000</c:v>
                      </c:pt>
                      <c:pt idx="10">
                        <c:v>9000</c:v>
                      </c:pt>
                      <c:pt idx="11">
                        <c:v>10000</c:v>
                      </c:pt>
                      <c:pt idx="12">
                        <c:v>11000</c:v>
                      </c:pt>
                      <c:pt idx="13">
                        <c:v>12000</c:v>
                      </c:pt>
                      <c:pt idx="14">
                        <c:v>13000</c:v>
                      </c:pt>
                      <c:pt idx="15">
                        <c:v>14000</c:v>
                      </c:pt>
                      <c:pt idx="16">
                        <c:v>15000</c:v>
                      </c:pt>
                      <c:pt idx="17">
                        <c:v>16000</c:v>
                      </c:pt>
                      <c:pt idx="18">
                        <c:v>17000</c:v>
                      </c:pt>
                      <c:pt idx="19">
                        <c:v>18000</c:v>
                      </c:pt>
                      <c:pt idx="20">
                        <c:v>19000</c:v>
                      </c:pt>
                      <c:pt idx="21">
                        <c:v>20000</c:v>
                      </c:pt>
                      <c:pt idx="22">
                        <c:v>21000</c:v>
                      </c:pt>
                      <c:pt idx="23">
                        <c:v>22000</c:v>
                      </c:pt>
                      <c:pt idx="24">
                        <c:v>23000</c:v>
                      </c:pt>
                      <c:pt idx="25">
                        <c:v>24000</c:v>
                      </c:pt>
                      <c:pt idx="26">
                        <c:v>25000</c:v>
                      </c:pt>
                      <c:pt idx="27">
                        <c:v>26000</c:v>
                      </c:pt>
                      <c:pt idx="28">
                        <c:v>27000</c:v>
                      </c:pt>
                      <c:pt idx="29">
                        <c:v>28000</c:v>
                      </c:pt>
                      <c:pt idx="30">
                        <c:v>29000</c:v>
                      </c:pt>
                      <c:pt idx="31">
                        <c:v>30000</c:v>
                      </c:pt>
                      <c:pt idx="32">
                        <c:v>31000</c:v>
                      </c:pt>
                      <c:pt idx="33">
                        <c:v>32000</c:v>
                      </c:pt>
                      <c:pt idx="34">
                        <c:v>33000</c:v>
                      </c:pt>
                      <c:pt idx="35">
                        <c:v>34000</c:v>
                      </c:pt>
                      <c:pt idx="36">
                        <c:v>35000</c:v>
                      </c:pt>
                      <c:pt idx="37">
                        <c:v>36000</c:v>
                      </c:pt>
                      <c:pt idx="38">
                        <c:v>37000</c:v>
                      </c:pt>
                      <c:pt idx="39">
                        <c:v>38000</c:v>
                      </c:pt>
                      <c:pt idx="40">
                        <c:v>39000</c:v>
                      </c:pt>
                      <c:pt idx="41">
                        <c:v>40000</c:v>
                      </c:pt>
                      <c:pt idx="42">
                        <c:v>41000</c:v>
                      </c:pt>
                      <c:pt idx="43">
                        <c:v>42000</c:v>
                      </c:pt>
                      <c:pt idx="44">
                        <c:v>43000</c:v>
                      </c:pt>
                      <c:pt idx="45">
                        <c:v>44000</c:v>
                      </c:pt>
                      <c:pt idx="46">
                        <c:v>45000</c:v>
                      </c:pt>
                      <c:pt idx="47">
                        <c:v>46000</c:v>
                      </c:pt>
                      <c:pt idx="48">
                        <c:v>47000</c:v>
                      </c:pt>
                      <c:pt idx="49">
                        <c:v>48000</c:v>
                      </c:pt>
                      <c:pt idx="50">
                        <c:v>49000</c:v>
                      </c:pt>
                      <c:pt idx="51">
                        <c:v>50000</c:v>
                      </c:pt>
                      <c:pt idx="52">
                        <c:v>51000</c:v>
                      </c:pt>
                      <c:pt idx="53">
                        <c:v>52000</c:v>
                      </c:pt>
                      <c:pt idx="54">
                        <c:v>53000</c:v>
                      </c:pt>
                      <c:pt idx="55">
                        <c:v>54000</c:v>
                      </c:pt>
                      <c:pt idx="56">
                        <c:v>55000</c:v>
                      </c:pt>
                      <c:pt idx="57">
                        <c:v>56000</c:v>
                      </c:pt>
                      <c:pt idx="58">
                        <c:v>57000</c:v>
                      </c:pt>
                      <c:pt idx="59">
                        <c:v>58000</c:v>
                      </c:pt>
                      <c:pt idx="60">
                        <c:v>59000</c:v>
                      </c:pt>
                      <c:pt idx="61">
                        <c:v>60000</c:v>
                      </c:pt>
                      <c:pt idx="62">
                        <c:v>61000</c:v>
                      </c:pt>
                      <c:pt idx="63">
                        <c:v>62000</c:v>
                      </c:pt>
                      <c:pt idx="64">
                        <c:v>63000</c:v>
                      </c:pt>
                      <c:pt idx="65">
                        <c:v>64000</c:v>
                      </c:pt>
                      <c:pt idx="66">
                        <c:v>65000</c:v>
                      </c:pt>
                      <c:pt idx="67">
                        <c:v>66000</c:v>
                      </c:pt>
                      <c:pt idx="68">
                        <c:v>67000</c:v>
                      </c:pt>
                      <c:pt idx="69">
                        <c:v>68000</c:v>
                      </c:pt>
                      <c:pt idx="70">
                        <c:v>69000</c:v>
                      </c:pt>
                      <c:pt idx="71">
                        <c:v>70000</c:v>
                      </c:pt>
                      <c:pt idx="72">
                        <c:v>71000</c:v>
                      </c:pt>
                      <c:pt idx="73">
                        <c:v>72000</c:v>
                      </c:pt>
                      <c:pt idx="74">
                        <c:v>73000</c:v>
                      </c:pt>
                      <c:pt idx="75">
                        <c:v>74000</c:v>
                      </c:pt>
                      <c:pt idx="76">
                        <c:v>75000</c:v>
                      </c:pt>
                      <c:pt idx="77">
                        <c:v>76000</c:v>
                      </c:pt>
                      <c:pt idx="78">
                        <c:v>77000</c:v>
                      </c:pt>
                      <c:pt idx="79">
                        <c:v>78000</c:v>
                      </c:pt>
                      <c:pt idx="80">
                        <c:v>79000</c:v>
                      </c:pt>
                      <c:pt idx="81">
                        <c:v>80000</c:v>
                      </c:pt>
                      <c:pt idx="82">
                        <c:v>81000</c:v>
                      </c:pt>
                      <c:pt idx="83">
                        <c:v>82000</c:v>
                      </c:pt>
                      <c:pt idx="84">
                        <c:v>83000</c:v>
                      </c:pt>
                      <c:pt idx="85">
                        <c:v>84000</c:v>
                      </c:pt>
                      <c:pt idx="86">
                        <c:v>85000</c:v>
                      </c:pt>
                      <c:pt idx="87">
                        <c:v>86000</c:v>
                      </c:pt>
                      <c:pt idx="88">
                        <c:v>87000</c:v>
                      </c:pt>
                      <c:pt idx="89">
                        <c:v>88000</c:v>
                      </c:pt>
                      <c:pt idx="90">
                        <c:v>89000</c:v>
                      </c:pt>
                      <c:pt idx="91">
                        <c:v>90000</c:v>
                      </c:pt>
                      <c:pt idx="92">
                        <c:v>91000</c:v>
                      </c:pt>
                      <c:pt idx="93">
                        <c:v>92000</c:v>
                      </c:pt>
                      <c:pt idx="94">
                        <c:v>93000</c:v>
                      </c:pt>
                      <c:pt idx="95">
                        <c:v>94000</c:v>
                      </c:pt>
                      <c:pt idx="96">
                        <c:v>95000</c:v>
                      </c:pt>
                      <c:pt idx="97">
                        <c:v>96000</c:v>
                      </c:pt>
                      <c:pt idx="98">
                        <c:v>97000</c:v>
                      </c:pt>
                      <c:pt idx="99">
                        <c:v>98000</c:v>
                      </c:pt>
                      <c:pt idx="100">
                        <c:v>99000</c:v>
                      </c:pt>
                      <c:pt idx="101">
                        <c:v>100000</c:v>
                      </c:pt>
                      <c:pt idx="102">
                        <c:v>101000</c:v>
                      </c:pt>
                      <c:pt idx="103">
                        <c:v>102000</c:v>
                      </c:pt>
                      <c:pt idx="104">
                        <c:v>103000</c:v>
                      </c:pt>
                      <c:pt idx="105">
                        <c:v>104000</c:v>
                      </c:pt>
                      <c:pt idx="106">
                        <c:v>105000</c:v>
                      </c:pt>
                      <c:pt idx="107">
                        <c:v>106000</c:v>
                      </c:pt>
                      <c:pt idx="108">
                        <c:v>107000</c:v>
                      </c:pt>
                      <c:pt idx="109">
                        <c:v>108000</c:v>
                      </c:pt>
                      <c:pt idx="110">
                        <c:v>109000</c:v>
                      </c:pt>
                      <c:pt idx="111">
                        <c:v>110000</c:v>
                      </c:pt>
                      <c:pt idx="112">
                        <c:v>111000</c:v>
                      </c:pt>
                      <c:pt idx="113">
                        <c:v>112000</c:v>
                      </c:pt>
                      <c:pt idx="114">
                        <c:v>113000</c:v>
                      </c:pt>
                      <c:pt idx="115">
                        <c:v>114000</c:v>
                      </c:pt>
                      <c:pt idx="116">
                        <c:v>115000</c:v>
                      </c:pt>
                      <c:pt idx="117">
                        <c:v>116000</c:v>
                      </c:pt>
                      <c:pt idx="118">
                        <c:v>117000</c:v>
                      </c:pt>
                      <c:pt idx="119">
                        <c:v>118000</c:v>
                      </c:pt>
                      <c:pt idx="120">
                        <c:v>119000</c:v>
                      </c:pt>
                      <c:pt idx="121">
                        <c:v>120000</c:v>
                      </c:pt>
                      <c:pt idx="122">
                        <c:v>121000</c:v>
                      </c:pt>
                      <c:pt idx="123">
                        <c:v>122000</c:v>
                      </c:pt>
                      <c:pt idx="124">
                        <c:v>123000</c:v>
                      </c:pt>
                      <c:pt idx="125">
                        <c:v>124000</c:v>
                      </c:pt>
                      <c:pt idx="126">
                        <c:v>125000</c:v>
                      </c:pt>
                      <c:pt idx="127">
                        <c:v>126000</c:v>
                      </c:pt>
                      <c:pt idx="128">
                        <c:v>127000</c:v>
                      </c:pt>
                      <c:pt idx="129">
                        <c:v>128000</c:v>
                      </c:pt>
                      <c:pt idx="130">
                        <c:v>129000</c:v>
                      </c:pt>
                      <c:pt idx="131">
                        <c:v>130000</c:v>
                      </c:pt>
                      <c:pt idx="132">
                        <c:v>131000</c:v>
                      </c:pt>
                      <c:pt idx="133">
                        <c:v>132000</c:v>
                      </c:pt>
                      <c:pt idx="134">
                        <c:v>133000</c:v>
                      </c:pt>
                      <c:pt idx="135">
                        <c:v>134000</c:v>
                      </c:pt>
                      <c:pt idx="136">
                        <c:v>135000</c:v>
                      </c:pt>
                      <c:pt idx="137">
                        <c:v>136000</c:v>
                      </c:pt>
                      <c:pt idx="138">
                        <c:v>137000</c:v>
                      </c:pt>
                      <c:pt idx="139">
                        <c:v>138000</c:v>
                      </c:pt>
                      <c:pt idx="140">
                        <c:v>139000</c:v>
                      </c:pt>
                      <c:pt idx="141">
                        <c:v>140000</c:v>
                      </c:pt>
                      <c:pt idx="142">
                        <c:v>141000</c:v>
                      </c:pt>
                      <c:pt idx="143">
                        <c:v>142000</c:v>
                      </c:pt>
                      <c:pt idx="144">
                        <c:v>143000</c:v>
                      </c:pt>
                      <c:pt idx="145">
                        <c:v>144000</c:v>
                      </c:pt>
                      <c:pt idx="146">
                        <c:v>145000</c:v>
                      </c:pt>
                      <c:pt idx="147">
                        <c:v>146000</c:v>
                      </c:pt>
                      <c:pt idx="148">
                        <c:v>147000</c:v>
                      </c:pt>
                      <c:pt idx="149">
                        <c:v>148000</c:v>
                      </c:pt>
                      <c:pt idx="150">
                        <c:v>149000</c:v>
                      </c:pt>
                      <c:pt idx="151">
                        <c:v>150000</c:v>
                      </c:pt>
                    </c:numCache>
                  </c:numRef>
                </c:val>
                <c:smooth val="0"/>
                <c:extLst>
                  <c:ext xmlns:c16="http://schemas.microsoft.com/office/drawing/2014/chart" uri="{C3380CC4-5D6E-409C-BE32-E72D297353CC}">
                    <c16:uniqueId val="{00000000-7E91-42FA-BD23-4352381EAD22}"/>
                  </c:ext>
                </c:extLst>
              </c15:ser>
            </c15:filteredLineSeries>
          </c:ext>
        </c:extLst>
      </c:lineChart>
      <c:catAx>
        <c:axId val="380043631"/>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Taxable income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0_ ;\-#,##0\ "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380044463"/>
        <c:crosses val="autoZero"/>
        <c:auto val="0"/>
        <c:lblAlgn val="ctr"/>
        <c:lblOffset val="100"/>
        <c:tickLblSkip val="10"/>
        <c:tickMarkSkip val="10"/>
        <c:noMultiLvlLbl val="0"/>
      </c:catAx>
      <c:valAx>
        <c:axId val="380044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Number of individuals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380043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NZ" sz="1400" b="1"/>
              <a:t>Aggregate taxable income declared by individuals in each income band</a:t>
            </a:r>
          </a:p>
        </c:rich>
      </c:tx>
      <c:layout>
        <c:manualLayout>
          <c:xMode val="edge"/>
          <c:yMode val="edge"/>
          <c:x val="3.5605295427295978E-2"/>
          <c:y val="1.4209591474245116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US"/>
        </a:p>
      </c:txPr>
    </c:title>
    <c:autoTitleDeleted val="0"/>
    <c:plotArea>
      <c:layout>
        <c:manualLayout>
          <c:layoutTarget val="inner"/>
          <c:xMode val="edge"/>
          <c:yMode val="edge"/>
          <c:x val="9.8521394761443032E-2"/>
          <c:y val="0.12318540999426582"/>
          <c:w val="0.88506375822681116"/>
          <c:h val="0.62038143988662164"/>
        </c:manualLayout>
      </c:layout>
      <c:lineChart>
        <c:grouping val="standard"/>
        <c:varyColors val="0"/>
        <c:ser>
          <c:idx val="0"/>
          <c:order val="0"/>
          <c:tx>
            <c:v>2004 tax year</c:v>
          </c:tx>
          <c:spPr>
            <a:ln w="28575" cap="rnd">
              <a:solidFill>
                <a:srgbClr val="F4471F">
                  <a:alpha val="50000"/>
                </a:srgbClr>
              </a:solidFill>
              <a:round/>
            </a:ln>
            <a:effectLst/>
          </c:spPr>
          <c:marker>
            <c:symbol val="none"/>
          </c:marker>
          <c:cat>
            <c:numRef>
              <c:f>'Hidden 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'Hidden Graph Data'!$F$3:$F$203</c:f>
              <c:numCache>
                <c:formatCode>0.0</c:formatCode>
                <c:ptCount val="201"/>
                <c:pt idx="1">
                  <c:v>46.9</c:v>
                </c:pt>
                <c:pt idx="2">
                  <c:v>103.4</c:v>
                </c:pt>
                <c:pt idx="3">
                  <c:v>150.9</c:v>
                </c:pt>
                <c:pt idx="4">
                  <c:v>193.9</c:v>
                </c:pt>
                <c:pt idx="5">
                  <c:v>236.6</c:v>
                </c:pt>
                <c:pt idx="6">
                  <c:v>277.39999999999998</c:v>
                </c:pt>
                <c:pt idx="7">
                  <c:v>318.39999999999998</c:v>
                </c:pt>
                <c:pt idx="8">
                  <c:v>373.3</c:v>
                </c:pt>
                <c:pt idx="9">
                  <c:v>638.6</c:v>
                </c:pt>
                <c:pt idx="10">
                  <c:v>603.20000000000005</c:v>
                </c:pt>
                <c:pt idx="11">
                  <c:v>922.6</c:v>
                </c:pt>
                <c:pt idx="12">
                  <c:v>2178.8000000000002</c:v>
                </c:pt>
                <c:pt idx="13">
                  <c:v>1217.9000000000001</c:v>
                </c:pt>
                <c:pt idx="14">
                  <c:v>866.5</c:v>
                </c:pt>
                <c:pt idx="15">
                  <c:v>1733.6</c:v>
                </c:pt>
                <c:pt idx="16">
                  <c:v>2407.6</c:v>
                </c:pt>
                <c:pt idx="17">
                  <c:v>1054.5</c:v>
                </c:pt>
                <c:pt idx="18">
                  <c:v>857.5</c:v>
                </c:pt>
                <c:pt idx="19">
                  <c:v>853.6</c:v>
                </c:pt>
                <c:pt idx="20">
                  <c:v>883.2</c:v>
                </c:pt>
                <c:pt idx="21">
                  <c:v>995.6</c:v>
                </c:pt>
                <c:pt idx="22">
                  <c:v>953.6</c:v>
                </c:pt>
                <c:pt idx="23">
                  <c:v>935.1</c:v>
                </c:pt>
                <c:pt idx="24">
                  <c:v>1014.6</c:v>
                </c:pt>
                <c:pt idx="25">
                  <c:v>1100.9000000000001</c:v>
                </c:pt>
                <c:pt idx="26">
                  <c:v>1036</c:v>
                </c:pt>
                <c:pt idx="27">
                  <c:v>1064.5999999999999</c:v>
                </c:pt>
                <c:pt idx="28">
                  <c:v>1090.8</c:v>
                </c:pt>
                <c:pt idx="29">
                  <c:v>1138.9000000000001</c:v>
                </c:pt>
                <c:pt idx="30">
                  <c:v>1230.0999999999999</c:v>
                </c:pt>
                <c:pt idx="31">
                  <c:v>1213.9000000000001</c:v>
                </c:pt>
                <c:pt idx="32">
                  <c:v>1204.7</c:v>
                </c:pt>
                <c:pt idx="33">
                  <c:v>1252</c:v>
                </c:pt>
                <c:pt idx="34">
                  <c:v>1286.0999999999999</c:v>
                </c:pt>
                <c:pt idx="35">
                  <c:v>1268.9000000000001</c:v>
                </c:pt>
                <c:pt idx="36">
                  <c:v>1381.6</c:v>
                </c:pt>
                <c:pt idx="37">
                  <c:v>1325.3</c:v>
                </c:pt>
                <c:pt idx="38">
                  <c:v>1715.7</c:v>
                </c:pt>
                <c:pt idx="39">
                  <c:v>1516.7</c:v>
                </c:pt>
                <c:pt idx="40">
                  <c:v>1479.2</c:v>
                </c:pt>
                <c:pt idx="41">
                  <c:v>1344</c:v>
                </c:pt>
                <c:pt idx="42">
                  <c:v>1253.0999999999999</c:v>
                </c:pt>
                <c:pt idx="43">
                  <c:v>1282.2</c:v>
                </c:pt>
                <c:pt idx="44">
                  <c:v>1195.7</c:v>
                </c:pt>
                <c:pt idx="45">
                  <c:v>1157.4000000000001</c:v>
                </c:pt>
                <c:pt idx="46">
                  <c:v>1136.0999999999999</c:v>
                </c:pt>
                <c:pt idx="47">
                  <c:v>1140.7</c:v>
                </c:pt>
                <c:pt idx="48">
                  <c:v>1067.2</c:v>
                </c:pt>
                <c:pt idx="49">
                  <c:v>1051</c:v>
                </c:pt>
                <c:pt idx="50">
                  <c:v>970.9</c:v>
                </c:pt>
                <c:pt idx="51">
                  <c:v>1042.9000000000001</c:v>
                </c:pt>
                <c:pt idx="52">
                  <c:v>958.1</c:v>
                </c:pt>
                <c:pt idx="53">
                  <c:v>930.9</c:v>
                </c:pt>
                <c:pt idx="54">
                  <c:v>861.6</c:v>
                </c:pt>
                <c:pt idx="55">
                  <c:v>816.1</c:v>
                </c:pt>
                <c:pt idx="56">
                  <c:v>838.6</c:v>
                </c:pt>
                <c:pt idx="57">
                  <c:v>844.6</c:v>
                </c:pt>
                <c:pt idx="58">
                  <c:v>885.4</c:v>
                </c:pt>
                <c:pt idx="59">
                  <c:v>845.7</c:v>
                </c:pt>
                <c:pt idx="60">
                  <c:v>1471.3</c:v>
                </c:pt>
                <c:pt idx="61">
                  <c:v>1104.5</c:v>
                </c:pt>
                <c:pt idx="62">
                  <c:v>884.8</c:v>
                </c:pt>
                <c:pt idx="63">
                  <c:v>766.1</c:v>
                </c:pt>
                <c:pt idx="64">
                  <c:v>679.5</c:v>
                </c:pt>
                <c:pt idx="65">
                  <c:v>627.6</c:v>
                </c:pt>
                <c:pt idx="66">
                  <c:v>564</c:v>
                </c:pt>
                <c:pt idx="67">
                  <c:v>547.9</c:v>
                </c:pt>
                <c:pt idx="68">
                  <c:v>545.4</c:v>
                </c:pt>
                <c:pt idx="69">
                  <c:v>492.3</c:v>
                </c:pt>
                <c:pt idx="70">
                  <c:v>504</c:v>
                </c:pt>
                <c:pt idx="71">
                  <c:v>418.5</c:v>
                </c:pt>
                <c:pt idx="72">
                  <c:v>425.5</c:v>
                </c:pt>
                <c:pt idx="73">
                  <c:v>393.5</c:v>
                </c:pt>
                <c:pt idx="74">
                  <c:v>410.1</c:v>
                </c:pt>
                <c:pt idx="75">
                  <c:v>386</c:v>
                </c:pt>
                <c:pt idx="76">
                  <c:v>427.4</c:v>
                </c:pt>
                <c:pt idx="77">
                  <c:v>358.7</c:v>
                </c:pt>
                <c:pt idx="78">
                  <c:v>309.89999999999998</c:v>
                </c:pt>
                <c:pt idx="79">
                  <c:v>309.10000000000002</c:v>
                </c:pt>
                <c:pt idx="80">
                  <c:v>358.6</c:v>
                </c:pt>
                <c:pt idx="81">
                  <c:v>307.5</c:v>
                </c:pt>
                <c:pt idx="82">
                  <c:v>304.2</c:v>
                </c:pt>
                <c:pt idx="83">
                  <c:v>274.7</c:v>
                </c:pt>
                <c:pt idx="84">
                  <c:v>288</c:v>
                </c:pt>
                <c:pt idx="85">
                  <c:v>278.8</c:v>
                </c:pt>
                <c:pt idx="86">
                  <c:v>273.7</c:v>
                </c:pt>
                <c:pt idx="87">
                  <c:v>302.8</c:v>
                </c:pt>
                <c:pt idx="88">
                  <c:v>216.3</c:v>
                </c:pt>
                <c:pt idx="89">
                  <c:v>226.5</c:v>
                </c:pt>
                <c:pt idx="90">
                  <c:v>209.5</c:v>
                </c:pt>
                <c:pt idx="91">
                  <c:v>232.6</c:v>
                </c:pt>
                <c:pt idx="92">
                  <c:v>247</c:v>
                </c:pt>
                <c:pt idx="93">
                  <c:v>204.4</c:v>
                </c:pt>
                <c:pt idx="94">
                  <c:v>234.7</c:v>
                </c:pt>
                <c:pt idx="95">
                  <c:v>196.5</c:v>
                </c:pt>
                <c:pt idx="96">
                  <c:v>198.6</c:v>
                </c:pt>
                <c:pt idx="97">
                  <c:v>173.7</c:v>
                </c:pt>
                <c:pt idx="98">
                  <c:v>212.6</c:v>
                </c:pt>
                <c:pt idx="99">
                  <c:v>168.5</c:v>
                </c:pt>
                <c:pt idx="100">
                  <c:v>185.2</c:v>
                </c:pt>
                <c:pt idx="101">
                  <c:v>174.9</c:v>
                </c:pt>
                <c:pt idx="102">
                  <c:v>188.8</c:v>
                </c:pt>
                <c:pt idx="103">
                  <c:v>159.9</c:v>
                </c:pt>
                <c:pt idx="104">
                  <c:v>146</c:v>
                </c:pt>
                <c:pt idx="105">
                  <c:v>144.19999999999999</c:v>
                </c:pt>
                <c:pt idx="106">
                  <c:v>110.7</c:v>
                </c:pt>
                <c:pt idx="107">
                  <c:v>155.5</c:v>
                </c:pt>
                <c:pt idx="108">
                  <c:v>122.6</c:v>
                </c:pt>
                <c:pt idx="109">
                  <c:v>149.80000000000001</c:v>
                </c:pt>
                <c:pt idx="110">
                  <c:v>124.8</c:v>
                </c:pt>
                <c:pt idx="111">
                  <c:v>147</c:v>
                </c:pt>
                <c:pt idx="112">
                  <c:v>119.3</c:v>
                </c:pt>
                <c:pt idx="113">
                  <c:v>129.4</c:v>
                </c:pt>
                <c:pt idx="114">
                  <c:v>103.3</c:v>
                </c:pt>
                <c:pt idx="115">
                  <c:v>121.4</c:v>
                </c:pt>
                <c:pt idx="116">
                  <c:v>98.1</c:v>
                </c:pt>
                <c:pt idx="117">
                  <c:v>106</c:v>
                </c:pt>
                <c:pt idx="118">
                  <c:v>94</c:v>
                </c:pt>
                <c:pt idx="119">
                  <c:v>106.6</c:v>
                </c:pt>
                <c:pt idx="120">
                  <c:v>114.8</c:v>
                </c:pt>
                <c:pt idx="121">
                  <c:v>102.5</c:v>
                </c:pt>
                <c:pt idx="122">
                  <c:v>100.8</c:v>
                </c:pt>
                <c:pt idx="123">
                  <c:v>122.5</c:v>
                </c:pt>
                <c:pt idx="124">
                  <c:v>124.7</c:v>
                </c:pt>
                <c:pt idx="125">
                  <c:v>82.1</c:v>
                </c:pt>
                <c:pt idx="126">
                  <c:v>91.7</c:v>
                </c:pt>
                <c:pt idx="127">
                  <c:v>83.5</c:v>
                </c:pt>
                <c:pt idx="128">
                  <c:v>82.9</c:v>
                </c:pt>
                <c:pt idx="129">
                  <c:v>98.9</c:v>
                </c:pt>
                <c:pt idx="130">
                  <c:v>104.9</c:v>
                </c:pt>
                <c:pt idx="131">
                  <c:v>65.3</c:v>
                </c:pt>
                <c:pt idx="132">
                  <c:v>89.4</c:v>
                </c:pt>
                <c:pt idx="133">
                  <c:v>68.900000000000006</c:v>
                </c:pt>
                <c:pt idx="134">
                  <c:v>73.5</c:v>
                </c:pt>
                <c:pt idx="135">
                  <c:v>73.900000000000006</c:v>
                </c:pt>
                <c:pt idx="136">
                  <c:v>85.4</c:v>
                </c:pt>
                <c:pt idx="137">
                  <c:v>62.8</c:v>
                </c:pt>
                <c:pt idx="138">
                  <c:v>71.5</c:v>
                </c:pt>
                <c:pt idx="139">
                  <c:v>81.7</c:v>
                </c:pt>
                <c:pt idx="140">
                  <c:v>128.4</c:v>
                </c:pt>
                <c:pt idx="141">
                  <c:v>64.599999999999994</c:v>
                </c:pt>
                <c:pt idx="142">
                  <c:v>70.7</c:v>
                </c:pt>
                <c:pt idx="143">
                  <c:v>57</c:v>
                </c:pt>
                <c:pt idx="144">
                  <c:v>44.5</c:v>
                </c:pt>
                <c:pt idx="145">
                  <c:v>65</c:v>
                </c:pt>
                <c:pt idx="146">
                  <c:v>48</c:v>
                </c:pt>
                <c:pt idx="147">
                  <c:v>58.6</c:v>
                </c:pt>
                <c:pt idx="148">
                  <c:v>69.400000000000006</c:v>
                </c:pt>
                <c:pt idx="149">
                  <c:v>53.4</c:v>
                </c:pt>
                <c:pt idx="150">
                  <c:v>31.4</c:v>
                </c:pt>
              </c:numCache>
            </c:numRef>
          </c:val>
          <c:smooth val="0"/>
          <c:extLst>
            <c:ext xmlns:c16="http://schemas.microsoft.com/office/drawing/2014/chart" uri="{C3380CC4-5D6E-409C-BE32-E72D297353CC}">
              <c16:uniqueId val="{00000000-15E1-4418-95E0-AEBAA416BFF1}"/>
            </c:ext>
          </c:extLst>
        </c:ser>
        <c:ser>
          <c:idx val="1"/>
          <c:order val="1"/>
          <c:tx>
            <c:v>2014 tax year</c:v>
          </c:tx>
          <c:spPr>
            <a:ln w="28575" cap="rnd">
              <a:solidFill>
                <a:srgbClr val="0D8390">
                  <a:alpha val="50196"/>
                </a:srgbClr>
              </a:solidFill>
              <a:round/>
            </a:ln>
            <a:effectLst/>
          </c:spPr>
          <c:marker>
            <c:symbol val="none"/>
          </c:marker>
          <c:cat>
            <c:numRef>
              <c:f>'Hidden 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'Hidden Graph Data'!$G$3:$G$203</c:f>
              <c:numCache>
                <c:formatCode>0.0</c:formatCode>
                <c:ptCount val="201"/>
                <c:pt idx="1">
                  <c:v>39.700000000000003</c:v>
                </c:pt>
                <c:pt idx="2">
                  <c:v>86.5</c:v>
                </c:pt>
                <c:pt idx="3">
                  <c:v>115.7</c:v>
                </c:pt>
                <c:pt idx="4">
                  <c:v>148.4</c:v>
                </c:pt>
                <c:pt idx="5">
                  <c:v>179.9</c:v>
                </c:pt>
                <c:pt idx="6">
                  <c:v>233.7</c:v>
                </c:pt>
                <c:pt idx="7">
                  <c:v>275.39999999999998</c:v>
                </c:pt>
                <c:pt idx="8">
                  <c:v>319.60000000000002</c:v>
                </c:pt>
                <c:pt idx="9">
                  <c:v>361.3</c:v>
                </c:pt>
                <c:pt idx="10">
                  <c:v>525.9</c:v>
                </c:pt>
                <c:pt idx="11">
                  <c:v>435.3</c:v>
                </c:pt>
                <c:pt idx="12">
                  <c:v>815.3</c:v>
                </c:pt>
                <c:pt idx="13">
                  <c:v>692.3</c:v>
                </c:pt>
                <c:pt idx="14">
                  <c:v>616.79999999999995</c:v>
                </c:pt>
                <c:pt idx="15">
                  <c:v>634.29999999999995</c:v>
                </c:pt>
                <c:pt idx="16">
                  <c:v>1720</c:v>
                </c:pt>
                <c:pt idx="17">
                  <c:v>3058</c:v>
                </c:pt>
                <c:pt idx="18">
                  <c:v>1423.1</c:v>
                </c:pt>
                <c:pt idx="19">
                  <c:v>838.9</c:v>
                </c:pt>
                <c:pt idx="20">
                  <c:v>1766</c:v>
                </c:pt>
                <c:pt idx="21">
                  <c:v>995.6</c:v>
                </c:pt>
                <c:pt idx="22">
                  <c:v>2966.1</c:v>
                </c:pt>
                <c:pt idx="23">
                  <c:v>868.4</c:v>
                </c:pt>
                <c:pt idx="24">
                  <c:v>847.7</c:v>
                </c:pt>
                <c:pt idx="25">
                  <c:v>949.2</c:v>
                </c:pt>
                <c:pt idx="26">
                  <c:v>907.5</c:v>
                </c:pt>
                <c:pt idx="27">
                  <c:v>928</c:v>
                </c:pt>
                <c:pt idx="28">
                  <c:v>962.4</c:v>
                </c:pt>
                <c:pt idx="29">
                  <c:v>966.3</c:v>
                </c:pt>
                <c:pt idx="30">
                  <c:v>1044.8</c:v>
                </c:pt>
                <c:pt idx="31">
                  <c:v>1078.7</c:v>
                </c:pt>
                <c:pt idx="32">
                  <c:v>1089.5</c:v>
                </c:pt>
                <c:pt idx="33">
                  <c:v>1159.8</c:v>
                </c:pt>
                <c:pt idx="34">
                  <c:v>1167.7</c:v>
                </c:pt>
                <c:pt idx="35">
                  <c:v>1225.5999999999999</c:v>
                </c:pt>
                <c:pt idx="36">
                  <c:v>1234.8</c:v>
                </c:pt>
                <c:pt idx="37">
                  <c:v>1306.3</c:v>
                </c:pt>
                <c:pt idx="38">
                  <c:v>1397.3</c:v>
                </c:pt>
                <c:pt idx="39">
                  <c:v>1414.2</c:v>
                </c:pt>
                <c:pt idx="40">
                  <c:v>1427.4</c:v>
                </c:pt>
                <c:pt idx="41">
                  <c:v>1394.5</c:v>
                </c:pt>
                <c:pt idx="42">
                  <c:v>1410.7</c:v>
                </c:pt>
                <c:pt idx="43">
                  <c:v>1516.9</c:v>
                </c:pt>
                <c:pt idx="44">
                  <c:v>1536</c:v>
                </c:pt>
                <c:pt idx="45">
                  <c:v>1522</c:v>
                </c:pt>
                <c:pt idx="46">
                  <c:v>1517.6</c:v>
                </c:pt>
                <c:pt idx="47">
                  <c:v>1483</c:v>
                </c:pt>
                <c:pt idx="48">
                  <c:v>1862.9</c:v>
                </c:pt>
                <c:pt idx="49">
                  <c:v>1574.4</c:v>
                </c:pt>
                <c:pt idx="50">
                  <c:v>1690.6</c:v>
                </c:pt>
                <c:pt idx="51">
                  <c:v>1537.3</c:v>
                </c:pt>
                <c:pt idx="52">
                  <c:v>1585.1</c:v>
                </c:pt>
                <c:pt idx="53">
                  <c:v>1347</c:v>
                </c:pt>
                <c:pt idx="54">
                  <c:v>1348</c:v>
                </c:pt>
                <c:pt idx="55">
                  <c:v>1533.1</c:v>
                </c:pt>
                <c:pt idx="56">
                  <c:v>1498.5</c:v>
                </c:pt>
                <c:pt idx="57">
                  <c:v>1471.5</c:v>
                </c:pt>
                <c:pt idx="58">
                  <c:v>1409.8</c:v>
                </c:pt>
                <c:pt idx="59">
                  <c:v>1383.1</c:v>
                </c:pt>
                <c:pt idx="60">
                  <c:v>1302.5</c:v>
                </c:pt>
                <c:pt idx="61">
                  <c:v>1336.5</c:v>
                </c:pt>
                <c:pt idx="62">
                  <c:v>1360.8</c:v>
                </c:pt>
                <c:pt idx="63">
                  <c:v>1263.4000000000001</c:v>
                </c:pt>
                <c:pt idx="64">
                  <c:v>1297.8</c:v>
                </c:pt>
                <c:pt idx="65">
                  <c:v>1332</c:v>
                </c:pt>
                <c:pt idx="66">
                  <c:v>1375.4</c:v>
                </c:pt>
                <c:pt idx="67">
                  <c:v>1259.4000000000001</c:v>
                </c:pt>
                <c:pt idx="68">
                  <c:v>1245.9000000000001</c:v>
                </c:pt>
                <c:pt idx="69">
                  <c:v>1335.3</c:v>
                </c:pt>
                <c:pt idx="70">
                  <c:v>1983.7</c:v>
                </c:pt>
                <c:pt idx="71">
                  <c:v>1470.6</c:v>
                </c:pt>
                <c:pt idx="72">
                  <c:v>1342</c:v>
                </c:pt>
                <c:pt idx="73">
                  <c:v>1285.8</c:v>
                </c:pt>
                <c:pt idx="74">
                  <c:v>1199.9000000000001</c:v>
                </c:pt>
                <c:pt idx="75">
                  <c:v>1021.6</c:v>
                </c:pt>
                <c:pt idx="76">
                  <c:v>1138.2</c:v>
                </c:pt>
                <c:pt idx="77">
                  <c:v>1057.3</c:v>
                </c:pt>
                <c:pt idx="78">
                  <c:v>1010.2</c:v>
                </c:pt>
                <c:pt idx="79">
                  <c:v>938.6</c:v>
                </c:pt>
                <c:pt idx="80">
                  <c:v>1094.5999999999999</c:v>
                </c:pt>
                <c:pt idx="81">
                  <c:v>1035.5</c:v>
                </c:pt>
                <c:pt idx="82">
                  <c:v>860.1</c:v>
                </c:pt>
                <c:pt idx="83">
                  <c:v>799.6</c:v>
                </c:pt>
                <c:pt idx="84">
                  <c:v>706.2</c:v>
                </c:pt>
                <c:pt idx="85">
                  <c:v>784.3</c:v>
                </c:pt>
                <c:pt idx="86">
                  <c:v>783</c:v>
                </c:pt>
                <c:pt idx="87">
                  <c:v>827.8</c:v>
                </c:pt>
                <c:pt idx="88">
                  <c:v>683.4</c:v>
                </c:pt>
                <c:pt idx="89">
                  <c:v>756.9</c:v>
                </c:pt>
                <c:pt idx="90">
                  <c:v>668.9</c:v>
                </c:pt>
                <c:pt idx="91">
                  <c:v>667.8</c:v>
                </c:pt>
                <c:pt idx="92">
                  <c:v>611.4</c:v>
                </c:pt>
                <c:pt idx="93">
                  <c:v>650.20000000000005</c:v>
                </c:pt>
                <c:pt idx="94">
                  <c:v>572.1</c:v>
                </c:pt>
                <c:pt idx="95">
                  <c:v>591.5</c:v>
                </c:pt>
                <c:pt idx="96">
                  <c:v>579.9</c:v>
                </c:pt>
                <c:pt idx="97">
                  <c:v>559.70000000000005</c:v>
                </c:pt>
                <c:pt idx="98">
                  <c:v>510.9</c:v>
                </c:pt>
                <c:pt idx="99">
                  <c:v>621.6</c:v>
                </c:pt>
                <c:pt idx="100">
                  <c:v>633.5</c:v>
                </c:pt>
                <c:pt idx="101">
                  <c:v>496.4</c:v>
                </c:pt>
                <c:pt idx="102">
                  <c:v>469</c:v>
                </c:pt>
                <c:pt idx="103">
                  <c:v>460.2</c:v>
                </c:pt>
                <c:pt idx="104">
                  <c:v>464.7</c:v>
                </c:pt>
                <c:pt idx="105">
                  <c:v>382.5</c:v>
                </c:pt>
                <c:pt idx="106">
                  <c:v>429.4</c:v>
                </c:pt>
                <c:pt idx="107">
                  <c:v>392.8</c:v>
                </c:pt>
                <c:pt idx="108">
                  <c:v>445.1</c:v>
                </c:pt>
                <c:pt idx="109">
                  <c:v>445.9</c:v>
                </c:pt>
                <c:pt idx="110">
                  <c:v>360.3</c:v>
                </c:pt>
                <c:pt idx="111">
                  <c:v>320.39999999999998</c:v>
                </c:pt>
                <c:pt idx="112">
                  <c:v>379.1</c:v>
                </c:pt>
                <c:pt idx="113">
                  <c:v>406.2</c:v>
                </c:pt>
                <c:pt idx="114">
                  <c:v>339.5</c:v>
                </c:pt>
                <c:pt idx="115">
                  <c:v>352.6</c:v>
                </c:pt>
                <c:pt idx="116">
                  <c:v>319.8</c:v>
                </c:pt>
                <c:pt idx="117">
                  <c:v>339.1</c:v>
                </c:pt>
                <c:pt idx="118">
                  <c:v>318.60000000000002</c:v>
                </c:pt>
                <c:pt idx="119">
                  <c:v>342.4</c:v>
                </c:pt>
                <c:pt idx="120">
                  <c:v>369.5</c:v>
                </c:pt>
                <c:pt idx="121">
                  <c:v>289.10000000000002</c:v>
                </c:pt>
                <c:pt idx="122">
                  <c:v>359.5</c:v>
                </c:pt>
                <c:pt idx="123">
                  <c:v>351.5</c:v>
                </c:pt>
                <c:pt idx="124">
                  <c:v>330.9</c:v>
                </c:pt>
                <c:pt idx="125">
                  <c:v>301.3</c:v>
                </c:pt>
                <c:pt idx="126">
                  <c:v>361.4</c:v>
                </c:pt>
                <c:pt idx="127">
                  <c:v>325.2</c:v>
                </c:pt>
                <c:pt idx="128">
                  <c:v>321.2</c:v>
                </c:pt>
                <c:pt idx="129">
                  <c:v>244</c:v>
                </c:pt>
                <c:pt idx="130">
                  <c:v>325.2</c:v>
                </c:pt>
                <c:pt idx="131">
                  <c:v>217.9</c:v>
                </c:pt>
                <c:pt idx="132">
                  <c:v>249.8</c:v>
                </c:pt>
                <c:pt idx="133">
                  <c:v>251.8</c:v>
                </c:pt>
                <c:pt idx="134">
                  <c:v>276.3</c:v>
                </c:pt>
                <c:pt idx="135">
                  <c:v>262.3</c:v>
                </c:pt>
                <c:pt idx="136">
                  <c:v>252.1</c:v>
                </c:pt>
                <c:pt idx="137">
                  <c:v>273</c:v>
                </c:pt>
                <c:pt idx="138">
                  <c:v>209</c:v>
                </c:pt>
                <c:pt idx="139">
                  <c:v>188.4</c:v>
                </c:pt>
                <c:pt idx="140">
                  <c:v>237.2</c:v>
                </c:pt>
                <c:pt idx="141">
                  <c:v>261.39999999999998</c:v>
                </c:pt>
                <c:pt idx="142">
                  <c:v>218</c:v>
                </c:pt>
                <c:pt idx="143">
                  <c:v>212.4</c:v>
                </c:pt>
                <c:pt idx="144">
                  <c:v>265.5</c:v>
                </c:pt>
                <c:pt idx="145">
                  <c:v>186.3</c:v>
                </c:pt>
                <c:pt idx="146">
                  <c:v>202.2</c:v>
                </c:pt>
                <c:pt idx="147">
                  <c:v>233</c:v>
                </c:pt>
                <c:pt idx="148">
                  <c:v>225.8</c:v>
                </c:pt>
                <c:pt idx="149">
                  <c:v>222.7</c:v>
                </c:pt>
                <c:pt idx="150">
                  <c:v>261.8</c:v>
                </c:pt>
                <c:pt idx="151">
                  <c:v>192.6</c:v>
                </c:pt>
                <c:pt idx="152">
                  <c:v>163.5</c:v>
                </c:pt>
                <c:pt idx="153">
                  <c:v>210.5</c:v>
                </c:pt>
                <c:pt idx="154">
                  <c:v>198</c:v>
                </c:pt>
                <c:pt idx="155">
                  <c:v>132.9</c:v>
                </c:pt>
                <c:pt idx="156">
                  <c:v>164.9</c:v>
                </c:pt>
                <c:pt idx="157">
                  <c:v>128.30000000000001</c:v>
                </c:pt>
                <c:pt idx="158">
                  <c:v>159.1</c:v>
                </c:pt>
                <c:pt idx="159">
                  <c:v>158.5</c:v>
                </c:pt>
                <c:pt idx="160">
                  <c:v>209</c:v>
                </c:pt>
                <c:pt idx="161">
                  <c:v>157.30000000000001</c:v>
                </c:pt>
                <c:pt idx="162">
                  <c:v>146.9</c:v>
                </c:pt>
                <c:pt idx="163">
                  <c:v>160.9</c:v>
                </c:pt>
                <c:pt idx="164">
                  <c:v>174.9</c:v>
                </c:pt>
                <c:pt idx="165">
                  <c:v>123.4</c:v>
                </c:pt>
                <c:pt idx="166">
                  <c:v>125.8</c:v>
                </c:pt>
                <c:pt idx="167">
                  <c:v>119.8</c:v>
                </c:pt>
                <c:pt idx="168">
                  <c:v>157.4</c:v>
                </c:pt>
                <c:pt idx="169">
                  <c:v>195.4</c:v>
                </c:pt>
                <c:pt idx="170">
                  <c:v>164.5</c:v>
                </c:pt>
                <c:pt idx="171">
                  <c:v>97.2</c:v>
                </c:pt>
                <c:pt idx="172">
                  <c:v>128.6</c:v>
                </c:pt>
                <c:pt idx="173">
                  <c:v>196.6</c:v>
                </c:pt>
                <c:pt idx="174">
                  <c:v>177</c:v>
                </c:pt>
                <c:pt idx="175">
                  <c:v>132.69999999999999</c:v>
                </c:pt>
                <c:pt idx="176">
                  <c:v>135.19999999999999</c:v>
                </c:pt>
                <c:pt idx="177">
                  <c:v>141.19999999999999</c:v>
                </c:pt>
                <c:pt idx="178">
                  <c:v>108.3</c:v>
                </c:pt>
                <c:pt idx="179">
                  <c:v>101.8</c:v>
                </c:pt>
                <c:pt idx="180">
                  <c:v>127.5</c:v>
                </c:pt>
                <c:pt idx="181">
                  <c:v>122.8</c:v>
                </c:pt>
                <c:pt idx="182">
                  <c:v>128.80000000000001</c:v>
                </c:pt>
                <c:pt idx="183">
                  <c:v>122.2</c:v>
                </c:pt>
                <c:pt idx="184">
                  <c:v>143.1</c:v>
                </c:pt>
                <c:pt idx="185">
                  <c:v>129.1</c:v>
                </c:pt>
                <c:pt idx="186">
                  <c:v>96.4</c:v>
                </c:pt>
                <c:pt idx="187">
                  <c:v>139.9</c:v>
                </c:pt>
                <c:pt idx="188">
                  <c:v>88.1</c:v>
                </c:pt>
                <c:pt idx="189">
                  <c:v>90.5</c:v>
                </c:pt>
                <c:pt idx="190">
                  <c:v>108</c:v>
                </c:pt>
                <c:pt idx="191">
                  <c:v>114.3</c:v>
                </c:pt>
                <c:pt idx="192">
                  <c:v>93.8</c:v>
                </c:pt>
                <c:pt idx="193">
                  <c:v>136.69999999999999</c:v>
                </c:pt>
                <c:pt idx="194">
                  <c:v>73.599999999999994</c:v>
                </c:pt>
                <c:pt idx="195">
                  <c:v>110.9</c:v>
                </c:pt>
                <c:pt idx="196">
                  <c:v>140.69999999999999</c:v>
                </c:pt>
                <c:pt idx="197">
                  <c:v>86.4</c:v>
                </c:pt>
                <c:pt idx="198">
                  <c:v>88.9</c:v>
                </c:pt>
                <c:pt idx="199">
                  <c:v>71.5</c:v>
                </c:pt>
                <c:pt idx="200">
                  <c:v>135.69999999999999</c:v>
                </c:pt>
              </c:numCache>
            </c:numRef>
          </c:val>
          <c:smooth val="0"/>
          <c:extLst>
            <c:ext xmlns:c16="http://schemas.microsoft.com/office/drawing/2014/chart" uri="{C3380CC4-5D6E-409C-BE32-E72D297353CC}">
              <c16:uniqueId val="{00000001-15E1-4418-95E0-AEBAA416BFF1}"/>
            </c:ext>
          </c:extLst>
        </c:ser>
        <c:ser>
          <c:idx val="2"/>
          <c:order val="2"/>
          <c:tx>
            <c:v>2024 tax year</c:v>
          </c:tx>
          <c:spPr>
            <a:ln w="28575" cap="rnd">
              <a:solidFill>
                <a:srgbClr val="00426B"/>
              </a:solidFill>
              <a:round/>
            </a:ln>
            <a:effectLst/>
          </c:spPr>
          <c:marker>
            <c:symbol val="none"/>
          </c:marker>
          <c:cat>
            <c:numRef>
              <c:f>'Hidden 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'Hidden Graph Data'!$I$3:$I$203</c:f>
              <c:numCache>
                <c:formatCode>0.0</c:formatCode>
                <c:ptCount val="201"/>
                <c:pt idx="1">
                  <c:v>55.76</c:v>
                </c:pt>
                <c:pt idx="2">
                  <c:v>77.709999999999994</c:v>
                </c:pt>
                <c:pt idx="3">
                  <c:v>95</c:v>
                </c:pt>
                <c:pt idx="4">
                  <c:v>115.89</c:v>
                </c:pt>
                <c:pt idx="5">
                  <c:v>138.84</c:v>
                </c:pt>
                <c:pt idx="6">
                  <c:v>162.21</c:v>
                </c:pt>
                <c:pt idx="7">
                  <c:v>183.06</c:v>
                </c:pt>
                <c:pt idx="8">
                  <c:v>209.48</c:v>
                </c:pt>
                <c:pt idx="9">
                  <c:v>232.06</c:v>
                </c:pt>
                <c:pt idx="10">
                  <c:v>258.38</c:v>
                </c:pt>
                <c:pt idx="11">
                  <c:v>288.69</c:v>
                </c:pt>
                <c:pt idx="12">
                  <c:v>316.75</c:v>
                </c:pt>
                <c:pt idx="13">
                  <c:v>348.44</c:v>
                </c:pt>
                <c:pt idx="14">
                  <c:v>379.07</c:v>
                </c:pt>
                <c:pt idx="15">
                  <c:v>422.71</c:v>
                </c:pt>
                <c:pt idx="16">
                  <c:v>448.25</c:v>
                </c:pt>
                <c:pt idx="17">
                  <c:v>572.34</c:v>
                </c:pt>
                <c:pt idx="18">
                  <c:v>754.81</c:v>
                </c:pt>
                <c:pt idx="19">
                  <c:v>584.05999999999995</c:v>
                </c:pt>
                <c:pt idx="20">
                  <c:v>813.3</c:v>
                </c:pt>
                <c:pt idx="21">
                  <c:v>1673.44</c:v>
                </c:pt>
                <c:pt idx="22">
                  <c:v>849.62</c:v>
                </c:pt>
                <c:pt idx="23">
                  <c:v>2506.9899999999998</c:v>
                </c:pt>
                <c:pt idx="24">
                  <c:v>3047.46</c:v>
                </c:pt>
                <c:pt idx="25">
                  <c:v>1340.53</c:v>
                </c:pt>
                <c:pt idx="26">
                  <c:v>1217.25</c:v>
                </c:pt>
                <c:pt idx="27">
                  <c:v>1166.19</c:v>
                </c:pt>
                <c:pt idx="28">
                  <c:v>2170.83</c:v>
                </c:pt>
                <c:pt idx="29">
                  <c:v>2518.16</c:v>
                </c:pt>
                <c:pt idx="30">
                  <c:v>1359.32</c:v>
                </c:pt>
                <c:pt idx="31">
                  <c:v>3500.62</c:v>
                </c:pt>
                <c:pt idx="32">
                  <c:v>1568.33</c:v>
                </c:pt>
                <c:pt idx="33">
                  <c:v>1557.12</c:v>
                </c:pt>
                <c:pt idx="34">
                  <c:v>1383.62</c:v>
                </c:pt>
                <c:pt idx="35">
                  <c:v>1330.41</c:v>
                </c:pt>
                <c:pt idx="36">
                  <c:v>1298.21</c:v>
                </c:pt>
                <c:pt idx="37">
                  <c:v>1288.29</c:v>
                </c:pt>
                <c:pt idx="38">
                  <c:v>1337.28</c:v>
                </c:pt>
                <c:pt idx="39">
                  <c:v>1301.0899999999999</c:v>
                </c:pt>
                <c:pt idx="40">
                  <c:v>1278.5</c:v>
                </c:pt>
                <c:pt idx="41">
                  <c:v>1300.06</c:v>
                </c:pt>
                <c:pt idx="42">
                  <c:v>1295.2</c:v>
                </c:pt>
                <c:pt idx="43">
                  <c:v>1308.5899999999999</c:v>
                </c:pt>
                <c:pt idx="44">
                  <c:v>1373.79</c:v>
                </c:pt>
                <c:pt idx="45">
                  <c:v>1369.69</c:v>
                </c:pt>
                <c:pt idx="46">
                  <c:v>1399.63</c:v>
                </c:pt>
                <c:pt idx="47">
                  <c:v>1454.13</c:v>
                </c:pt>
                <c:pt idx="48">
                  <c:v>1744.94</c:v>
                </c:pt>
                <c:pt idx="49">
                  <c:v>1688.22</c:v>
                </c:pt>
                <c:pt idx="50">
                  <c:v>1601.19</c:v>
                </c:pt>
                <c:pt idx="51">
                  <c:v>1667.66</c:v>
                </c:pt>
                <c:pt idx="52">
                  <c:v>1687.45</c:v>
                </c:pt>
                <c:pt idx="53">
                  <c:v>1758.08</c:v>
                </c:pt>
                <c:pt idx="54">
                  <c:v>1792.78</c:v>
                </c:pt>
                <c:pt idx="55">
                  <c:v>1848.21</c:v>
                </c:pt>
                <c:pt idx="56">
                  <c:v>1870.17</c:v>
                </c:pt>
                <c:pt idx="57">
                  <c:v>1901.64</c:v>
                </c:pt>
                <c:pt idx="58">
                  <c:v>1948.46</c:v>
                </c:pt>
                <c:pt idx="59">
                  <c:v>1977.75</c:v>
                </c:pt>
                <c:pt idx="60">
                  <c:v>2004.94</c:v>
                </c:pt>
                <c:pt idx="61">
                  <c:v>2075.5100000000002</c:v>
                </c:pt>
                <c:pt idx="62">
                  <c:v>2024.18</c:v>
                </c:pt>
                <c:pt idx="63">
                  <c:v>2093.16</c:v>
                </c:pt>
                <c:pt idx="64">
                  <c:v>2057.3200000000002</c:v>
                </c:pt>
                <c:pt idx="65">
                  <c:v>2103.81</c:v>
                </c:pt>
                <c:pt idx="66">
                  <c:v>2094.83</c:v>
                </c:pt>
                <c:pt idx="67">
                  <c:v>2113.4699999999998</c:v>
                </c:pt>
                <c:pt idx="68">
                  <c:v>2126.52</c:v>
                </c:pt>
                <c:pt idx="69">
                  <c:v>2167.5700000000002</c:v>
                </c:pt>
                <c:pt idx="70">
                  <c:v>2847.12</c:v>
                </c:pt>
                <c:pt idx="71">
                  <c:v>2582.69</c:v>
                </c:pt>
                <c:pt idx="72">
                  <c:v>2161.37</c:v>
                </c:pt>
                <c:pt idx="73">
                  <c:v>2139.1999999999998</c:v>
                </c:pt>
                <c:pt idx="74">
                  <c:v>2080.34</c:v>
                </c:pt>
                <c:pt idx="75">
                  <c:v>2088.41</c:v>
                </c:pt>
                <c:pt idx="76">
                  <c:v>2114.9699999999998</c:v>
                </c:pt>
                <c:pt idx="77">
                  <c:v>2031.77</c:v>
                </c:pt>
                <c:pt idx="78">
                  <c:v>1988.78</c:v>
                </c:pt>
                <c:pt idx="79">
                  <c:v>1993.02</c:v>
                </c:pt>
                <c:pt idx="80">
                  <c:v>1962.71</c:v>
                </c:pt>
                <c:pt idx="81">
                  <c:v>2030.28</c:v>
                </c:pt>
                <c:pt idx="82">
                  <c:v>1906.44</c:v>
                </c:pt>
                <c:pt idx="83">
                  <c:v>1856.21</c:v>
                </c:pt>
                <c:pt idx="84">
                  <c:v>1874.73</c:v>
                </c:pt>
                <c:pt idx="85">
                  <c:v>1837.88</c:v>
                </c:pt>
                <c:pt idx="86">
                  <c:v>1873.89</c:v>
                </c:pt>
                <c:pt idx="87">
                  <c:v>1784.61</c:v>
                </c:pt>
                <c:pt idx="88">
                  <c:v>1759.57</c:v>
                </c:pt>
                <c:pt idx="89">
                  <c:v>1720.37</c:v>
                </c:pt>
                <c:pt idx="90">
                  <c:v>1706.85</c:v>
                </c:pt>
                <c:pt idx="91">
                  <c:v>1739.02</c:v>
                </c:pt>
                <c:pt idx="92">
                  <c:v>1668.08</c:v>
                </c:pt>
                <c:pt idx="93">
                  <c:v>1659.1</c:v>
                </c:pt>
                <c:pt idx="94">
                  <c:v>1646.87</c:v>
                </c:pt>
                <c:pt idx="95">
                  <c:v>1602.2</c:v>
                </c:pt>
                <c:pt idx="96">
                  <c:v>1626.03</c:v>
                </c:pt>
                <c:pt idx="97">
                  <c:v>1556.64</c:v>
                </c:pt>
                <c:pt idx="98">
                  <c:v>1529.55</c:v>
                </c:pt>
                <c:pt idx="99">
                  <c:v>1526.73</c:v>
                </c:pt>
                <c:pt idx="100">
                  <c:v>1567.71</c:v>
                </c:pt>
                <c:pt idx="101">
                  <c:v>1679.37</c:v>
                </c:pt>
                <c:pt idx="102">
                  <c:v>1513.92</c:v>
                </c:pt>
                <c:pt idx="103">
                  <c:v>1516.47</c:v>
                </c:pt>
                <c:pt idx="104">
                  <c:v>1472.46</c:v>
                </c:pt>
                <c:pt idx="105">
                  <c:v>1435.51</c:v>
                </c:pt>
                <c:pt idx="106">
                  <c:v>1407.45</c:v>
                </c:pt>
                <c:pt idx="107">
                  <c:v>1363.47</c:v>
                </c:pt>
                <c:pt idx="108">
                  <c:v>1336.72</c:v>
                </c:pt>
                <c:pt idx="109">
                  <c:v>1309.25</c:v>
                </c:pt>
                <c:pt idx="110">
                  <c:v>1312.77</c:v>
                </c:pt>
                <c:pt idx="111">
                  <c:v>1324.38</c:v>
                </c:pt>
                <c:pt idx="112">
                  <c:v>1246.6300000000001</c:v>
                </c:pt>
                <c:pt idx="113">
                  <c:v>1236.1099999999999</c:v>
                </c:pt>
                <c:pt idx="114">
                  <c:v>1201.44</c:v>
                </c:pt>
                <c:pt idx="115">
                  <c:v>1199.3699999999999</c:v>
                </c:pt>
                <c:pt idx="116">
                  <c:v>1185.48</c:v>
                </c:pt>
                <c:pt idx="117">
                  <c:v>1165.1099999999999</c:v>
                </c:pt>
                <c:pt idx="118">
                  <c:v>1120.0999999999999</c:v>
                </c:pt>
                <c:pt idx="119">
                  <c:v>1109.78</c:v>
                </c:pt>
                <c:pt idx="120">
                  <c:v>1136.33</c:v>
                </c:pt>
                <c:pt idx="121">
                  <c:v>1178.1099999999999</c:v>
                </c:pt>
                <c:pt idx="122">
                  <c:v>1070.9100000000001</c:v>
                </c:pt>
                <c:pt idx="123">
                  <c:v>1040.32</c:v>
                </c:pt>
                <c:pt idx="124">
                  <c:v>1019.59</c:v>
                </c:pt>
                <c:pt idx="125">
                  <c:v>1015.49</c:v>
                </c:pt>
                <c:pt idx="126">
                  <c:v>1024.45</c:v>
                </c:pt>
                <c:pt idx="127">
                  <c:v>985.3</c:v>
                </c:pt>
                <c:pt idx="128">
                  <c:v>972.69</c:v>
                </c:pt>
                <c:pt idx="129">
                  <c:v>961.26</c:v>
                </c:pt>
                <c:pt idx="130">
                  <c:v>956.55</c:v>
                </c:pt>
                <c:pt idx="131">
                  <c:v>951.5</c:v>
                </c:pt>
                <c:pt idx="132">
                  <c:v>914.2</c:v>
                </c:pt>
                <c:pt idx="133">
                  <c:v>912.79</c:v>
                </c:pt>
                <c:pt idx="134">
                  <c:v>871.59</c:v>
                </c:pt>
                <c:pt idx="135">
                  <c:v>875.35</c:v>
                </c:pt>
                <c:pt idx="136">
                  <c:v>866.58</c:v>
                </c:pt>
                <c:pt idx="137">
                  <c:v>832.92</c:v>
                </c:pt>
                <c:pt idx="138">
                  <c:v>815.5</c:v>
                </c:pt>
                <c:pt idx="139">
                  <c:v>798.02</c:v>
                </c:pt>
                <c:pt idx="140">
                  <c:v>803.53</c:v>
                </c:pt>
                <c:pt idx="141">
                  <c:v>850.72</c:v>
                </c:pt>
                <c:pt idx="142">
                  <c:v>774.55</c:v>
                </c:pt>
                <c:pt idx="143">
                  <c:v>754.22</c:v>
                </c:pt>
                <c:pt idx="144">
                  <c:v>751.93</c:v>
                </c:pt>
                <c:pt idx="145">
                  <c:v>753.58</c:v>
                </c:pt>
                <c:pt idx="146">
                  <c:v>742.43</c:v>
                </c:pt>
                <c:pt idx="147">
                  <c:v>732.78</c:v>
                </c:pt>
                <c:pt idx="148">
                  <c:v>704.88</c:v>
                </c:pt>
                <c:pt idx="149">
                  <c:v>673.15</c:v>
                </c:pt>
                <c:pt idx="150">
                  <c:v>735.2</c:v>
                </c:pt>
                <c:pt idx="151">
                  <c:v>788.69</c:v>
                </c:pt>
                <c:pt idx="152">
                  <c:v>687.8</c:v>
                </c:pt>
                <c:pt idx="153">
                  <c:v>671.6</c:v>
                </c:pt>
                <c:pt idx="154">
                  <c:v>655.44</c:v>
                </c:pt>
                <c:pt idx="155">
                  <c:v>634.07000000000005</c:v>
                </c:pt>
                <c:pt idx="156">
                  <c:v>658.35</c:v>
                </c:pt>
                <c:pt idx="157">
                  <c:v>614.25</c:v>
                </c:pt>
                <c:pt idx="158">
                  <c:v>617.08000000000004</c:v>
                </c:pt>
                <c:pt idx="159">
                  <c:v>607.37</c:v>
                </c:pt>
                <c:pt idx="160">
                  <c:v>600.12</c:v>
                </c:pt>
                <c:pt idx="161">
                  <c:v>637.27</c:v>
                </c:pt>
                <c:pt idx="162">
                  <c:v>598.37</c:v>
                </c:pt>
                <c:pt idx="163">
                  <c:v>578</c:v>
                </c:pt>
                <c:pt idx="164">
                  <c:v>580.59</c:v>
                </c:pt>
                <c:pt idx="165">
                  <c:v>560.48</c:v>
                </c:pt>
                <c:pt idx="166">
                  <c:v>586.65</c:v>
                </c:pt>
                <c:pt idx="167">
                  <c:v>546.62</c:v>
                </c:pt>
                <c:pt idx="168">
                  <c:v>530.82000000000005</c:v>
                </c:pt>
                <c:pt idx="169">
                  <c:v>540.87</c:v>
                </c:pt>
                <c:pt idx="170">
                  <c:v>541.45000000000005</c:v>
                </c:pt>
                <c:pt idx="171">
                  <c:v>549.45000000000005</c:v>
                </c:pt>
                <c:pt idx="172">
                  <c:v>511.4</c:v>
                </c:pt>
                <c:pt idx="173">
                  <c:v>528.54999999999995</c:v>
                </c:pt>
                <c:pt idx="174">
                  <c:v>511.47</c:v>
                </c:pt>
                <c:pt idx="175">
                  <c:v>545</c:v>
                </c:pt>
                <c:pt idx="176">
                  <c:v>567.83000000000004</c:v>
                </c:pt>
                <c:pt idx="177">
                  <c:v>560.03</c:v>
                </c:pt>
                <c:pt idx="178">
                  <c:v>559.69000000000005</c:v>
                </c:pt>
                <c:pt idx="179">
                  <c:v>603.69000000000005</c:v>
                </c:pt>
                <c:pt idx="180">
                  <c:v>1277.0999999999999</c:v>
                </c:pt>
                <c:pt idx="181">
                  <c:v>821.33</c:v>
                </c:pt>
                <c:pt idx="182">
                  <c:v>498.92</c:v>
                </c:pt>
                <c:pt idx="183">
                  <c:v>457.54</c:v>
                </c:pt>
                <c:pt idx="184">
                  <c:v>427.18</c:v>
                </c:pt>
                <c:pt idx="185">
                  <c:v>442.26</c:v>
                </c:pt>
                <c:pt idx="186">
                  <c:v>450.16</c:v>
                </c:pt>
                <c:pt idx="187">
                  <c:v>391.24</c:v>
                </c:pt>
                <c:pt idx="188">
                  <c:v>384.79</c:v>
                </c:pt>
                <c:pt idx="189">
                  <c:v>352.3</c:v>
                </c:pt>
                <c:pt idx="190">
                  <c:v>379</c:v>
                </c:pt>
                <c:pt idx="191">
                  <c:v>381.74</c:v>
                </c:pt>
                <c:pt idx="192">
                  <c:v>362.11</c:v>
                </c:pt>
                <c:pt idx="193">
                  <c:v>345.52</c:v>
                </c:pt>
                <c:pt idx="194">
                  <c:v>338.42</c:v>
                </c:pt>
                <c:pt idx="195">
                  <c:v>337.65</c:v>
                </c:pt>
                <c:pt idx="196">
                  <c:v>328.82</c:v>
                </c:pt>
                <c:pt idx="197">
                  <c:v>327.74</c:v>
                </c:pt>
                <c:pt idx="198">
                  <c:v>314.43</c:v>
                </c:pt>
                <c:pt idx="199">
                  <c:v>320.58999999999997</c:v>
                </c:pt>
                <c:pt idx="200">
                  <c:v>347.38</c:v>
                </c:pt>
              </c:numCache>
            </c:numRef>
          </c:val>
          <c:smooth val="0"/>
          <c:extLst>
            <c:ext xmlns:c16="http://schemas.microsoft.com/office/drawing/2014/chart" uri="{C3380CC4-5D6E-409C-BE32-E72D297353CC}">
              <c16:uniqueId val="{00000002-15E1-4418-95E0-AEBAA416BFF1}"/>
            </c:ext>
          </c:extLst>
        </c:ser>
        <c:dLbls>
          <c:showLegendKey val="0"/>
          <c:showVal val="0"/>
          <c:showCatName val="0"/>
          <c:showSerName val="0"/>
          <c:showPercent val="0"/>
          <c:showBubbleSize val="0"/>
        </c:dLbls>
        <c:smooth val="0"/>
        <c:axId val="1168516431"/>
        <c:axId val="1168518511"/>
      </c:lineChart>
      <c:catAx>
        <c:axId val="1168516431"/>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Taxable income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0_ ;\-#,##0\ "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1168518511"/>
        <c:crosses val="autoZero"/>
        <c:auto val="1"/>
        <c:lblAlgn val="ctr"/>
        <c:lblOffset val="100"/>
        <c:tickLblSkip val="10"/>
        <c:tickMarkSkip val="10"/>
        <c:noMultiLvlLbl val="0"/>
      </c:catAx>
      <c:valAx>
        <c:axId val="1168518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Aggregate taxable income ($million)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1168516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NZ" sz="1400" b="1"/>
              <a:t>Aggregate tax on taxable income for individuals in each income band</a:t>
            </a:r>
          </a:p>
        </c:rich>
      </c:tx>
      <c:layout>
        <c:manualLayout>
          <c:xMode val="edge"/>
          <c:yMode val="edge"/>
          <c:x val="3.7097554246545594E-2"/>
          <c:y val="2.1314387211367674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US"/>
        </a:p>
      </c:txPr>
    </c:title>
    <c:autoTitleDeleted val="0"/>
    <c:plotArea>
      <c:layout>
        <c:manualLayout>
          <c:layoutTarget val="inner"/>
          <c:xMode val="edge"/>
          <c:yMode val="edge"/>
          <c:x val="8.8075583026695686E-2"/>
          <c:y val="0.13029020573138836"/>
          <c:w val="0.8955095699615585"/>
          <c:h val="0.61564490939520655"/>
        </c:manualLayout>
      </c:layout>
      <c:lineChart>
        <c:grouping val="standard"/>
        <c:varyColors val="0"/>
        <c:ser>
          <c:idx val="0"/>
          <c:order val="0"/>
          <c:tx>
            <c:v>2004 tax year</c:v>
          </c:tx>
          <c:spPr>
            <a:ln w="28575" cap="rnd">
              <a:solidFill>
                <a:srgbClr val="F4471F">
                  <a:alpha val="50000"/>
                </a:srgbClr>
              </a:solidFill>
              <a:round/>
            </a:ln>
            <a:effectLst/>
          </c:spPr>
          <c:marker>
            <c:symbol val="none"/>
          </c:marker>
          <c:cat>
            <c:numRef>
              <c:f>'Hidden 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'Hidden Graph Data'!$J$3:$J$153</c:f>
              <c:numCache>
                <c:formatCode>0.0</c:formatCode>
                <c:ptCount val="151"/>
                <c:pt idx="1">
                  <c:v>6.2</c:v>
                </c:pt>
                <c:pt idx="2">
                  <c:v>13.9</c:v>
                </c:pt>
                <c:pt idx="3">
                  <c:v>21.2</c:v>
                </c:pt>
                <c:pt idx="4">
                  <c:v>27.5</c:v>
                </c:pt>
                <c:pt idx="5">
                  <c:v>34.200000000000003</c:v>
                </c:pt>
                <c:pt idx="6">
                  <c:v>40.200000000000003</c:v>
                </c:pt>
                <c:pt idx="7">
                  <c:v>46.7</c:v>
                </c:pt>
                <c:pt idx="8">
                  <c:v>55.7</c:v>
                </c:pt>
                <c:pt idx="9">
                  <c:v>95.7</c:v>
                </c:pt>
                <c:pt idx="10">
                  <c:v>91.6</c:v>
                </c:pt>
                <c:pt idx="11">
                  <c:v>143.80000000000001</c:v>
                </c:pt>
                <c:pt idx="12">
                  <c:v>351</c:v>
                </c:pt>
                <c:pt idx="13">
                  <c:v>201.1</c:v>
                </c:pt>
                <c:pt idx="14">
                  <c:v>145.80000000000001</c:v>
                </c:pt>
                <c:pt idx="15">
                  <c:v>296</c:v>
                </c:pt>
                <c:pt idx="16">
                  <c:v>417.3</c:v>
                </c:pt>
                <c:pt idx="17">
                  <c:v>185.3</c:v>
                </c:pt>
                <c:pt idx="18">
                  <c:v>152.4</c:v>
                </c:pt>
                <c:pt idx="19">
                  <c:v>153.19999999999999</c:v>
                </c:pt>
                <c:pt idx="20">
                  <c:v>159.9</c:v>
                </c:pt>
                <c:pt idx="21">
                  <c:v>181.7</c:v>
                </c:pt>
                <c:pt idx="22">
                  <c:v>175.2</c:v>
                </c:pt>
                <c:pt idx="23">
                  <c:v>172.9</c:v>
                </c:pt>
                <c:pt idx="24">
                  <c:v>188.6</c:v>
                </c:pt>
                <c:pt idx="25">
                  <c:v>205.7</c:v>
                </c:pt>
                <c:pt idx="26">
                  <c:v>194.5</c:v>
                </c:pt>
                <c:pt idx="27">
                  <c:v>200.8</c:v>
                </c:pt>
                <c:pt idx="28">
                  <c:v>206.5</c:v>
                </c:pt>
                <c:pt idx="29">
                  <c:v>216.5</c:v>
                </c:pt>
                <c:pt idx="30">
                  <c:v>234.6</c:v>
                </c:pt>
                <c:pt idx="31">
                  <c:v>232.3</c:v>
                </c:pt>
                <c:pt idx="32">
                  <c:v>231.3</c:v>
                </c:pt>
                <c:pt idx="33">
                  <c:v>241</c:v>
                </c:pt>
                <c:pt idx="34">
                  <c:v>248.2</c:v>
                </c:pt>
                <c:pt idx="35">
                  <c:v>245.5</c:v>
                </c:pt>
                <c:pt idx="36">
                  <c:v>268</c:v>
                </c:pt>
                <c:pt idx="37">
                  <c:v>257.60000000000002</c:v>
                </c:pt>
                <c:pt idx="38">
                  <c:v>334.3</c:v>
                </c:pt>
                <c:pt idx="39">
                  <c:v>298.3</c:v>
                </c:pt>
                <c:pt idx="40">
                  <c:v>296.10000000000002</c:v>
                </c:pt>
                <c:pt idx="41">
                  <c:v>273.3</c:v>
                </c:pt>
                <c:pt idx="42">
                  <c:v>258.60000000000002</c:v>
                </c:pt>
                <c:pt idx="43">
                  <c:v>268.39999999999998</c:v>
                </c:pt>
                <c:pt idx="44">
                  <c:v>253.6</c:v>
                </c:pt>
                <c:pt idx="45">
                  <c:v>248.5</c:v>
                </c:pt>
                <c:pt idx="46">
                  <c:v>246.9</c:v>
                </c:pt>
                <c:pt idx="47">
                  <c:v>250.6</c:v>
                </c:pt>
                <c:pt idx="48">
                  <c:v>236.9</c:v>
                </c:pt>
                <c:pt idx="49">
                  <c:v>235.7</c:v>
                </c:pt>
                <c:pt idx="50">
                  <c:v>219.8</c:v>
                </c:pt>
                <c:pt idx="51">
                  <c:v>238.2</c:v>
                </c:pt>
                <c:pt idx="52">
                  <c:v>220.8</c:v>
                </c:pt>
                <c:pt idx="53">
                  <c:v>216.2</c:v>
                </c:pt>
                <c:pt idx="54">
                  <c:v>201.7</c:v>
                </c:pt>
                <c:pt idx="55">
                  <c:v>192.5</c:v>
                </c:pt>
                <c:pt idx="56">
                  <c:v>199.2</c:v>
                </c:pt>
                <c:pt idx="57">
                  <c:v>202</c:v>
                </c:pt>
                <c:pt idx="58">
                  <c:v>213.2</c:v>
                </c:pt>
                <c:pt idx="59">
                  <c:v>204.9</c:v>
                </c:pt>
                <c:pt idx="60">
                  <c:v>359</c:v>
                </c:pt>
                <c:pt idx="61">
                  <c:v>271.2</c:v>
                </c:pt>
                <c:pt idx="62">
                  <c:v>219.5</c:v>
                </c:pt>
                <c:pt idx="63">
                  <c:v>191.8</c:v>
                </c:pt>
                <c:pt idx="64">
                  <c:v>171.6</c:v>
                </c:pt>
                <c:pt idx="65">
                  <c:v>159.80000000000001</c:v>
                </c:pt>
                <c:pt idx="66">
                  <c:v>144.80000000000001</c:v>
                </c:pt>
                <c:pt idx="67">
                  <c:v>141.69999999999999</c:v>
                </c:pt>
                <c:pt idx="68">
                  <c:v>142.19999999999999</c:v>
                </c:pt>
                <c:pt idx="69">
                  <c:v>129.19999999999999</c:v>
                </c:pt>
                <c:pt idx="70">
                  <c:v>133.30000000000001</c:v>
                </c:pt>
                <c:pt idx="71">
                  <c:v>111.3</c:v>
                </c:pt>
                <c:pt idx="72">
                  <c:v>114</c:v>
                </c:pt>
                <c:pt idx="73">
                  <c:v>106.1</c:v>
                </c:pt>
                <c:pt idx="74">
                  <c:v>111.2</c:v>
                </c:pt>
                <c:pt idx="75">
                  <c:v>105.3</c:v>
                </c:pt>
                <c:pt idx="76">
                  <c:v>117.3</c:v>
                </c:pt>
                <c:pt idx="77">
                  <c:v>99</c:v>
                </c:pt>
                <c:pt idx="78">
                  <c:v>85.9</c:v>
                </c:pt>
                <c:pt idx="79">
                  <c:v>86.2</c:v>
                </c:pt>
                <c:pt idx="80">
                  <c:v>100.5</c:v>
                </c:pt>
                <c:pt idx="81">
                  <c:v>86.6</c:v>
                </c:pt>
                <c:pt idx="82">
                  <c:v>86.1</c:v>
                </c:pt>
                <c:pt idx="83">
                  <c:v>78.099999999999994</c:v>
                </c:pt>
                <c:pt idx="84">
                  <c:v>82.2</c:v>
                </c:pt>
                <c:pt idx="85">
                  <c:v>79.900000000000006</c:v>
                </c:pt>
                <c:pt idx="86">
                  <c:v>78.8</c:v>
                </c:pt>
                <c:pt idx="87">
                  <c:v>87.5</c:v>
                </c:pt>
                <c:pt idx="88">
                  <c:v>62.8</c:v>
                </c:pt>
                <c:pt idx="89">
                  <c:v>66</c:v>
                </c:pt>
                <c:pt idx="90">
                  <c:v>61.3</c:v>
                </c:pt>
                <c:pt idx="91">
                  <c:v>68.3</c:v>
                </c:pt>
                <c:pt idx="92">
                  <c:v>72.8</c:v>
                </c:pt>
                <c:pt idx="93">
                  <c:v>60.4</c:v>
                </c:pt>
                <c:pt idx="94">
                  <c:v>69.599999999999994</c:v>
                </c:pt>
                <c:pt idx="95">
                  <c:v>58.5</c:v>
                </c:pt>
                <c:pt idx="96">
                  <c:v>59.3</c:v>
                </c:pt>
                <c:pt idx="97">
                  <c:v>52</c:v>
                </c:pt>
                <c:pt idx="98">
                  <c:v>63.9</c:v>
                </c:pt>
                <c:pt idx="99">
                  <c:v>50.8</c:v>
                </c:pt>
                <c:pt idx="100">
                  <c:v>56</c:v>
                </c:pt>
                <c:pt idx="101">
                  <c:v>53</c:v>
                </c:pt>
                <c:pt idx="102">
                  <c:v>57.4</c:v>
                </c:pt>
                <c:pt idx="103">
                  <c:v>48.7</c:v>
                </c:pt>
                <c:pt idx="104">
                  <c:v>44.6</c:v>
                </c:pt>
                <c:pt idx="105">
                  <c:v>44.2</c:v>
                </c:pt>
                <c:pt idx="106">
                  <c:v>34</c:v>
                </c:pt>
                <c:pt idx="107">
                  <c:v>47.9</c:v>
                </c:pt>
                <c:pt idx="108">
                  <c:v>37.9</c:v>
                </c:pt>
                <c:pt idx="109">
                  <c:v>46.4</c:v>
                </c:pt>
                <c:pt idx="110">
                  <c:v>38.700000000000003</c:v>
                </c:pt>
                <c:pt idx="111">
                  <c:v>45.7</c:v>
                </c:pt>
                <c:pt idx="112">
                  <c:v>37.200000000000003</c:v>
                </c:pt>
                <c:pt idx="113">
                  <c:v>40.4</c:v>
                </c:pt>
                <c:pt idx="114">
                  <c:v>32.299999999999997</c:v>
                </c:pt>
                <c:pt idx="115">
                  <c:v>38.1</c:v>
                </c:pt>
                <c:pt idx="116">
                  <c:v>30.9</c:v>
                </c:pt>
                <c:pt idx="117">
                  <c:v>33.4</c:v>
                </c:pt>
                <c:pt idx="118">
                  <c:v>29.7</c:v>
                </c:pt>
                <c:pt idx="119">
                  <c:v>33.700000000000003</c:v>
                </c:pt>
                <c:pt idx="120">
                  <c:v>36.4</c:v>
                </c:pt>
                <c:pt idx="121">
                  <c:v>32.5</c:v>
                </c:pt>
                <c:pt idx="122">
                  <c:v>32.1</c:v>
                </c:pt>
                <c:pt idx="123">
                  <c:v>39</c:v>
                </c:pt>
                <c:pt idx="124">
                  <c:v>39.799999999999997</c:v>
                </c:pt>
                <c:pt idx="125">
                  <c:v>26.2</c:v>
                </c:pt>
                <c:pt idx="126">
                  <c:v>29.4</c:v>
                </c:pt>
                <c:pt idx="127">
                  <c:v>26.8</c:v>
                </c:pt>
                <c:pt idx="128">
                  <c:v>26.7</c:v>
                </c:pt>
                <c:pt idx="129">
                  <c:v>31.9</c:v>
                </c:pt>
                <c:pt idx="130">
                  <c:v>33.799999999999997</c:v>
                </c:pt>
                <c:pt idx="131">
                  <c:v>21.1</c:v>
                </c:pt>
                <c:pt idx="132">
                  <c:v>28.9</c:v>
                </c:pt>
                <c:pt idx="133">
                  <c:v>22.4</c:v>
                </c:pt>
                <c:pt idx="134">
                  <c:v>23.8</c:v>
                </c:pt>
                <c:pt idx="135">
                  <c:v>24</c:v>
                </c:pt>
                <c:pt idx="136">
                  <c:v>27.8</c:v>
                </c:pt>
                <c:pt idx="137">
                  <c:v>20.5</c:v>
                </c:pt>
                <c:pt idx="138">
                  <c:v>23.3</c:v>
                </c:pt>
                <c:pt idx="139">
                  <c:v>26.7</c:v>
                </c:pt>
                <c:pt idx="140">
                  <c:v>42</c:v>
                </c:pt>
                <c:pt idx="141">
                  <c:v>21.2</c:v>
                </c:pt>
                <c:pt idx="142">
                  <c:v>23.2</c:v>
                </c:pt>
                <c:pt idx="143">
                  <c:v>18.7</c:v>
                </c:pt>
                <c:pt idx="144">
                  <c:v>14.6</c:v>
                </c:pt>
                <c:pt idx="145">
                  <c:v>21.4</c:v>
                </c:pt>
                <c:pt idx="146">
                  <c:v>15.8</c:v>
                </c:pt>
                <c:pt idx="147">
                  <c:v>19.399999999999999</c:v>
                </c:pt>
                <c:pt idx="148">
                  <c:v>22.9</c:v>
                </c:pt>
                <c:pt idx="149">
                  <c:v>17.7</c:v>
                </c:pt>
                <c:pt idx="150">
                  <c:v>10.4</c:v>
                </c:pt>
              </c:numCache>
            </c:numRef>
          </c:val>
          <c:smooth val="0"/>
          <c:extLst>
            <c:ext xmlns:c16="http://schemas.microsoft.com/office/drawing/2014/chart" uri="{C3380CC4-5D6E-409C-BE32-E72D297353CC}">
              <c16:uniqueId val="{00000000-671C-4F30-918C-2D524E0E1176}"/>
            </c:ext>
          </c:extLst>
        </c:ser>
        <c:ser>
          <c:idx val="1"/>
          <c:order val="1"/>
          <c:tx>
            <c:v>2014 tax year</c:v>
          </c:tx>
          <c:spPr>
            <a:ln w="28575" cap="rnd">
              <a:solidFill>
                <a:srgbClr val="0D8390">
                  <a:alpha val="50196"/>
                </a:srgbClr>
              </a:solidFill>
              <a:round/>
            </a:ln>
            <a:effectLst/>
          </c:spPr>
          <c:marker>
            <c:symbol val="none"/>
          </c:marker>
          <c:cat>
            <c:numRef>
              <c:f>'Hidden 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'Hidden Graph Data'!$K$3:$K$203</c:f>
              <c:numCache>
                <c:formatCode>0.0</c:formatCode>
                <c:ptCount val="201"/>
                <c:pt idx="1">
                  <c:v>4.2</c:v>
                </c:pt>
                <c:pt idx="2">
                  <c:v>9.1</c:v>
                </c:pt>
                <c:pt idx="3">
                  <c:v>12.1</c:v>
                </c:pt>
                <c:pt idx="4">
                  <c:v>15.6</c:v>
                </c:pt>
                <c:pt idx="5">
                  <c:v>18.899999999999999</c:v>
                </c:pt>
                <c:pt idx="6">
                  <c:v>24.5</c:v>
                </c:pt>
                <c:pt idx="7">
                  <c:v>28.9</c:v>
                </c:pt>
                <c:pt idx="8">
                  <c:v>33.5</c:v>
                </c:pt>
                <c:pt idx="9">
                  <c:v>37.9</c:v>
                </c:pt>
                <c:pt idx="10">
                  <c:v>55.2</c:v>
                </c:pt>
                <c:pt idx="11">
                  <c:v>45.7</c:v>
                </c:pt>
                <c:pt idx="12">
                  <c:v>85.5</c:v>
                </c:pt>
                <c:pt idx="13">
                  <c:v>72.599999999999994</c:v>
                </c:pt>
                <c:pt idx="14">
                  <c:v>64.7</c:v>
                </c:pt>
                <c:pt idx="15">
                  <c:v>68.099999999999994</c:v>
                </c:pt>
                <c:pt idx="16">
                  <c:v>190.7</c:v>
                </c:pt>
                <c:pt idx="17">
                  <c:v>350.5</c:v>
                </c:pt>
                <c:pt idx="18">
                  <c:v>169.1</c:v>
                </c:pt>
                <c:pt idx="19">
                  <c:v>102.3</c:v>
                </c:pt>
                <c:pt idx="20">
                  <c:v>220.4</c:v>
                </c:pt>
                <c:pt idx="21">
                  <c:v>126.5</c:v>
                </c:pt>
                <c:pt idx="22">
                  <c:v>383</c:v>
                </c:pt>
                <c:pt idx="23">
                  <c:v>114</c:v>
                </c:pt>
                <c:pt idx="24">
                  <c:v>112.7</c:v>
                </c:pt>
                <c:pt idx="25">
                  <c:v>120</c:v>
                </c:pt>
                <c:pt idx="26">
                  <c:v>117</c:v>
                </c:pt>
                <c:pt idx="27">
                  <c:v>119.8</c:v>
                </c:pt>
                <c:pt idx="28">
                  <c:v>126.1</c:v>
                </c:pt>
                <c:pt idx="29">
                  <c:v>127.7</c:v>
                </c:pt>
                <c:pt idx="30">
                  <c:v>139.30000000000001</c:v>
                </c:pt>
                <c:pt idx="31">
                  <c:v>145.4</c:v>
                </c:pt>
                <c:pt idx="32">
                  <c:v>147.4</c:v>
                </c:pt>
                <c:pt idx="33">
                  <c:v>158.1</c:v>
                </c:pt>
                <c:pt idx="34">
                  <c:v>160.4</c:v>
                </c:pt>
                <c:pt idx="35">
                  <c:v>169.1</c:v>
                </c:pt>
                <c:pt idx="36">
                  <c:v>172.5</c:v>
                </c:pt>
                <c:pt idx="37">
                  <c:v>182.7</c:v>
                </c:pt>
                <c:pt idx="38">
                  <c:v>197.1</c:v>
                </c:pt>
                <c:pt idx="39">
                  <c:v>200.8</c:v>
                </c:pt>
                <c:pt idx="40">
                  <c:v>204.2</c:v>
                </c:pt>
                <c:pt idx="41">
                  <c:v>200.4</c:v>
                </c:pt>
                <c:pt idx="42">
                  <c:v>203.7</c:v>
                </c:pt>
                <c:pt idx="43">
                  <c:v>219.8</c:v>
                </c:pt>
                <c:pt idx="44">
                  <c:v>223.6</c:v>
                </c:pt>
                <c:pt idx="45">
                  <c:v>223.6</c:v>
                </c:pt>
                <c:pt idx="46">
                  <c:v>226.5</c:v>
                </c:pt>
                <c:pt idx="47">
                  <c:v>224.2</c:v>
                </c:pt>
                <c:pt idx="48">
                  <c:v>285.60000000000002</c:v>
                </c:pt>
                <c:pt idx="49">
                  <c:v>244.9</c:v>
                </c:pt>
                <c:pt idx="50">
                  <c:v>268.10000000000002</c:v>
                </c:pt>
                <c:pt idx="51">
                  <c:v>248.4</c:v>
                </c:pt>
                <c:pt idx="52">
                  <c:v>260.5</c:v>
                </c:pt>
                <c:pt idx="53">
                  <c:v>225</c:v>
                </c:pt>
                <c:pt idx="54">
                  <c:v>228.5</c:v>
                </c:pt>
                <c:pt idx="55">
                  <c:v>263.60000000000002</c:v>
                </c:pt>
                <c:pt idx="56">
                  <c:v>261.10000000000002</c:v>
                </c:pt>
                <c:pt idx="57">
                  <c:v>259.60000000000002</c:v>
                </c:pt>
                <c:pt idx="58">
                  <c:v>251.8</c:v>
                </c:pt>
                <c:pt idx="59">
                  <c:v>249.8</c:v>
                </c:pt>
                <c:pt idx="60">
                  <c:v>238</c:v>
                </c:pt>
                <c:pt idx="61">
                  <c:v>246.8</c:v>
                </c:pt>
                <c:pt idx="62">
                  <c:v>253.8</c:v>
                </c:pt>
                <c:pt idx="63">
                  <c:v>237.9</c:v>
                </c:pt>
                <c:pt idx="64">
                  <c:v>246.7</c:v>
                </c:pt>
                <c:pt idx="65">
                  <c:v>255.5</c:v>
                </c:pt>
                <c:pt idx="66">
                  <c:v>266</c:v>
                </c:pt>
                <c:pt idx="67">
                  <c:v>245.6</c:v>
                </c:pt>
                <c:pt idx="68">
                  <c:v>244.9</c:v>
                </c:pt>
                <c:pt idx="69">
                  <c:v>264.5</c:v>
                </c:pt>
                <c:pt idx="70">
                  <c:v>396.3</c:v>
                </c:pt>
                <c:pt idx="71">
                  <c:v>295.8</c:v>
                </c:pt>
                <c:pt idx="72">
                  <c:v>272.39999999999998</c:v>
                </c:pt>
                <c:pt idx="73">
                  <c:v>263.2</c:v>
                </c:pt>
                <c:pt idx="74">
                  <c:v>247.8</c:v>
                </c:pt>
                <c:pt idx="75">
                  <c:v>212.6</c:v>
                </c:pt>
                <c:pt idx="76">
                  <c:v>238.8</c:v>
                </c:pt>
                <c:pt idx="77">
                  <c:v>223.4</c:v>
                </c:pt>
                <c:pt idx="78">
                  <c:v>215</c:v>
                </c:pt>
                <c:pt idx="79">
                  <c:v>201.1</c:v>
                </c:pt>
                <c:pt idx="80">
                  <c:v>236.2</c:v>
                </c:pt>
                <c:pt idx="81">
                  <c:v>224.9</c:v>
                </c:pt>
                <c:pt idx="82">
                  <c:v>188.1</c:v>
                </c:pt>
                <c:pt idx="83">
                  <c:v>175.9</c:v>
                </c:pt>
                <c:pt idx="84">
                  <c:v>156.19999999999999</c:v>
                </c:pt>
                <c:pt idx="85">
                  <c:v>174.6</c:v>
                </c:pt>
                <c:pt idx="86">
                  <c:v>175.2</c:v>
                </c:pt>
                <c:pt idx="87">
                  <c:v>186.3</c:v>
                </c:pt>
                <c:pt idx="88">
                  <c:v>154.6</c:v>
                </c:pt>
                <c:pt idx="89">
                  <c:v>172.1</c:v>
                </c:pt>
                <c:pt idx="90">
                  <c:v>152.9</c:v>
                </c:pt>
                <c:pt idx="91">
                  <c:v>153.4</c:v>
                </c:pt>
                <c:pt idx="92">
                  <c:v>141.1</c:v>
                </c:pt>
                <c:pt idx="93">
                  <c:v>150.69999999999999</c:v>
                </c:pt>
                <c:pt idx="94">
                  <c:v>133.19999999999999</c:v>
                </c:pt>
                <c:pt idx="95">
                  <c:v>138.4</c:v>
                </c:pt>
                <c:pt idx="96">
                  <c:v>136.30000000000001</c:v>
                </c:pt>
                <c:pt idx="97">
                  <c:v>132</c:v>
                </c:pt>
                <c:pt idx="98">
                  <c:v>121</c:v>
                </c:pt>
                <c:pt idx="99">
                  <c:v>147.80000000000001</c:v>
                </c:pt>
                <c:pt idx="100">
                  <c:v>151.30000000000001</c:v>
                </c:pt>
                <c:pt idx="101">
                  <c:v>119</c:v>
                </c:pt>
                <c:pt idx="102">
                  <c:v>112.8</c:v>
                </c:pt>
                <c:pt idx="103">
                  <c:v>111.1</c:v>
                </c:pt>
                <c:pt idx="104">
                  <c:v>112.6</c:v>
                </c:pt>
                <c:pt idx="105">
                  <c:v>93</c:v>
                </c:pt>
                <c:pt idx="106">
                  <c:v>104.7</c:v>
                </c:pt>
                <c:pt idx="107">
                  <c:v>96.1</c:v>
                </c:pt>
                <c:pt idx="108">
                  <c:v>109.3</c:v>
                </c:pt>
                <c:pt idx="109">
                  <c:v>109.8</c:v>
                </c:pt>
                <c:pt idx="110">
                  <c:v>89</c:v>
                </c:pt>
                <c:pt idx="111">
                  <c:v>79.400000000000006</c:v>
                </c:pt>
                <c:pt idx="112">
                  <c:v>94.2</c:v>
                </c:pt>
                <c:pt idx="113">
                  <c:v>101.3</c:v>
                </c:pt>
                <c:pt idx="114">
                  <c:v>84.9</c:v>
                </c:pt>
                <c:pt idx="115">
                  <c:v>88.4</c:v>
                </c:pt>
                <c:pt idx="116">
                  <c:v>80.400000000000006</c:v>
                </c:pt>
                <c:pt idx="117">
                  <c:v>85.5</c:v>
                </c:pt>
                <c:pt idx="118">
                  <c:v>80.5</c:v>
                </c:pt>
                <c:pt idx="119">
                  <c:v>86.8</c:v>
                </c:pt>
                <c:pt idx="120">
                  <c:v>93.9</c:v>
                </c:pt>
                <c:pt idx="121">
                  <c:v>73.599999999999994</c:v>
                </c:pt>
                <c:pt idx="122">
                  <c:v>91.8</c:v>
                </c:pt>
                <c:pt idx="123">
                  <c:v>89.9</c:v>
                </c:pt>
                <c:pt idx="124">
                  <c:v>84.9</c:v>
                </c:pt>
                <c:pt idx="125">
                  <c:v>77.5</c:v>
                </c:pt>
                <c:pt idx="126">
                  <c:v>93.1</c:v>
                </c:pt>
                <c:pt idx="127">
                  <c:v>84</c:v>
                </c:pt>
                <c:pt idx="128">
                  <c:v>83.1</c:v>
                </c:pt>
                <c:pt idx="129">
                  <c:v>63.3</c:v>
                </c:pt>
                <c:pt idx="130">
                  <c:v>84.5</c:v>
                </c:pt>
                <c:pt idx="131">
                  <c:v>56.7</c:v>
                </c:pt>
                <c:pt idx="132">
                  <c:v>65.2</c:v>
                </c:pt>
                <c:pt idx="133">
                  <c:v>65.8</c:v>
                </c:pt>
                <c:pt idx="134">
                  <c:v>72.400000000000006</c:v>
                </c:pt>
                <c:pt idx="135">
                  <c:v>68.8</c:v>
                </c:pt>
                <c:pt idx="136">
                  <c:v>66.3</c:v>
                </c:pt>
                <c:pt idx="137">
                  <c:v>71.900000000000006</c:v>
                </c:pt>
                <c:pt idx="138">
                  <c:v>55.2</c:v>
                </c:pt>
                <c:pt idx="139">
                  <c:v>49.8</c:v>
                </c:pt>
                <c:pt idx="140">
                  <c:v>62.9</c:v>
                </c:pt>
                <c:pt idx="141">
                  <c:v>69.400000000000006</c:v>
                </c:pt>
                <c:pt idx="142">
                  <c:v>58</c:v>
                </c:pt>
                <c:pt idx="143">
                  <c:v>56.5</c:v>
                </c:pt>
                <c:pt idx="144">
                  <c:v>70.8</c:v>
                </c:pt>
                <c:pt idx="145">
                  <c:v>49.8</c:v>
                </c:pt>
                <c:pt idx="146">
                  <c:v>54.1</c:v>
                </c:pt>
                <c:pt idx="147">
                  <c:v>62.5</c:v>
                </c:pt>
                <c:pt idx="148">
                  <c:v>60.6</c:v>
                </c:pt>
                <c:pt idx="149">
                  <c:v>59.9</c:v>
                </c:pt>
                <c:pt idx="150">
                  <c:v>70.5</c:v>
                </c:pt>
                <c:pt idx="151">
                  <c:v>51.9</c:v>
                </c:pt>
                <c:pt idx="152">
                  <c:v>44.2</c:v>
                </c:pt>
                <c:pt idx="153">
                  <c:v>56.9</c:v>
                </c:pt>
                <c:pt idx="154">
                  <c:v>53.6</c:v>
                </c:pt>
                <c:pt idx="155">
                  <c:v>36</c:v>
                </c:pt>
                <c:pt idx="156">
                  <c:v>44.8</c:v>
                </c:pt>
                <c:pt idx="157">
                  <c:v>34.9</c:v>
                </c:pt>
                <c:pt idx="158">
                  <c:v>43.3</c:v>
                </c:pt>
                <c:pt idx="159">
                  <c:v>43.2</c:v>
                </c:pt>
                <c:pt idx="160">
                  <c:v>57.1</c:v>
                </c:pt>
                <c:pt idx="161">
                  <c:v>43</c:v>
                </c:pt>
                <c:pt idx="162">
                  <c:v>40.200000000000003</c:v>
                </c:pt>
                <c:pt idx="163">
                  <c:v>44.1</c:v>
                </c:pt>
                <c:pt idx="164">
                  <c:v>48</c:v>
                </c:pt>
                <c:pt idx="165">
                  <c:v>33.9</c:v>
                </c:pt>
                <c:pt idx="166">
                  <c:v>34.6</c:v>
                </c:pt>
                <c:pt idx="167">
                  <c:v>33</c:v>
                </c:pt>
                <c:pt idx="168">
                  <c:v>43.4</c:v>
                </c:pt>
                <c:pt idx="169">
                  <c:v>54</c:v>
                </c:pt>
                <c:pt idx="170">
                  <c:v>45.5</c:v>
                </c:pt>
                <c:pt idx="171">
                  <c:v>26.9</c:v>
                </c:pt>
                <c:pt idx="172">
                  <c:v>35.6</c:v>
                </c:pt>
                <c:pt idx="173">
                  <c:v>54.5</c:v>
                </c:pt>
                <c:pt idx="174">
                  <c:v>49.1</c:v>
                </c:pt>
                <c:pt idx="175">
                  <c:v>36.9</c:v>
                </c:pt>
                <c:pt idx="176">
                  <c:v>37.6</c:v>
                </c:pt>
                <c:pt idx="177">
                  <c:v>39.299999999999997</c:v>
                </c:pt>
                <c:pt idx="178">
                  <c:v>30.2</c:v>
                </c:pt>
                <c:pt idx="179">
                  <c:v>28.4</c:v>
                </c:pt>
                <c:pt idx="180">
                  <c:v>35.6</c:v>
                </c:pt>
                <c:pt idx="181">
                  <c:v>34.299999999999997</c:v>
                </c:pt>
                <c:pt idx="182">
                  <c:v>36.1</c:v>
                </c:pt>
                <c:pt idx="183">
                  <c:v>34.299999999999997</c:v>
                </c:pt>
                <c:pt idx="184">
                  <c:v>40.1</c:v>
                </c:pt>
                <c:pt idx="185">
                  <c:v>36.299999999999997</c:v>
                </c:pt>
                <c:pt idx="186">
                  <c:v>27.1</c:v>
                </c:pt>
                <c:pt idx="187">
                  <c:v>39.299999999999997</c:v>
                </c:pt>
                <c:pt idx="188">
                  <c:v>24.8</c:v>
                </c:pt>
                <c:pt idx="189">
                  <c:v>25.5</c:v>
                </c:pt>
                <c:pt idx="190">
                  <c:v>30.5</c:v>
                </c:pt>
                <c:pt idx="191">
                  <c:v>32.299999999999997</c:v>
                </c:pt>
                <c:pt idx="192">
                  <c:v>26.5</c:v>
                </c:pt>
                <c:pt idx="193">
                  <c:v>38.700000000000003</c:v>
                </c:pt>
                <c:pt idx="194">
                  <c:v>20.8</c:v>
                </c:pt>
                <c:pt idx="195">
                  <c:v>31.4</c:v>
                </c:pt>
                <c:pt idx="196">
                  <c:v>39.9</c:v>
                </c:pt>
                <c:pt idx="197">
                  <c:v>24.5</c:v>
                </c:pt>
                <c:pt idx="198">
                  <c:v>25.2</c:v>
                </c:pt>
                <c:pt idx="199">
                  <c:v>20.3</c:v>
                </c:pt>
                <c:pt idx="200">
                  <c:v>38.6</c:v>
                </c:pt>
              </c:numCache>
            </c:numRef>
          </c:val>
          <c:smooth val="0"/>
          <c:extLst>
            <c:ext xmlns:c16="http://schemas.microsoft.com/office/drawing/2014/chart" uri="{C3380CC4-5D6E-409C-BE32-E72D297353CC}">
              <c16:uniqueId val="{00000001-671C-4F30-918C-2D524E0E1176}"/>
            </c:ext>
          </c:extLst>
        </c:ser>
        <c:ser>
          <c:idx val="2"/>
          <c:order val="2"/>
          <c:tx>
            <c:v>2024 tax year</c:v>
          </c:tx>
          <c:spPr>
            <a:ln w="28575" cap="rnd">
              <a:solidFill>
                <a:srgbClr val="00426B"/>
              </a:solidFill>
              <a:round/>
            </a:ln>
            <a:effectLst/>
          </c:spPr>
          <c:marker>
            <c:symbol val="none"/>
          </c:marker>
          <c:cat>
            <c:numRef>
              <c:f>'Hidden 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'Hidden Graph Data'!$M$3:$M$203</c:f>
              <c:numCache>
                <c:formatCode>0.0</c:formatCode>
                <c:ptCount val="201"/>
                <c:pt idx="1">
                  <c:v>5.8526859299999998</c:v>
                </c:pt>
                <c:pt idx="2">
                  <c:v>8.1575698499999998</c:v>
                </c:pt>
                <c:pt idx="3">
                  <c:v>9.9725450599999999</c:v>
                </c:pt>
                <c:pt idx="4">
                  <c:v>12.16565151</c:v>
                </c:pt>
                <c:pt idx="5">
                  <c:v>14.575736800000001</c:v>
                </c:pt>
                <c:pt idx="6">
                  <c:v>17.029921949999999</c:v>
                </c:pt>
                <c:pt idx="7">
                  <c:v>19.219653640000001</c:v>
                </c:pt>
                <c:pt idx="8">
                  <c:v>21.99284557</c:v>
                </c:pt>
                <c:pt idx="9">
                  <c:v>24.365141850000001</c:v>
                </c:pt>
                <c:pt idx="10">
                  <c:v>27.12548494</c:v>
                </c:pt>
                <c:pt idx="11">
                  <c:v>30.30639498</c:v>
                </c:pt>
                <c:pt idx="12">
                  <c:v>33.253304630000002</c:v>
                </c:pt>
                <c:pt idx="13">
                  <c:v>36.579320969999998</c:v>
                </c:pt>
                <c:pt idx="14">
                  <c:v>39.794539100000001</c:v>
                </c:pt>
                <c:pt idx="15">
                  <c:v>45.407641659999996</c:v>
                </c:pt>
                <c:pt idx="16">
                  <c:v>50.098150840000002</c:v>
                </c:pt>
                <c:pt idx="17">
                  <c:v>66.262528360000005</c:v>
                </c:pt>
                <c:pt idx="18">
                  <c:v>89.880841900000007</c:v>
                </c:pt>
                <c:pt idx="19">
                  <c:v>71.260567709999989</c:v>
                </c:pt>
                <c:pt idx="20">
                  <c:v>101.47009829000001</c:v>
                </c:pt>
                <c:pt idx="21">
                  <c:v>211.93844302000002</c:v>
                </c:pt>
                <c:pt idx="22">
                  <c:v>109.99699205</c:v>
                </c:pt>
                <c:pt idx="23">
                  <c:v>330.72563969999999</c:v>
                </c:pt>
                <c:pt idx="24">
                  <c:v>405.011053</c:v>
                </c:pt>
                <c:pt idx="25">
                  <c:v>172.99139405000003</c:v>
                </c:pt>
                <c:pt idx="26">
                  <c:v>158.56572069000001</c:v>
                </c:pt>
                <c:pt idx="27">
                  <c:v>153.48621978</c:v>
                </c:pt>
                <c:pt idx="28">
                  <c:v>295.26048573000003</c:v>
                </c:pt>
                <c:pt idx="29">
                  <c:v>346.70392261000001</c:v>
                </c:pt>
                <c:pt idx="30">
                  <c:v>185.18004065</c:v>
                </c:pt>
                <c:pt idx="31">
                  <c:v>491.87412875999996</c:v>
                </c:pt>
                <c:pt idx="32">
                  <c:v>218.13996327999999</c:v>
                </c:pt>
                <c:pt idx="33">
                  <c:v>217.84641299</c:v>
                </c:pt>
                <c:pt idx="34">
                  <c:v>193.84886674000001</c:v>
                </c:pt>
                <c:pt idx="35">
                  <c:v>187.19473268000002</c:v>
                </c:pt>
                <c:pt idx="36">
                  <c:v>183.49358430000001</c:v>
                </c:pt>
                <c:pt idx="37">
                  <c:v>182.80416828</c:v>
                </c:pt>
                <c:pt idx="38">
                  <c:v>190.26096305000002</c:v>
                </c:pt>
                <c:pt idx="39">
                  <c:v>186.12178887000002</c:v>
                </c:pt>
                <c:pt idx="40">
                  <c:v>183.81978175</c:v>
                </c:pt>
                <c:pt idx="41">
                  <c:v>187.50326472</c:v>
                </c:pt>
                <c:pt idx="42">
                  <c:v>187.57537189999999</c:v>
                </c:pt>
                <c:pt idx="43">
                  <c:v>190.22281584999999</c:v>
                </c:pt>
                <c:pt idx="44">
                  <c:v>200.29287421000001</c:v>
                </c:pt>
                <c:pt idx="45">
                  <c:v>201.54405974000002</c:v>
                </c:pt>
                <c:pt idx="46">
                  <c:v>208.96192311000001</c:v>
                </c:pt>
                <c:pt idx="47">
                  <c:v>220.17043108000001</c:v>
                </c:pt>
                <c:pt idx="48">
                  <c:v>268.05407651000002</c:v>
                </c:pt>
                <c:pt idx="49">
                  <c:v>263.38105759000001</c:v>
                </c:pt>
                <c:pt idx="50">
                  <c:v>254.59846153000001</c:v>
                </c:pt>
                <c:pt idx="51">
                  <c:v>269.78038620000001</c:v>
                </c:pt>
                <c:pt idx="52">
                  <c:v>277.52572793000002</c:v>
                </c:pt>
                <c:pt idx="53">
                  <c:v>293.67639080000004</c:v>
                </c:pt>
                <c:pt idx="54">
                  <c:v>303.92679249999998</c:v>
                </c:pt>
                <c:pt idx="55">
                  <c:v>317.74964385000004</c:v>
                </c:pt>
                <c:pt idx="56">
                  <c:v>325.82104560000005</c:v>
                </c:pt>
                <c:pt idx="57">
                  <c:v>335.55573743999997</c:v>
                </c:pt>
                <c:pt idx="58">
                  <c:v>348.00278298000001</c:v>
                </c:pt>
                <c:pt idx="59">
                  <c:v>357.32689017000001</c:v>
                </c:pt>
                <c:pt idx="60">
                  <c:v>366.29646981000002</c:v>
                </c:pt>
                <c:pt idx="61">
                  <c:v>383.15186158</c:v>
                </c:pt>
                <c:pt idx="62">
                  <c:v>377.51240471</c:v>
                </c:pt>
                <c:pt idx="63">
                  <c:v>394.17148333999995</c:v>
                </c:pt>
                <c:pt idx="64">
                  <c:v>391.03442818000002</c:v>
                </c:pt>
                <c:pt idx="65">
                  <c:v>403.48042758999998</c:v>
                </c:pt>
                <c:pt idx="66">
                  <c:v>405.19769004</c:v>
                </c:pt>
                <c:pt idx="67">
                  <c:v>412.19521435000001</c:v>
                </c:pt>
                <c:pt idx="68">
                  <c:v>418.05709105</c:v>
                </c:pt>
                <c:pt idx="69">
                  <c:v>429.39567624</c:v>
                </c:pt>
                <c:pt idx="70">
                  <c:v>568.58135317999995</c:v>
                </c:pt>
                <c:pt idx="71">
                  <c:v>519.43072643999994</c:v>
                </c:pt>
                <c:pt idx="72">
                  <c:v>438.76010749</c:v>
                </c:pt>
                <c:pt idx="73">
                  <c:v>438.02108289999995</c:v>
                </c:pt>
                <c:pt idx="74">
                  <c:v>429.50939944999999</c:v>
                </c:pt>
                <c:pt idx="75">
                  <c:v>434.63582514999996</c:v>
                </c:pt>
                <c:pt idx="76">
                  <c:v>443.54387731000003</c:v>
                </c:pt>
                <c:pt idx="77">
                  <c:v>429.32655101</c:v>
                </c:pt>
                <c:pt idx="78">
                  <c:v>423.29347264999996</c:v>
                </c:pt>
                <c:pt idx="79">
                  <c:v>427.15326754</c:v>
                </c:pt>
                <c:pt idx="80">
                  <c:v>423.54473417000003</c:v>
                </c:pt>
                <c:pt idx="81">
                  <c:v>440.94870062000001</c:v>
                </c:pt>
                <c:pt idx="82">
                  <c:v>416.72355027999998</c:v>
                </c:pt>
                <c:pt idx="83">
                  <c:v>408.24051060000005</c:v>
                </c:pt>
                <c:pt idx="84">
                  <c:v>414.79576539999999</c:v>
                </c:pt>
                <c:pt idx="85">
                  <c:v>409.02007760000004</c:v>
                </c:pt>
                <c:pt idx="86">
                  <c:v>419.35022504</c:v>
                </c:pt>
                <c:pt idx="87">
                  <c:v>401.59052527</c:v>
                </c:pt>
                <c:pt idx="88">
                  <c:v>398.05742583999995</c:v>
                </c:pt>
                <c:pt idx="89">
                  <c:v>391.19573666000002</c:v>
                </c:pt>
                <c:pt idx="90">
                  <c:v>390.11455228</c:v>
                </c:pt>
                <c:pt idx="91">
                  <c:v>399.36650691</c:v>
                </c:pt>
                <c:pt idx="92">
                  <c:v>384.92872063999999</c:v>
                </c:pt>
                <c:pt idx="93">
                  <c:v>384.63480929000002</c:v>
                </c:pt>
                <c:pt idx="94">
                  <c:v>383.53119631999999</c:v>
                </c:pt>
                <c:pt idx="95">
                  <c:v>374.77380663999998</c:v>
                </c:pt>
                <c:pt idx="96">
                  <c:v>381.97450050999998</c:v>
                </c:pt>
                <c:pt idx="97">
                  <c:v>367.22070537999997</c:v>
                </c:pt>
                <c:pt idx="98">
                  <c:v>362.31234174999997</c:v>
                </c:pt>
                <c:pt idx="99">
                  <c:v>363.07985092000001</c:v>
                </c:pt>
                <c:pt idx="100">
                  <c:v>374.29730907999999</c:v>
                </c:pt>
                <c:pt idx="101">
                  <c:v>402.42736560000003</c:v>
                </c:pt>
                <c:pt idx="102">
                  <c:v>364.16528907999998</c:v>
                </c:pt>
                <c:pt idx="103">
                  <c:v>366.09558200999999</c:v>
                </c:pt>
                <c:pt idx="104">
                  <c:v>356.73112556000001</c:v>
                </c:pt>
                <c:pt idx="105">
                  <c:v>348.98596013000002</c:v>
                </c:pt>
                <c:pt idx="106">
                  <c:v>343.31191832999997</c:v>
                </c:pt>
                <c:pt idx="107">
                  <c:v>333.69324337</c:v>
                </c:pt>
                <c:pt idx="108">
                  <c:v>328.20642075000001</c:v>
                </c:pt>
                <c:pt idx="109">
                  <c:v>322.48436249000002</c:v>
                </c:pt>
                <c:pt idx="110">
                  <c:v>324.36320610000001</c:v>
                </c:pt>
                <c:pt idx="111">
                  <c:v>328.20187987000003</c:v>
                </c:pt>
                <c:pt idx="112">
                  <c:v>309.86303895999998</c:v>
                </c:pt>
                <c:pt idx="113">
                  <c:v>308.14299441000003</c:v>
                </c:pt>
                <c:pt idx="114">
                  <c:v>300.35489423000001</c:v>
                </c:pt>
                <c:pt idx="115">
                  <c:v>300.68063195999997</c:v>
                </c:pt>
                <c:pt idx="116">
                  <c:v>298.0016023</c:v>
                </c:pt>
                <c:pt idx="117">
                  <c:v>293.67713827999995</c:v>
                </c:pt>
                <c:pt idx="118">
                  <c:v>283.07475491000002</c:v>
                </c:pt>
                <c:pt idx="119">
                  <c:v>281.19475177999999</c:v>
                </c:pt>
                <c:pt idx="120">
                  <c:v>288.65616879000004</c:v>
                </c:pt>
                <c:pt idx="121">
                  <c:v>299.98186250999998</c:v>
                </c:pt>
                <c:pt idx="122">
                  <c:v>273.36152582</c:v>
                </c:pt>
                <c:pt idx="123">
                  <c:v>266.19870988999998</c:v>
                </c:pt>
                <c:pt idx="124">
                  <c:v>261.50106392999999</c:v>
                </c:pt>
                <c:pt idx="125">
                  <c:v>261.05467895999999</c:v>
                </c:pt>
                <c:pt idx="126">
                  <c:v>263.93962338</c:v>
                </c:pt>
                <c:pt idx="127">
                  <c:v>254.42637725</c:v>
                </c:pt>
                <c:pt idx="128">
                  <c:v>251.71788040999999</c:v>
                </c:pt>
                <c:pt idx="129">
                  <c:v>249.28722524</c:v>
                </c:pt>
                <c:pt idx="130">
                  <c:v>248.59757088999999</c:v>
                </c:pt>
                <c:pt idx="131">
                  <c:v>247.78500625000001</c:v>
                </c:pt>
                <c:pt idx="132">
                  <c:v>238.56109394999999</c:v>
                </c:pt>
                <c:pt idx="133">
                  <c:v>238.66802641000001</c:v>
                </c:pt>
                <c:pt idx="134">
                  <c:v>228.34288881999998</c:v>
                </c:pt>
                <c:pt idx="135">
                  <c:v>229.77156640999999</c:v>
                </c:pt>
                <c:pt idx="136">
                  <c:v>227.89707190999999</c:v>
                </c:pt>
                <c:pt idx="137">
                  <c:v>219.45850368000001</c:v>
                </c:pt>
                <c:pt idx="138">
                  <c:v>215.26030645</c:v>
                </c:pt>
                <c:pt idx="139">
                  <c:v>211.02710668</c:v>
                </c:pt>
                <c:pt idx="140">
                  <c:v>212.86548277</c:v>
                </c:pt>
                <c:pt idx="141">
                  <c:v>225.74963363000001</c:v>
                </c:pt>
                <c:pt idx="142">
                  <c:v>205.89763063999999</c:v>
                </c:pt>
                <c:pt idx="143">
                  <c:v>200.83231462000001</c:v>
                </c:pt>
                <c:pt idx="144">
                  <c:v>200.55930786000002</c:v>
                </c:pt>
                <c:pt idx="145">
                  <c:v>201.32790514999999</c:v>
                </c:pt>
                <c:pt idx="146">
                  <c:v>198.6656691</c:v>
                </c:pt>
                <c:pt idx="147">
                  <c:v>196.39825380000002</c:v>
                </c:pt>
                <c:pt idx="148">
                  <c:v>189.21551159000001</c:v>
                </c:pt>
                <c:pt idx="149">
                  <c:v>180.98049481000001</c:v>
                </c:pt>
                <c:pt idx="150">
                  <c:v>197.97037315</c:v>
                </c:pt>
                <c:pt idx="151">
                  <c:v>212.66935956999998</c:v>
                </c:pt>
                <c:pt idx="152">
                  <c:v>185.74908912000001</c:v>
                </c:pt>
                <c:pt idx="153">
                  <c:v>181.63898641</c:v>
                </c:pt>
                <c:pt idx="154">
                  <c:v>177.52509952</c:v>
                </c:pt>
                <c:pt idx="155">
                  <c:v>171.97887322999998</c:v>
                </c:pt>
                <c:pt idx="156">
                  <c:v>178.81087671</c:v>
                </c:pt>
                <c:pt idx="157">
                  <c:v>167.06417084</c:v>
                </c:pt>
                <c:pt idx="158">
                  <c:v>168.06082189</c:v>
                </c:pt>
                <c:pt idx="159">
                  <c:v>165.63720093999999</c:v>
                </c:pt>
                <c:pt idx="160">
                  <c:v>163.88049722</c:v>
                </c:pt>
                <c:pt idx="161">
                  <c:v>174.24281123</c:v>
                </c:pt>
                <c:pt idx="162">
                  <c:v>163.81909490999999</c:v>
                </c:pt>
                <c:pt idx="163">
                  <c:v>158.44153793999999</c:v>
                </c:pt>
                <c:pt idx="164">
                  <c:v>159.35209788</c:v>
                </c:pt>
                <c:pt idx="165">
                  <c:v>154.02280825</c:v>
                </c:pt>
                <c:pt idx="166">
                  <c:v>161.40497228000001</c:v>
                </c:pt>
                <c:pt idx="167">
                  <c:v>150.57373472999998</c:v>
                </c:pt>
                <c:pt idx="168">
                  <c:v>146.39742285</c:v>
                </c:pt>
                <c:pt idx="169">
                  <c:v>149.33912784999998</c:v>
                </c:pt>
                <c:pt idx="170">
                  <c:v>149.67659677</c:v>
                </c:pt>
                <c:pt idx="171">
                  <c:v>152.05213372</c:v>
                </c:pt>
                <c:pt idx="172">
                  <c:v>141.68536434000001</c:v>
                </c:pt>
                <c:pt idx="173">
                  <c:v>146.59946538999998</c:v>
                </c:pt>
                <c:pt idx="174">
                  <c:v>142.01582408000002</c:v>
                </c:pt>
                <c:pt idx="175">
                  <c:v>151.49419025</c:v>
                </c:pt>
                <c:pt idx="176">
                  <c:v>158.00056305000001</c:v>
                </c:pt>
                <c:pt idx="177">
                  <c:v>155.99858032</c:v>
                </c:pt>
                <c:pt idx="178">
                  <c:v>156.06882716999999</c:v>
                </c:pt>
                <c:pt idx="179">
                  <c:v>168.50789690000002</c:v>
                </c:pt>
                <c:pt idx="180">
                  <c:v>356.90099305000001</c:v>
                </c:pt>
                <c:pt idx="181">
                  <c:v>229.80670194999999</c:v>
                </c:pt>
                <c:pt idx="182">
                  <c:v>139.92982988999998</c:v>
                </c:pt>
                <c:pt idx="183">
                  <c:v>128.6022543</c:v>
                </c:pt>
                <c:pt idx="184">
                  <c:v>120.31800702</c:v>
                </c:pt>
                <c:pt idx="185">
                  <c:v>124.82720123999999</c:v>
                </c:pt>
                <c:pt idx="186">
                  <c:v>127.31382201000001</c:v>
                </c:pt>
                <c:pt idx="187">
                  <c:v>110.87714118000001</c:v>
                </c:pt>
                <c:pt idx="188">
                  <c:v>109.27334784</c:v>
                </c:pt>
                <c:pt idx="189">
                  <c:v>100.24273406</c:v>
                </c:pt>
                <c:pt idx="190">
                  <c:v>108.05171141</c:v>
                </c:pt>
                <c:pt idx="191">
                  <c:v>109.03768092</c:v>
                </c:pt>
                <c:pt idx="192">
                  <c:v>103.63145788</c:v>
                </c:pt>
                <c:pt idx="193">
                  <c:v>99.06738931999999</c:v>
                </c:pt>
                <c:pt idx="194">
                  <c:v>97.215266849999992</c:v>
                </c:pt>
                <c:pt idx="195">
                  <c:v>97.171651620000006</c:v>
                </c:pt>
                <c:pt idx="196">
                  <c:v>94.801690379999997</c:v>
                </c:pt>
                <c:pt idx="197">
                  <c:v>94.658601329999996</c:v>
                </c:pt>
                <c:pt idx="198">
                  <c:v>90.977805950000004</c:v>
                </c:pt>
                <c:pt idx="199">
                  <c:v>92.922391989999994</c:v>
                </c:pt>
                <c:pt idx="200">
                  <c:v>100.86590045999999</c:v>
                </c:pt>
              </c:numCache>
            </c:numRef>
          </c:val>
          <c:smooth val="0"/>
          <c:extLst>
            <c:ext xmlns:c16="http://schemas.microsoft.com/office/drawing/2014/chart" uri="{C3380CC4-5D6E-409C-BE32-E72D297353CC}">
              <c16:uniqueId val="{00000002-671C-4F30-918C-2D524E0E1176}"/>
            </c:ext>
          </c:extLst>
        </c:ser>
        <c:dLbls>
          <c:showLegendKey val="0"/>
          <c:showVal val="0"/>
          <c:showCatName val="0"/>
          <c:showSerName val="0"/>
          <c:showPercent val="0"/>
          <c:showBubbleSize val="0"/>
        </c:dLbls>
        <c:smooth val="0"/>
        <c:axId val="1168516431"/>
        <c:axId val="1168518511"/>
      </c:lineChart>
      <c:catAx>
        <c:axId val="1168516431"/>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Taxable income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0_ ;\-#,##0\ "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1168518511"/>
        <c:crosses val="autoZero"/>
        <c:auto val="1"/>
        <c:lblAlgn val="ctr"/>
        <c:lblOffset val="100"/>
        <c:tickLblSkip val="10"/>
        <c:tickMarkSkip val="10"/>
        <c:noMultiLvlLbl val="0"/>
      </c:catAx>
      <c:valAx>
        <c:axId val="1168518511"/>
        <c:scaling>
          <c:orientation val="minMax"/>
          <c:max val="7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Aggregate tax on taxable income ($million)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1168516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31749</xdr:colOff>
      <xdr:row>0</xdr:row>
      <xdr:rowOff>44449</xdr:rowOff>
    </xdr:from>
    <xdr:to>
      <xdr:col>2</xdr:col>
      <xdr:colOff>1295400</xdr:colOff>
      <xdr:row>37</xdr:row>
      <xdr:rowOff>28575</xdr:rowOff>
    </xdr:to>
    <xdr:sp macro="" textlink="">
      <xdr:nvSpPr>
        <xdr:cNvPr id="2" name="TextBox 1">
          <a:extLst>
            <a:ext uri="{FF2B5EF4-FFF2-40B4-BE49-F238E27FC236}">
              <a16:creationId xmlns:a16="http://schemas.microsoft.com/office/drawing/2014/main" id="{AA0E0533-6ED7-4EAE-9FA4-AE684991B3E7}"/>
            </a:ext>
          </a:extLst>
        </xdr:cNvPr>
        <xdr:cNvSpPr txBox="1"/>
      </xdr:nvSpPr>
      <xdr:spPr>
        <a:xfrm>
          <a:off x="31749" y="44449"/>
          <a:ext cx="8359776" cy="60039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200" b="1">
              <a:solidFill>
                <a:schemeClr val="dk1"/>
              </a:solidFill>
              <a:effectLst/>
              <a:latin typeface="Verdana" panose="020B0604030504040204" pitchFamily="34" charset="0"/>
              <a:ea typeface="Verdana" panose="020B0604030504040204" pitchFamily="34" charset="0"/>
              <a:cs typeface="+mn-cs"/>
            </a:rPr>
            <a:t>Taxable income distribution of individuals</a:t>
          </a:r>
        </a:p>
        <a:p>
          <a:pPr marL="0" marR="0" lvl="0" indent="0" defTabSz="914400" eaLnBrk="1" fontAlgn="auto" latinLnBrk="0" hangingPunct="1">
            <a:lnSpc>
              <a:spcPct val="100000"/>
            </a:lnSpc>
            <a:spcBef>
              <a:spcPts val="0"/>
            </a:spcBef>
            <a:spcAft>
              <a:spcPts val="0"/>
            </a:spcAft>
            <a:buClrTx/>
            <a:buSzTx/>
            <a:buFontTx/>
            <a:buNone/>
            <a:tabLst/>
            <a:defRPr/>
          </a:pPr>
          <a:r>
            <a:rPr lang="en-NZ" sz="1000">
              <a:solidFill>
                <a:schemeClr val="dk1"/>
              </a:solidFill>
              <a:effectLst/>
              <a:latin typeface="Verdana" panose="020B0604030504040204" pitchFamily="34" charset="0"/>
              <a:ea typeface="Verdana" panose="020B0604030504040204" pitchFamily="34" charset="0"/>
              <a:cs typeface="+mn-cs"/>
            </a:rPr>
            <a:t>Te tohanga moniwhiwhi a ngā taritahi</a:t>
          </a: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a:solidFill>
                <a:schemeClr val="dk1"/>
              </a:solidFill>
              <a:effectLst/>
              <a:latin typeface="Verdana" panose="020B0604030504040204" pitchFamily="34" charset="0"/>
              <a:ea typeface="Verdana" panose="020B0604030504040204" pitchFamily="34" charset="0"/>
              <a:cs typeface="+mn-cs"/>
            </a:rPr>
            <a:t>The tables show estimates of the number of individuals in bands of taxable income up to: </a:t>
          </a:r>
        </a:p>
        <a:p>
          <a:pPr fontAlgn="base"/>
          <a:r>
            <a:rPr lang="en-NZ" sz="1100">
              <a:solidFill>
                <a:schemeClr val="dk1"/>
              </a:solidFill>
              <a:effectLst/>
              <a:latin typeface="+mn-lt"/>
              <a:ea typeface="+mn-ea"/>
              <a:cs typeface="+mn-cs"/>
            </a:rPr>
            <a:t>•  </a:t>
          </a:r>
          <a:r>
            <a:rPr lang="en-NZ" sz="1000">
              <a:solidFill>
                <a:schemeClr val="dk1"/>
              </a:solidFill>
              <a:effectLst/>
              <a:latin typeface="Verdana" panose="020B0604030504040204" pitchFamily="34" charset="0"/>
              <a:ea typeface="Verdana" panose="020B0604030504040204" pitchFamily="34" charset="0"/>
              <a:cs typeface="+mn-cs"/>
            </a:rPr>
            <a:t>$250,000 for the 2001 to 2009 tax years</a:t>
          </a:r>
        </a:p>
        <a:p>
          <a:pPr fontAlgn="base"/>
          <a:r>
            <a:rPr lang="en-NZ" sz="1100">
              <a:solidFill>
                <a:schemeClr val="dk1"/>
              </a:solidFill>
              <a:effectLst/>
              <a:latin typeface="+mn-lt"/>
              <a:ea typeface="+mn-ea"/>
              <a:cs typeface="+mn-cs"/>
            </a:rPr>
            <a:t>•  </a:t>
          </a:r>
          <a:r>
            <a:rPr lang="en-NZ" sz="1000">
              <a:solidFill>
                <a:schemeClr val="dk1"/>
              </a:solidFill>
              <a:effectLst/>
              <a:latin typeface="Verdana" panose="020B0604030504040204" pitchFamily="34" charset="0"/>
              <a:ea typeface="Verdana" panose="020B0604030504040204" pitchFamily="34" charset="0"/>
              <a:cs typeface="+mn-cs"/>
            </a:rPr>
            <a:t>$300,000 from the 2010</a:t>
          </a:r>
          <a:r>
            <a:rPr lang="en-NZ" sz="1000" baseline="0">
              <a:solidFill>
                <a:schemeClr val="dk1"/>
              </a:solidFill>
              <a:effectLst/>
              <a:latin typeface="Verdana" panose="020B0604030504040204" pitchFamily="34" charset="0"/>
              <a:ea typeface="Verdana" panose="020B0604030504040204" pitchFamily="34" charset="0"/>
              <a:cs typeface="+mn-cs"/>
            </a:rPr>
            <a:t> to 2018</a:t>
          </a:r>
          <a:r>
            <a:rPr lang="en-NZ" sz="1000">
              <a:solidFill>
                <a:schemeClr val="dk1"/>
              </a:solidFill>
              <a:effectLst/>
              <a:latin typeface="Verdana" panose="020B0604030504040204" pitchFamily="34" charset="0"/>
              <a:ea typeface="Verdana" panose="020B0604030504040204" pitchFamily="34" charset="0"/>
              <a:cs typeface="+mn-cs"/>
            </a:rPr>
            <a:t> tax years</a:t>
          </a:r>
        </a:p>
        <a:p>
          <a:pPr fontAlgn="base"/>
          <a:r>
            <a:rPr lang="en-NZ" sz="1100">
              <a:solidFill>
                <a:schemeClr val="dk1"/>
              </a:solidFill>
              <a:effectLst/>
              <a:latin typeface="+mn-lt"/>
              <a:ea typeface="Verdana" panose="020B0604030504040204" pitchFamily="34" charset="0"/>
              <a:cs typeface="+mn-cs"/>
            </a:rPr>
            <a:t>•  </a:t>
          </a:r>
          <a:r>
            <a:rPr lang="en-NZ" sz="1000">
              <a:solidFill>
                <a:schemeClr val="dk1"/>
              </a:solidFill>
              <a:effectLst/>
              <a:latin typeface="Verdana" panose="020B0604030504040204" pitchFamily="34" charset="0"/>
              <a:ea typeface="Verdana" panose="020B0604030504040204" pitchFamily="34" charset="0"/>
              <a:cs typeface="+mn-cs"/>
            </a:rPr>
            <a:t>$1,000,000 from the 2019</a:t>
          </a:r>
          <a:r>
            <a:rPr lang="en-NZ" sz="1000" baseline="0">
              <a:solidFill>
                <a:schemeClr val="dk1"/>
              </a:solidFill>
              <a:effectLst/>
              <a:latin typeface="Verdana" panose="020B0604030504040204" pitchFamily="34" charset="0"/>
              <a:ea typeface="Verdana" panose="020B0604030504040204" pitchFamily="34" charset="0"/>
              <a:cs typeface="+mn-cs"/>
            </a:rPr>
            <a:t> to 2024</a:t>
          </a:r>
          <a:r>
            <a:rPr lang="en-NZ" sz="1000">
              <a:solidFill>
                <a:schemeClr val="dk1"/>
              </a:solidFill>
              <a:effectLst/>
              <a:latin typeface="Verdana" panose="020B0604030504040204" pitchFamily="34" charset="0"/>
              <a:ea typeface="Verdana" panose="020B0604030504040204" pitchFamily="34" charset="0"/>
              <a:cs typeface="+mn-cs"/>
            </a:rPr>
            <a:t> tax years</a:t>
          </a:r>
          <a:endParaRPr lang="en-NZ" sz="1000">
            <a:effectLst/>
            <a:latin typeface="Verdana" panose="020B0604030504040204" pitchFamily="34" charset="0"/>
            <a:ea typeface="Verdana" panose="020B0604030504040204" pitchFamily="34" charset="0"/>
          </a:endParaRP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a:solidFill>
                <a:schemeClr val="dk1"/>
              </a:solidFill>
              <a:effectLst/>
              <a:latin typeface="Verdana" panose="020B0604030504040204" pitchFamily="34" charset="0"/>
              <a:ea typeface="Verdana" panose="020B0604030504040204" pitchFamily="34" charset="0"/>
              <a:cs typeface="+mn-cs"/>
            </a:rPr>
            <a:t>They also show aggregate taxable income and tax on taxable income for individuals in each income band. The income and tax data is derived from: </a:t>
          </a:r>
        </a:p>
        <a:p>
          <a:pPr fontAlgn="base"/>
          <a:r>
            <a:rPr lang="en-NZ" sz="1100">
              <a:solidFill>
                <a:schemeClr val="dk1"/>
              </a:solidFill>
              <a:effectLst/>
              <a:latin typeface="+mn-lt"/>
              <a:ea typeface="+mn-ea"/>
              <a:cs typeface="+mn-cs"/>
            </a:rPr>
            <a:t>•  </a:t>
          </a:r>
          <a:r>
            <a:rPr lang="en-NZ" sz="1000">
              <a:solidFill>
                <a:schemeClr val="dk1"/>
              </a:solidFill>
              <a:effectLst/>
              <a:latin typeface="Verdana" panose="020B0604030504040204" pitchFamily="34" charset="0"/>
              <a:ea typeface="Verdana" panose="020B0604030504040204" pitchFamily="34" charset="0"/>
              <a:cs typeface="+mn-cs"/>
            </a:rPr>
            <a:t>IR3 tax returns</a:t>
          </a:r>
        </a:p>
        <a:p>
          <a:pPr fontAlgn="base"/>
          <a:r>
            <a:rPr lang="en-NZ" sz="1100">
              <a:solidFill>
                <a:schemeClr val="dk1"/>
              </a:solidFill>
              <a:effectLst/>
              <a:latin typeface="+mn-lt"/>
              <a:ea typeface="+mn-ea"/>
              <a:cs typeface="+mn-cs"/>
            </a:rPr>
            <a:t>•  P</a:t>
          </a:r>
          <a:r>
            <a:rPr lang="en-NZ" sz="1000">
              <a:solidFill>
                <a:schemeClr val="dk1"/>
              </a:solidFill>
              <a:effectLst/>
              <a:latin typeface="Verdana" panose="020B0604030504040204" pitchFamily="34" charset="0"/>
              <a:ea typeface="Verdana" panose="020B0604030504040204" pitchFamily="34" charset="0"/>
              <a:cs typeface="+mn-cs"/>
            </a:rPr>
            <a:t>ersonal tax summaries to the 2018 tax year</a:t>
          </a:r>
        </a:p>
        <a:p>
          <a:pPr fontAlgn="base"/>
          <a:r>
            <a:rPr lang="en-NZ" sz="1100">
              <a:solidFill>
                <a:schemeClr val="dk1"/>
              </a:solidFill>
              <a:effectLst/>
              <a:latin typeface="+mn-lt"/>
              <a:ea typeface="+mn-ea"/>
              <a:cs typeface="+mn-cs"/>
            </a:rPr>
            <a:t>•  </a:t>
          </a:r>
          <a:r>
            <a:rPr lang="en-NZ" sz="1000">
              <a:solidFill>
                <a:schemeClr val="dk1"/>
              </a:solidFill>
              <a:effectLst/>
              <a:latin typeface="Verdana" panose="020B0604030504040204" pitchFamily="34" charset="0"/>
              <a:ea typeface="Verdana" panose="020B0604030504040204" pitchFamily="34" charset="0"/>
              <a:cs typeface="+mn-cs"/>
            </a:rPr>
            <a:t>Automatic income tax assessments from the 2019 tax year </a:t>
          </a:r>
        </a:p>
        <a:p>
          <a:pPr fontAlgn="base"/>
          <a:r>
            <a:rPr lang="en-NZ" sz="1100">
              <a:solidFill>
                <a:schemeClr val="dk1"/>
              </a:solidFill>
              <a:effectLst/>
              <a:latin typeface="+mn-lt"/>
              <a:ea typeface="+mn-ea"/>
              <a:cs typeface="+mn-cs"/>
            </a:rPr>
            <a:t>•  </a:t>
          </a:r>
          <a:r>
            <a:rPr lang="en-NZ" sz="1000">
              <a:solidFill>
                <a:schemeClr val="dk1"/>
              </a:solidFill>
              <a:effectLst/>
              <a:latin typeface="Verdana" panose="020B0604030504040204" pitchFamily="34" charset="0"/>
              <a:ea typeface="Verdana" panose="020B0604030504040204" pitchFamily="34" charset="0"/>
              <a:cs typeface="+mn-cs"/>
            </a:rPr>
            <a:t>Employer PAYE information</a:t>
          </a: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a:solidFill>
                <a:schemeClr val="dk1"/>
              </a:solidFill>
              <a:effectLst/>
              <a:latin typeface="Verdana" panose="020B0604030504040204" pitchFamily="34" charset="0"/>
              <a:ea typeface="Verdana" panose="020B0604030504040204" pitchFamily="34" charset="0"/>
              <a:cs typeface="+mn-cs"/>
            </a:rPr>
            <a:t>This</a:t>
          </a:r>
          <a:r>
            <a:rPr lang="en-NZ" sz="1000" baseline="0">
              <a:solidFill>
                <a:schemeClr val="dk1"/>
              </a:solidFill>
              <a:effectLst/>
              <a:latin typeface="Verdana" panose="020B0604030504040204" pitchFamily="34" charset="0"/>
              <a:ea typeface="Verdana" panose="020B0604030504040204" pitchFamily="34" charset="0"/>
              <a:cs typeface="+mn-cs"/>
            </a:rPr>
            <a:t> release contains </a:t>
          </a:r>
          <a:r>
            <a:rPr lang="en-NZ" sz="1000">
              <a:solidFill>
                <a:schemeClr val="dk1"/>
              </a:solidFill>
              <a:effectLst/>
              <a:latin typeface="Verdana" panose="020B0604030504040204" pitchFamily="34" charset="0"/>
              <a:ea typeface="Verdana" panose="020B0604030504040204" pitchFamily="34" charset="0"/>
              <a:cs typeface="+mn-cs"/>
            </a:rPr>
            <a:t>income distributions of individuals from the 2001 to 2024 tax years. This release revises previously published for the 2020 to 2023 tax years and publishes new data for the 2024 tax</a:t>
          </a:r>
          <a:r>
            <a:rPr lang="en-NZ" sz="1000" baseline="0">
              <a:solidFill>
                <a:schemeClr val="dk1"/>
              </a:solidFill>
              <a:effectLst/>
              <a:latin typeface="Verdana" panose="020B0604030504040204" pitchFamily="34" charset="0"/>
              <a:ea typeface="Verdana" panose="020B0604030504040204" pitchFamily="34" charset="0"/>
              <a:cs typeface="+mn-cs"/>
            </a:rPr>
            <a:t> year</a:t>
          </a:r>
          <a:r>
            <a:rPr lang="en-NZ" sz="1000">
              <a:solidFill>
                <a:schemeClr val="dk1"/>
              </a:solidFill>
              <a:effectLst/>
              <a:latin typeface="Verdana" panose="020B0604030504040204" pitchFamily="34" charset="0"/>
              <a:ea typeface="Verdana" panose="020B0604030504040204" pitchFamily="34" charset="0"/>
              <a:cs typeface="+mn-cs"/>
            </a:rPr>
            <a:t>. The 2025 income tax year will be published in September 2026, as tax agents have a year to file their clients returns.</a:t>
          </a: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a:solidFill>
                <a:schemeClr val="dk1"/>
              </a:solidFill>
              <a:effectLst/>
              <a:latin typeface="Verdana" panose="020B0604030504040204" pitchFamily="34" charset="0"/>
              <a:ea typeface="Verdana" panose="020B0604030504040204" pitchFamily="34" charset="0"/>
              <a:cs typeface="+mn-cs"/>
            </a:rPr>
            <a:t>Data for the tables and graphs was extracted from Inland Revenue systems on 12  September 2025. </a:t>
          </a: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i="1" u="sng">
              <a:solidFill>
                <a:schemeClr val="dk1"/>
              </a:solidFill>
              <a:effectLst/>
              <a:latin typeface="Verdana" panose="020B0604030504040204" pitchFamily="34" charset="0"/>
              <a:ea typeface="Verdana" panose="020B0604030504040204" pitchFamily="34" charset="0"/>
              <a:cs typeface="+mn-cs"/>
            </a:rPr>
            <a:t>Data source</a:t>
          </a:r>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a:solidFill>
                <a:schemeClr val="dk1"/>
              </a:solidFill>
              <a:effectLst/>
              <a:latin typeface="Verdana" panose="020B0604030504040204" pitchFamily="34" charset="0"/>
              <a:ea typeface="Verdana" panose="020B0604030504040204" pitchFamily="34" charset="0"/>
              <a:cs typeface="+mn-cs"/>
            </a:rPr>
            <a:t>The data in the graphs and tables up to and including the 2015 tax year is based on a random sample of individual taxpayers, scaled up to population estimates. The sample comprised 10% of IR3 filers and 2% of other taxpayers, scaled up by weights of 10 for IR3 filers and 50 for other taxpayers to create population estimates. </a:t>
          </a: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a:solidFill>
                <a:schemeClr val="dk1"/>
              </a:solidFill>
              <a:effectLst/>
              <a:latin typeface="Verdana" panose="020B0604030504040204" pitchFamily="34" charset="0"/>
              <a:ea typeface="Verdana" panose="020B0604030504040204" pitchFamily="34" charset="0"/>
              <a:cs typeface="+mn-cs"/>
            </a:rPr>
            <a:t>Population data has been used from the 2016 tax year onwards.</a:t>
          </a: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i="1" u="sng">
              <a:solidFill>
                <a:schemeClr val="dk1"/>
              </a:solidFill>
              <a:effectLst/>
              <a:latin typeface="Verdana" panose="020B0604030504040204" pitchFamily="34" charset="0"/>
              <a:ea typeface="Verdana" panose="020B0604030504040204" pitchFamily="34" charset="0"/>
              <a:cs typeface="+mn-cs"/>
            </a:rPr>
            <a:t>Coverage of individuals</a:t>
          </a:r>
          <a:endParaRPr lang="en-NZ" sz="1000">
            <a:solidFill>
              <a:schemeClr val="dk1"/>
            </a:solidFill>
            <a:effectLst/>
            <a:latin typeface="Verdana" panose="020B0604030504040204" pitchFamily="34" charset="0"/>
            <a:ea typeface="Verdana" panose="020B0604030504040204" pitchFamily="34" charset="0"/>
            <a:cs typeface="+mn-cs"/>
          </a:endParaRPr>
        </a:p>
        <a:p>
          <a:r>
            <a:rPr lang="en-NZ" sz="1000">
              <a:solidFill>
                <a:schemeClr val="dk1"/>
              </a:solidFill>
              <a:effectLst/>
              <a:latin typeface="Verdana" panose="020B0604030504040204" pitchFamily="34" charset="0"/>
              <a:ea typeface="Verdana" panose="020B0604030504040204" pitchFamily="34" charset="0"/>
              <a:cs typeface="+mn-cs"/>
            </a:rPr>
            <a:t>The statistics are based on personal tax return information filed by individuals and supplemented by other information Inland Revenue holds when the individual has not filed a tax return. </a:t>
          </a: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r>
            <a:rPr lang="en-NZ" sz="1000">
              <a:solidFill>
                <a:schemeClr val="dk1"/>
              </a:solidFill>
              <a:effectLst/>
              <a:latin typeface="Verdana" panose="020B0604030504040204" pitchFamily="34" charset="0"/>
              <a:ea typeface="Verdana" panose="020B0604030504040204" pitchFamily="34" charset="0"/>
              <a:cs typeface="+mn-cs"/>
            </a:rPr>
            <a:t>There has been a structural break in the coverage of this data from the 2019 tax year arising from the introduction of auto-calculated tax returns for individuals that do not complete an IR3 return. The effect has been to increase the number of individuals included in the tables and graphs through the inclusion of individuals who earn only passive income, as indicated in the table below.</a:t>
          </a:r>
        </a:p>
        <a:p>
          <a:endParaRPr lang="en-NZ" sz="1100"/>
        </a:p>
      </xdr:txBody>
    </xdr:sp>
    <xdr:clientData/>
  </xdr:twoCellAnchor>
  <xdr:twoCellAnchor>
    <xdr:from>
      <xdr:col>0</xdr:col>
      <xdr:colOff>28575</xdr:colOff>
      <xdr:row>49</xdr:row>
      <xdr:rowOff>9526</xdr:rowOff>
    </xdr:from>
    <xdr:to>
      <xdr:col>3</xdr:col>
      <xdr:colOff>19050</xdr:colOff>
      <xdr:row>56</xdr:row>
      <xdr:rowOff>9525</xdr:rowOff>
    </xdr:to>
    <xdr:sp macro="" textlink="">
      <xdr:nvSpPr>
        <xdr:cNvPr id="17" name="TextBox 2">
          <a:extLst>
            <a:ext uri="{FF2B5EF4-FFF2-40B4-BE49-F238E27FC236}">
              <a16:creationId xmlns:a16="http://schemas.microsoft.com/office/drawing/2014/main" id="{538F54F0-2C89-470D-B6D8-50CC6FDD7F5D}"/>
            </a:ext>
          </a:extLst>
        </xdr:cNvPr>
        <xdr:cNvSpPr txBox="1"/>
      </xdr:nvSpPr>
      <xdr:spPr>
        <a:xfrm>
          <a:off x="28575" y="13449301"/>
          <a:ext cx="8420100" cy="11429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NZ" sz="1000" i="1" u="sng">
              <a:solidFill>
                <a:schemeClr val="dk1"/>
              </a:solidFill>
              <a:effectLst/>
              <a:latin typeface="Verdana" panose="020B0604030504040204" pitchFamily="34" charset="0"/>
              <a:ea typeface="Verdana" panose="020B0604030504040204" pitchFamily="34" charset="0"/>
              <a:cs typeface="+mn-cs"/>
            </a:rPr>
            <a:t>Definition of taxable income</a:t>
          </a:r>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a:solidFill>
                <a:schemeClr val="dk1"/>
              </a:solidFill>
              <a:effectLst/>
              <a:latin typeface="Verdana" panose="020B0604030504040204" pitchFamily="34" charset="0"/>
              <a:ea typeface="Verdana" panose="020B0604030504040204" pitchFamily="34" charset="0"/>
              <a:cs typeface="+mn-cs"/>
            </a:rPr>
            <a:t>Taxable income for individuals includes all assessable income less allowable deductions and losses claimed. Individuals with negative income, because of losses, are recorded as having nil taxable income in the tables. It is calculated on a March year basis. Taxable income does not include income from</a:t>
          </a:r>
          <a:r>
            <a:rPr lang="en-NZ" sz="1000" baseline="0">
              <a:solidFill>
                <a:schemeClr val="dk1"/>
              </a:solidFill>
              <a:effectLst/>
              <a:latin typeface="Verdana" panose="020B0604030504040204" pitchFamily="34" charset="0"/>
              <a:ea typeface="Verdana" panose="020B0604030504040204" pitchFamily="34" charset="0"/>
              <a:cs typeface="+mn-cs"/>
            </a:rPr>
            <a:t> exempt sources e.g. non-taxable social support, withdrawals from Kiwisaver and other superannuation.</a:t>
          </a:r>
          <a:endParaRPr lang="en-NZ" sz="1000">
            <a:solidFill>
              <a:schemeClr val="dk1"/>
            </a:solidFill>
            <a:effectLst/>
            <a:latin typeface="Verdana" panose="020B0604030504040204" pitchFamily="34" charset="0"/>
            <a:ea typeface="Verdana" panose="020B0604030504040204" pitchFamily="34" charset="0"/>
            <a:cs typeface="+mn-cs"/>
          </a:endParaRP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a:solidFill>
                <a:schemeClr val="dk1"/>
              </a:solidFill>
              <a:effectLst/>
              <a:latin typeface="Verdana" panose="020B0604030504040204" pitchFamily="34" charset="0"/>
              <a:ea typeface="Verdana" panose="020B0604030504040204" pitchFamily="34" charset="0"/>
              <a:cs typeface="+mn-cs"/>
            </a:rPr>
            <a:t>The coverage of income included in the tables has changed from the 2019 tax year, as is indicated below:</a:t>
          </a:r>
        </a:p>
      </xdr:txBody>
    </xdr:sp>
    <xdr:clientData/>
  </xdr:twoCellAnchor>
  <xdr:twoCellAnchor>
    <xdr:from>
      <xdr:col>0</xdr:col>
      <xdr:colOff>28575</xdr:colOff>
      <xdr:row>62</xdr:row>
      <xdr:rowOff>161924</xdr:rowOff>
    </xdr:from>
    <xdr:to>
      <xdr:col>3</xdr:col>
      <xdr:colOff>9525</xdr:colOff>
      <xdr:row>86</xdr:row>
      <xdr:rowOff>142874</xdr:rowOff>
    </xdr:to>
    <xdr:sp macro="" textlink="">
      <xdr:nvSpPr>
        <xdr:cNvPr id="70" name="TextBox 3">
          <a:extLst>
            <a:ext uri="{FF2B5EF4-FFF2-40B4-BE49-F238E27FC236}">
              <a16:creationId xmlns:a16="http://schemas.microsoft.com/office/drawing/2014/main" id="{4A8D5055-EE76-49DD-8B83-FF585D3E6337}"/>
            </a:ext>
          </a:extLst>
        </xdr:cNvPr>
        <xdr:cNvSpPr txBox="1"/>
      </xdr:nvSpPr>
      <xdr:spPr>
        <a:xfrm>
          <a:off x="28575" y="17554574"/>
          <a:ext cx="8410575" cy="3876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NZ" sz="1000">
              <a:solidFill>
                <a:schemeClr val="dk1"/>
              </a:solidFill>
              <a:effectLst/>
              <a:latin typeface="Verdana" panose="020B0604030504040204" pitchFamily="34" charset="0"/>
              <a:ea typeface="Verdana" panose="020B0604030504040204" pitchFamily="34" charset="0"/>
              <a:cs typeface="+mn-cs"/>
            </a:rPr>
            <a:t>Widening the coverage and definition of taxable income has changed the overall distribution of taxable income from the 2019 tax year by:</a:t>
          </a:r>
        </a:p>
        <a:p>
          <a:pPr fontAlgn="base"/>
          <a:r>
            <a:rPr lang="en-NZ" sz="1100">
              <a:solidFill>
                <a:schemeClr val="dk1"/>
              </a:solidFill>
              <a:effectLst/>
              <a:latin typeface="+mn-lt"/>
              <a:ea typeface="+mn-ea"/>
              <a:cs typeface="+mn-cs"/>
            </a:rPr>
            <a:t>•  </a:t>
          </a:r>
          <a:r>
            <a:rPr lang="en-NZ" sz="1000">
              <a:solidFill>
                <a:schemeClr val="dk1"/>
              </a:solidFill>
              <a:effectLst/>
              <a:latin typeface="Verdana" panose="020B0604030504040204" pitchFamily="34" charset="0"/>
              <a:ea typeface="Verdana" panose="020B0604030504040204" pitchFamily="34" charset="0"/>
              <a:cs typeface="+mn-cs"/>
            </a:rPr>
            <a:t>Introducing more low income individuals into the distribution</a:t>
          </a:r>
        </a:p>
        <a:p>
          <a:pPr fontAlgn="base"/>
          <a:r>
            <a:rPr lang="en-NZ" sz="1100">
              <a:solidFill>
                <a:schemeClr val="dk1"/>
              </a:solidFill>
              <a:effectLst/>
              <a:latin typeface="+mn-lt"/>
              <a:ea typeface="+mn-ea"/>
              <a:cs typeface="+mn-cs"/>
            </a:rPr>
            <a:t>•  </a:t>
          </a:r>
          <a:r>
            <a:rPr lang="en-NZ" sz="1000">
              <a:solidFill>
                <a:schemeClr val="dk1"/>
              </a:solidFill>
              <a:effectLst/>
              <a:latin typeface="Verdana" panose="020B0604030504040204" pitchFamily="34" charset="0"/>
              <a:ea typeface="Verdana" panose="020B0604030504040204" pitchFamily="34" charset="0"/>
              <a:cs typeface="+mn-cs"/>
            </a:rPr>
            <a:t>Increasing the taxable income of individuals whose interest and dividend income was not previously included </a:t>
          </a: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a:solidFill>
                <a:schemeClr val="dk1"/>
              </a:solidFill>
              <a:effectLst/>
              <a:latin typeface="Verdana" panose="020B0604030504040204" pitchFamily="34" charset="0"/>
              <a:ea typeface="Verdana" panose="020B0604030504040204" pitchFamily="34" charset="0"/>
              <a:cs typeface="+mn-cs"/>
            </a:rPr>
            <a:t>A new income group of individuals with income between $0.01 and $100 has been added to the tables from the 2019 tax year to assist in identifying the impact of including more low income individuals into the time series. </a:t>
          </a: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pPr fontAlgn="base"/>
          <a:r>
            <a:rPr lang="en-NZ" sz="1000" i="1" u="sng">
              <a:solidFill>
                <a:schemeClr val="dk1"/>
              </a:solidFill>
              <a:effectLst/>
              <a:latin typeface="Verdana" panose="020B0604030504040204" pitchFamily="34" charset="0"/>
              <a:ea typeface="Verdana" panose="020B0604030504040204" pitchFamily="34" charset="0"/>
              <a:cs typeface="+mn-cs"/>
            </a:rPr>
            <a:t>Definition</a:t>
          </a:r>
          <a:r>
            <a:rPr lang="en-NZ" sz="1000" i="1" u="sng" baseline="0">
              <a:solidFill>
                <a:schemeClr val="dk1"/>
              </a:solidFill>
              <a:effectLst/>
              <a:latin typeface="Verdana" panose="020B0604030504040204" pitchFamily="34" charset="0"/>
              <a:ea typeface="Verdana" panose="020B0604030504040204" pitchFamily="34" charset="0"/>
              <a:cs typeface="+mn-cs"/>
            </a:rPr>
            <a:t> of tax on taxable income</a:t>
          </a:r>
          <a:endParaRPr lang="en-NZ" sz="1000">
            <a:solidFill>
              <a:schemeClr val="dk1"/>
            </a:solidFill>
            <a:effectLst/>
            <a:latin typeface="Verdana" panose="020B0604030504040204" pitchFamily="34" charset="0"/>
            <a:ea typeface="Verdana" panose="020B0604030504040204" pitchFamily="34" charset="0"/>
            <a:cs typeface="+mn-cs"/>
          </a:endParaRPr>
        </a:p>
        <a:p>
          <a:r>
            <a:rPr lang="en-NZ" sz="1100">
              <a:solidFill>
                <a:schemeClr val="dk1"/>
              </a:solidFill>
              <a:effectLst/>
              <a:latin typeface="+mn-lt"/>
              <a:ea typeface="+mn-ea"/>
              <a:cs typeface="+mn-cs"/>
            </a:rPr>
            <a:t>Tax on taxable income is calculated by applying the personal income tax scale applicable in the relevant income tax year to the taxable income (as defined above) of the year.</a:t>
          </a:r>
        </a:p>
        <a:p>
          <a:endParaRPr lang="en-NZ" sz="1100">
            <a:solidFill>
              <a:schemeClr val="dk1"/>
            </a:solidFill>
            <a:effectLst/>
            <a:latin typeface="+mn-lt"/>
            <a:ea typeface="+mn-ea"/>
            <a:cs typeface="+mn-cs"/>
          </a:endParaRPr>
        </a:p>
        <a:p>
          <a:r>
            <a:rPr lang="en-NZ" sz="1100">
              <a:solidFill>
                <a:schemeClr val="dk1"/>
              </a:solidFill>
              <a:effectLst/>
              <a:latin typeface="+mn-lt"/>
              <a:ea typeface="+mn-ea"/>
              <a:cs typeface="+mn-cs"/>
            </a:rPr>
            <a:t>The calculation of tax on taxable income includes the following tax credits and or rebates:</a:t>
          </a:r>
        </a:p>
        <a:p>
          <a:pPr lvl="0"/>
          <a:r>
            <a:rPr lang="en-NZ" sz="1100">
              <a:solidFill>
                <a:schemeClr val="dk1"/>
              </a:solidFill>
              <a:effectLst/>
              <a:latin typeface="+mn-lt"/>
              <a:ea typeface="+mn-ea"/>
              <a:cs typeface="+mn-cs"/>
            </a:rPr>
            <a:t>•  The low-income rebate (up to the 2009 tax year)</a:t>
          </a:r>
        </a:p>
        <a:p>
          <a:pPr lvl="0"/>
          <a:r>
            <a:rPr lang="en-NZ" sz="1100">
              <a:solidFill>
                <a:schemeClr val="dk1"/>
              </a:solidFill>
              <a:effectLst/>
              <a:latin typeface="+mn-lt"/>
              <a:ea typeface="+mn-ea"/>
              <a:cs typeface="+mn-cs"/>
            </a:rPr>
            <a:t>•  The independent earner tax credit (from the 2010 tax year)</a:t>
          </a:r>
        </a:p>
        <a:p>
          <a:pPr lvl="0"/>
          <a:r>
            <a:rPr lang="en-NZ" sz="1100">
              <a:solidFill>
                <a:schemeClr val="dk1"/>
              </a:solidFill>
              <a:effectLst/>
              <a:latin typeface="+mn-lt"/>
              <a:ea typeface="+mn-ea"/>
              <a:cs typeface="+mn-cs"/>
            </a:rPr>
            <a:t>•  Any other tax rebates incorporated into the IR3 and Personal Tax Summary.</a:t>
          </a:r>
        </a:p>
        <a:p>
          <a:pPr lvl="0"/>
          <a:endParaRPr lang="en-NZ" sz="1100">
            <a:solidFill>
              <a:schemeClr val="dk1"/>
            </a:solidFill>
            <a:effectLst/>
            <a:latin typeface="+mn-lt"/>
            <a:ea typeface="+mn-ea"/>
            <a:cs typeface="+mn-cs"/>
          </a:endParaRPr>
        </a:p>
        <a:p>
          <a:r>
            <a:rPr lang="en-NZ" sz="1100">
              <a:solidFill>
                <a:schemeClr val="dk1"/>
              </a:solidFill>
              <a:effectLst/>
              <a:latin typeface="+mn-lt"/>
              <a:ea typeface="+mn-ea"/>
              <a:cs typeface="+mn-cs"/>
            </a:rPr>
            <a:t>The calculation of tax on taxable income does not include:</a:t>
          </a:r>
        </a:p>
        <a:p>
          <a:pPr lvl="0"/>
          <a:r>
            <a:rPr lang="en-NZ" sz="1100">
              <a:solidFill>
                <a:schemeClr val="dk1"/>
              </a:solidFill>
              <a:effectLst/>
              <a:latin typeface="+mn-lt"/>
              <a:ea typeface="+mn-ea"/>
              <a:cs typeface="+mn-cs"/>
            </a:rPr>
            <a:t>•  Any overseas taxes paid that may reduce the tax payable in New Zealand</a:t>
          </a:r>
        </a:p>
        <a:p>
          <a:pPr lvl="0"/>
          <a:r>
            <a:rPr lang="en-NZ" sz="1100">
              <a:solidFill>
                <a:schemeClr val="dk1"/>
              </a:solidFill>
              <a:effectLst/>
              <a:latin typeface="+mn-lt"/>
              <a:ea typeface="+mn-ea"/>
              <a:cs typeface="+mn-cs"/>
            </a:rPr>
            <a:t>•  Donation tax credit </a:t>
          </a:r>
        </a:p>
        <a:p>
          <a:pPr lvl="0"/>
          <a:r>
            <a:rPr lang="en-NZ" sz="1100">
              <a:solidFill>
                <a:schemeClr val="dk1"/>
              </a:solidFill>
              <a:effectLst/>
              <a:latin typeface="+mn-lt"/>
              <a:ea typeface="+mn-ea"/>
              <a:cs typeface="+mn-cs"/>
            </a:rPr>
            <a:t>•  Child or housekeeper rebate</a:t>
          </a:r>
        </a:p>
        <a:p>
          <a:pPr lvl="0"/>
          <a:r>
            <a:rPr lang="en-NZ" sz="1100">
              <a:solidFill>
                <a:schemeClr val="dk1"/>
              </a:solidFill>
              <a:effectLst/>
              <a:latin typeface="+mn-lt"/>
              <a:ea typeface="+mn-ea"/>
              <a:cs typeface="+mn-cs"/>
            </a:rPr>
            <a:t>•  Transitional tax allowance (also known as the</a:t>
          </a:r>
          <a:r>
            <a:rPr lang="en-NZ" sz="1100" baseline="0">
              <a:solidFill>
                <a:schemeClr val="dk1"/>
              </a:solidFill>
              <a:effectLst/>
              <a:latin typeface="+mn-lt"/>
              <a:ea typeface="+mn-ea"/>
              <a:cs typeface="+mn-cs"/>
            </a:rPr>
            <a:t> the income under $9,880 rebate)</a:t>
          </a:r>
          <a:endParaRPr lang="en-NZ" sz="1100">
            <a:solidFill>
              <a:schemeClr val="dk1"/>
            </a:solidFill>
            <a:effectLst/>
            <a:latin typeface="+mn-lt"/>
            <a:ea typeface="+mn-ea"/>
            <a:cs typeface="+mn-cs"/>
          </a:endParaRPr>
        </a:p>
        <a:p>
          <a:pPr lvl="0"/>
          <a:r>
            <a:rPr lang="en-NZ" sz="1100">
              <a:solidFill>
                <a:schemeClr val="dk1"/>
              </a:solidFill>
              <a:effectLst/>
              <a:latin typeface="+mn-lt"/>
              <a:ea typeface="+mn-ea"/>
              <a:cs typeface="+mn-cs"/>
            </a:rPr>
            <a:t>•  Working for Families tax credits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19049</xdr:rowOff>
    </xdr:from>
    <xdr:to>
      <xdr:col>13</xdr:col>
      <xdr:colOff>600075</xdr:colOff>
      <xdr:row>31</xdr:row>
      <xdr:rowOff>152399</xdr:rowOff>
    </xdr:to>
    <xdr:graphicFrame macro="">
      <xdr:nvGraphicFramePr>
        <xdr:cNvPr id="2" name="Chart 1">
          <a:extLst>
            <a:ext uri="{FF2B5EF4-FFF2-40B4-BE49-F238E27FC236}">
              <a16:creationId xmlns:a16="http://schemas.microsoft.com/office/drawing/2014/main" id="{9FED9A8C-B218-4EFD-B268-1C08B24C7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xdr:colOff>
      <xdr:row>32</xdr:row>
      <xdr:rowOff>152399</xdr:rowOff>
    </xdr:from>
    <xdr:to>
      <xdr:col>13</xdr:col>
      <xdr:colOff>600075</xdr:colOff>
      <xdr:row>66</xdr:row>
      <xdr:rowOff>9524</xdr:rowOff>
    </xdr:to>
    <xdr:graphicFrame macro="">
      <xdr:nvGraphicFramePr>
        <xdr:cNvPr id="3" name="Chart 2">
          <a:extLst>
            <a:ext uri="{FF2B5EF4-FFF2-40B4-BE49-F238E27FC236}">
              <a16:creationId xmlns:a16="http://schemas.microsoft.com/office/drawing/2014/main" id="{ED11BE5C-AE7D-4B50-A8B7-5073FF660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66</xdr:row>
      <xdr:rowOff>123825</xdr:rowOff>
    </xdr:from>
    <xdr:to>
      <xdr:col>14</xdr:col>
      <xdr:colOff>4763</xdr:colOff>
      <xdr:row>99</xdr:row>
      <xdr:rowOff>142875</xdr:rowOff>
    </xdr:to>
    <xdr:graphicFrame macro="">
      <xdr:nvGraphicFramePr>
        <xdr:cNvPr id="5" name="Chart 4">
          <a:extLst>
            <a:ext uri="{FF2B5EF4-FFF2-40B4-BE49-F238E27FC236}">
              <a16:creationId xmlns:a16="http://schemas.microsoft.com/office/drawing/2014/main" id="{806B38CA-ADCF-4654-B59F-00FFC4AC6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100</xdr:row>
      <xdr:rowOff>47626</xdr:rowOff>
    </xdr:from>
    <xdr:to>
      <xdr:col>14</xdr:col>
      <xdr:colOff>0</xdr:colOff>
      <xdr:row>103</xdr:row>
      <xdr:rowOff>66675</xdr:rowOff>
    </xdr:to>
    <xdr:sp macro="" textlink="">
      <xdr:nvSpPr>
        <xdr:cNvPr id="4" name="TextBox 3">
          <a:extLst>
            <a:ext uri="{FF2B5EF4-FFF2-40B4-BE49-F238E27FC236}">
              <a16:creationId xmlns:a16="http://schemas.microsoft.com/office/drawing/2014/main" id="{0ECBF381-182D-40D1-9438-07BE868A2FC5}"/>
            </a:ext>
          </a:extLst>
        </xdr:cNvPr>
        <xdr:cNvSpPr txBox="1"/>
      </xdr:nvSpPr>
      <xdr:spPr>
        <a:xfrm>
          <a:off x="28575" y="16240126"/>
          <a:ext cx="8505825" cy="5048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NZ" sz="1000">
              <a:solidFill>
                <a:schemeClr val="dk1"/>
              </a:solidFill>
              <a:effectLst/>
              <a:latin typeface="Verdana" panose="020B0604030504040204" pitchFamily="34" charset="0"/>
              <a:ea typeface="Verdana" panose="020B0604030504040204" pitchFamily="34" charset="0"/>
              <a:cs typeface="+mn-cs"/>
            </a:rPr>
            <a:t>Because of high volumes and small amounts in aggregate, individuals with taxable income between $0 and $100 are not included in the above graphs, but the data for these groups is available in the tables. </a:t>
          </a:r>
        </a:p>
        <a:p>
          <a:pPr fontAlgn="base"/>
          <a:endParaRPr lang="en-NZ" sz="1000">
            <a:solidFill>
              <a:schemeClr val="dk1"/>
            </a:solidFill>
            <a:effectLst/>
            <a:latin typeface="Verdana" panose="020B0604030504040204" pitchFamily="34" charset="0"/>
            <a:ea typeface="Verdana" panose="020B0604030504040204" pitchFamily="34" charset="0"/>
            <a:cs typeface="+mn-cs"/>
          </a:endParaRPr>
        </a:p>
        <a:p>
          <a:endParaRPr lang="en-NZ"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C72"/>
  <sheetViews>
    <sheetView topLeftCell="A58" workbookViewId="0">
      <selection activeCell="A49" sqref="A49"/>
    </sheetView>
  </sheetViews>
  <sheetFormatPr defaultColWidth="9.140625" defaultRowHeight="12.75" x14ac:dyDescent="0.2"/>
  <cols>
    <col min="1" max="1" width="86.42578125" style="2" customWidth="1"/>
    <col min="2" max="3" width="20" style="2" customWidth="1"/>
    <col min="4" max="5" width="9.140625" style="2"/>
    <col min="6" max="6" width="16.42578125" style="2" customWidth="1"/>
    <col min="7" max="7" width="16.85546875" style="2" customWidth="1"/>
    <col min="8" max="16384" width="9.140625" style="2"/>
  </cols>
  <sheetData>
    <row r="2" spans="1:1" ht="15" x14ac:dyDescent="0.2">
      <c r="A2" s="43"/>
    </row>
    <row r="24" spans="1:1" x14ac:dyDescent="0.2">
      <c r="A24" s="46"/>
    </row>
    <row r="25" spans="1:1" x14ac:dyDescent="0.2">
      <c r="A25" s="47"/>
    </row>
    <row r="39" spans="1:3" ht="24.75" customHeight="1" x14ac:dyDescent="0.2">
      <c r="A39" s="53"/>
      <c r="B39" s="54" t="s">
        <v>0</v>
      </c>
      <c r="C39" s="54" t="s">
        <v>1</v>
      </c>
    </row>
    <row r="40" spans="1:3" ht="26.25" thickBot="1" x14ac:dyDescent="0.25">
      <c r="A40" s="55" t="s">
        <v>2</v>
      </c>
      <c r="B40" s="56" t="s">
        <v>3</v>
      </c>
      <c r="C40" s="57" t="s">
        <v>3</v>
      </c>
    </row>
    <row r="41" spans="1:3" ht="39.75" thickTop="1" thickBot="1" x14ac:dyDescent="0.25">
      <c r="A41" s="55" t="s">
        <v>4</v>
      </c>
      <c r="B41" s="56" t="s">
        <v>3</v>
      </c>
      <c r="C41" s="57" t="s">
        <v>5</v>
      </c>
    </row>
    <row r="42" spans="1:3" ht="52.5" thickTop="1" thickBot="1" x14ac:dyDescent="0.25">
      <c r="A42" s="55" t="s">
        <v>6</v>
      </c>
      <c r="B42" s="56" t="s">
        <v>3</v>
      </c>
      <c r="C42" s="57" t="s">
        <v>3</v>
      </c>
    </row>
    <row r="43" spans="1:3" ht="78" thickTop="1" thickBot="1" x14ac:dyDescent="0.25">
      <c r="A43" s="55" t="s">
        <v>7</v>
      </c>
      <c r="B43" s="56" t="s">
        <v>5</v>
      </c>
      <c r="C43" s="57" t="s">
        <v>3</v>
      </c>
    </row>
    <row r="44" spans="1:3" ht="65.25" thickTop="1" thickBot="1" x14ac:dyDescent="0.25">
      <c r="A44" s="55" t="s">
        <v>8</v>
      </c>
      <c r="B44" s="56" t="s">
        <v>9</v>
      </c>
      <c r="C44" s="57" t="s">
        <v>10</v>
      </c>
    </row>
    <row r="45" spans="1:3" ht="138.75" customHeight="1" thickTop="1" thickBot="1" x14ac:dyDescent="0.25">
      <c r="A45" s="55" t="s">
        <v>11</v>
      </c>
      <c r="B45" s="56" t="s">
        <v>12</v>
      </c>
      <c r="C45" s="57" t="s">
        <v>13</v>
      </c>
    </row>
    <row r="46" spans="1:3" ht="14.25" thickTop="1" thickBot="1" x14ac:dyDescent="0.25">
      <c r="A46" s="55" t="s">
        <v>14</v>
      </c>
      <c r="B46" s="56" t="s">
        <v>12</v>
      </c>
      <c r="C46" s="57" t="s">
        <v>12</v>
      </c>
    </row>
    <row r="47" spans="1:3" ht="39.75" thickTop="1" thickBot="1" x14ac:dyDescent="0.25">
      <c r="A47" s="55" t="s">
        <v>15</v>
      </c>
      <c r="B47" s="56" t="s">
        <v>16</v>
      </c>
      <c r="C47" s="57" t="s">
        <v>12</v>
      </c>
    </row>
    <row r="48" spans="1:3" ht="14.25" thickTop="1" thickBot="1" x14ac:dyDescent="0.25">
      <c r="A48" s="55" t="s">
        <v>17</v>
      </c>
      <c r="B48" s="56" t="s">
        <v>12</v>
      </c>
      <c r="C48" s="57" t="s">
        <v>12</v>
      </c>
    </row>
    <row r="49" spans="1:3" ht="78" thickTop="1" thickBot="1" x14ac:dyDescent="0.25">
      <c r="A49" s="55" t="s">
        <v>18</v>
      </c>
      <c r="B49" s="56" t="s">
        <v>19</v>
      </c>
      <c r="C49" s="57" t="s">
        <v>20</v>
      </c>
    </row>
    <row r="50" spans="1:3" ht="13.5" thickTop="1" x14ac:dyDescent="0.2"/>
    <row r="52" spans="1:3" x14ac:dyDescent="0.2">
      <c r="A52" s="3"/>
    </row>
    <row r="56" spans="1:3" ht="23.25" customHeight="1" x14ac:dyDescent="0.2"/>
    <row r="57" spans="1:3" ht="24.75" customHeight="1" x14ac:dyDescent="0.2">
      <c r="A57" s="53"/>
      <c r="B57" s="54" t="s">
        <v>0</v>
      </c>
      <c r="C57" s="54" t="s">
        <v>1</v>
      </c>
    </row>
    <row r="58" spans="1:3" ht="39" thickBot="1" x14ac:dyDescent="0.25">
      <c r="A58" s="55" t="s">
        <v>21</v>
      </c>
      <c r="B58" s="56" t="s">
        <v>3</v>
      </c>
      <c r="C58" s="57" t="s">
        <v>3</v>
      </c>
    </row>
    <row r="59" spans="1:3" ht="65.25" thickTop="1" thickBot="1" x14ac:dyDescent="0.25">
      <c r="A59" s="55" t="s">
        <v>22</v>
      </c>
      <c r="B59" s="56" t="s">
        <v>23</v>
      </c>
      <c r="C59" s="57" t="s">
        <v>23</v>
      </c>
    </row>
    <row r="60" spans="1:3" ht="39.75" thickTop="1" thickBot="1" x14ac:dyDescent="0.25">
      <c r="A60" s="55" t="s">
        <v>24</v>
      </c>
      <c r="B60" s="56" t="s">
        <v>23</v>
      </c>
      <c r="C60" s="57" t="s">
        <v>23</v>
      </c>
    </row>
    <row r="61" spans="1:3" ht="78" thickTop="1" thickBot="1" x14ac:dyDescent="0.25">
      <c r="A61" s="55" t="s">
        <v>25</v>
      </c>
      <c r="B61" s="56" t="s">
        <v>26</v>
      </c>
      <c r="C61" s="57" t="s">
        <v>27</v>
      </c>
    </row>
    <row r="62" spans="1:3" ht="14.25" thickTop="1" thickBot="1" x14ac:dyDescent="0.25">
      <c r="A62" s="55" t="s">
        <v>28</v>
      </c>
      <c r="B62" s="56" t="s">
        <v>12</v>
      </c>
      <c r="C62" s="57" t="s">
        <v>12</v>
      </c>
    </row>
    <row r="63" spans="1:3" ht="13.5" thickTop="1" x14ac:dyDescent="0.2"/>
    <row r="72" spans="1:1" x14ac:dyDescent="0.2">
      <c r="A72" s="47"/>
    </row>
  </sheetData>
  <phoneticPr fontId="3" type="noConversion"/>
  <pageMargins left="0.75" right="0.75" top="1" bottom="1" header="0.5" footer="0.5"/>
  <pageSetup paperSize="9" orientation="portrait" horizontalDpi="300" verticalDpi="300" r:id="rId1"/>
  <headerFooter alignWithMargins="0">
    <oddHeader>&amp;C&amp;"Verdana"&amp;8&amp;K000000[UNCLASSIFIED]&amp;1#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D59D7-19E6-483F-8916-DF87F4286EF4}">
  <dimension ref="P10:Q73"/>
  <sheetViews>
    <sheetView topLeftCell="A46" workbookViewId="0">
      <selection activeCell="R60" sqref="R60"/>
    </sheetView>
  </sheetViews>
  <sheetFormatPr defaultRowHeight="12.75" x14ac:dyDescent="0.2"/>
  <cols>
    <col min="16" max="16" width="12" bestFit="1" customWidth="1"/>
  </cols>
  <sheetData>
    <row r="10" spans="16:17" x14ac:dyDescent="0.2">
      <c r="P10" t="s">
        <v>312</v>
      </c>
      <c r="Q10" t="s">
        <v>312</v>
      </c>
    </row>
    <row r="24" spans="17:17" x14ac:dyDescent="0.2">
      <c r="Q24" s="86" t="s">
        <v>312</v>
      </c>
    </row>
    <row r="65" spans="16:17" x14ac:dyDescent="0.2">
      <c r="P65" t="s">
        <v>314</v>
      </c>
    </row>
    <row r="67" spans="16:17" x14ac:dyDescent="0.2">
      <c r="Q67" t="s">
        <v>312</v>
      </c>
    </row>
    <row r="73" spans="16:17" x14ac:dyDescent="0.2">
      <c r="P73" s="86" t="s">
        <v>312</v>
      </c>
    </row>
  </sheetData>
  <pageMargins left="0.7" right="0.7" top="0.75" bottom="0.75" header="0.3" footer="0.3"/>
  <pageSetup paperSize="9" orientation="portrait" r:id="rId1"/>
  <headerFooter>
    <oddHeader>&amp;C&amp;"Verdana"&amp;8&amp;K000000[UNCLASSIFIED]&amp;1#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6B9B4-0801-4C8F-9E39-A7ECD93EF8FD}">
  <dimension ref="A1:CA329"/>
  <sheetViews>
    <sheetView topLeftCell="A40" workbookViewId="0">
      <selection activeCell="BR26" sqref="BR26"/>
    </sheetView>
  </sheetViews>
  <sheetFormatPr defaultColWidth="9.140625" defaultRowHeight="12.75" x14ac:dyDescent="0.2"/>
  <cols>
    <col min="1" max="1" width="24.7109375" style="2" customWidth="1"/>
    <col min="2" max="28" width="12" style="2" customWidth="1"/>
    <col min="29" max="29" width="24.7109375" style="2" customWidth="1"/>
    <col min="30" max="56" width="12" style="2" customWidth="1"/>
    <col min="57" max="57" width="23.7109375" style="2" customWidth="1"/>
    <col min="58" max="75" width="12" style="2" customWidth="1"/>
    <col min="76" max="76" width="9.140625" style="2"/>
    <col min="77" max="77" width="13.7109375" style="2" customWidth="1"/>
    <col min="78" max="16384" width="9.140625" style="2"/>
  </cols>
  <sheetData>
    <row r="1" spans="1:77" x14ac:dyDescent="0.2">
      <c r="BF1" s="46"/>
      <c r="BI1" s="46"/>
      <c r="BL1" s="46"/>
      <c r="BO1" s="46"/>
      <c r="BR1" s="46"/>
      <c r="BU1" s="46"/>
    </row>
    <row r="2" spans="1:77" s="3" customFormat="1" ht="15" x14ac:dyDescent="0.2">
      <c r="A2" s="43" t="s">
        <v>311</v>
      </c>
      <c r="BO2" s="3" t="s">
        <v>312</v>
      </c>
    </row>
    <row r="3" spans="1:77" x14ac:dyDescent="0.2">
      <c r="A3" s="4"/>
      <c r="AC3" s="4"/>
    </row>
    <row r="4" spans="1:77" s="3" customFormat="1" x14ac:dyDescent="0.2">
      <c r="A4" s="20"/>
      <c r="B4" s="108">
        <v>2001</v>
      </c>
      <c r="C4" s="109"/>
      <c r="D4" s="109"/>
      <c r="E4" s="108">
        <v>2002</v>
      </c>
      <c r="F4" s="109"/>
      <c r="G4" s="109"/>
      <c r="H4" s="108">
        <v>2003</v>
      </c>
      <c r="I4" s="109"/>
      <c r="J4" s="110"/>
      <c r="K4" s="108">
        <v>2004</v>
      </c>
      <c r="L4" s="109"/>
      <c r="M4" s="109"/>
      <c r="N4" s="108">
        <v>2005</v>
      </c>
      <c r="O4" s="109"/>
      <c r="P4" s="109"/>
      <c r="Q4" s="108">
        <v>2006</v>
      </c>
      <c r="R4" s="109"/>
      <c r="S4" s="109"/>
      <c r="T4" s="108">
        <v>2007</v>
      </c>
      <c r="U4" s="109"/>
      <c r="V4" s="109"/>
      <c r="W4" s="108">
        <v>2008</v>
      </c>
      <c r="X4" s="109"/>
      <c r="Y4" s="109"/>
      <c r="Z4" s="108">
        <v>2009</v>
      </c>
      <c r="AA4" s="109"/>
      <c r="AB4" s="110"/>
      <c r="AC4" s="20"/>
      <c r="AD4" s="109">
        <v>2010</v>
      </c>
      <c r="AE4" s="109"/>
      <c r="AF4" s="110"/>
      <c r="AG4" s="109">
        <v>2011</v>
      </c>
      <c r="AH4" s="109"/>
      <c r="AI4" s="110"/>
      <c r="AJ4" s="109">
        <v>2012</v>
      </c>
      <c r="AK4" s="109"/>
      <c r="AL4" s="110"/>
      <c r="AM4" s="109">
        <v>2013</v>
      </c>
      <c r="AN4" s="109"/>
      <c r="AO4" s="110"/>
      <c r="AP4" s="109">
        <v>2014</v>
      </c>
      <c r="AQ4" s="109"/>
      <c r="AR4" s="110"/>
      <c r="AS4" s="109">
        <v>2015</v>
      </c>
      <c r="AT4" s="109"/>
      <c r="AU4" s="110"/>
      <c r="AV4" s="109">
        <v>2016</v>
      </c>
      <c r="AW4" s="109"/>
      <c r="AX4" s="110"/>
      <c r="AY4" s="109">
        <v>2017</v>
      </c>
      <c r="AZ4" s="109"/>
      <c r="BA4" s="110"/>
      <c r="BB4" s="108">
        <v>2018</v>
      </c>
      <c r="BC4" s="109"/>
      <c r="BD4" s="110"/>
      <c r="BE4" s="42"/>
      <c r="BF4" s="108">
        <v>2019</v>
      </c>
      <c r="BG4" s="109"/>
      <c r="BH4" s="110"/>
      <c r="BI4" s="109">
        <v>2020</v>
      </c>
      <c r="BJ4" s="109"/>
      <c r="BK4" s="110"/>
      <c r="BL4" s="108">
        <v>2021</v>
      </c>
      <c r="BM4" s="109"/>
      <c r="BN4" s="110"/>
      <c r="BO4" s="108">
        <v>2022</v>
      </c>
      <c r="BP4" s="109"/>
      <c r="BQ4" s="110"/>
      <c r="BR4" s="108">
        <v>2023</v>
      </c>
      <c r="BS4" s="109"/>
      <c r="BT4" s="110"/>
      <c r="BU4" s="108">
        <v>2024</v>
      </c>
      <c r="BV4" s="109"/>
      <c r="BW4" s="110"/>
    </row>
    <row r="5" spans="1:77" x14ac:dyDescent="0.2">
      <c r="A5" s="22" t="s">
        <v>29</v>
      </c>
      <c r="B5" s="102" t="s">
        <v>30</v>
      </c>
      <c r="C5" s="104" t="s">
        <v>31</v>
      </c>
      <c r="D5" s="104" t="s">
        <v>32</v>
      </c>
      <c r="E5" s="102" t="s">
        <v>30</v>
      </c>
      <c r="F5" s="104" t="s">
        <v>31</v>
      </c>
      <c r="G5" s="104" t="s">
        <v>32</v>
      </c>
      <c r="H5" s="102" t="s">
        <v>30</v>
      </c>
      <c r="I5" s="104" t="s">
        <v>31</v>
      </c>
      <c r="J5" s="106" t="s">
        <v>32</v>
      </c>
      <c r="K5" s="102" t="s">
        <v>30</v>
      </c>
      <c r="L5" s="104" t="s">
        <v>31</v>
      </c>
      <c r="M5" s="104" t="s">
        <v>32</v>
      </c>
      <c r="N5" s="102" t="s">
        <v>30</v>
      </c>
      <c r="O5" s="104" t="s">
        <v>31</v>
      </c>
      <c r="P5" s="104" t="s">
        <v>32</v>
      </c>
      <c r="Q5" s="102" t="s">
        <v>30</v>
      </c>
      <c r="R5" s="104" t="s">
        <v>31</v>
      </c>
      <c r="S5" s="104" t="s">
        <v>32</v>
      </c>
      <c r="T5" s="102" t="s">
        <v>30</v>
      </c>
      <c r="U5" s="104" t="s">
        <v>31</v>
      </c>
      <c r="V5" s="104" t="s">
        <v>32</v>
      </c>
      <c r="W5" s="102" t="s">
        <v>30</v>
      </c>
      <c r="X5" s="104" t="s">
        <v>31</v>
      </c>
      <c r="Y5" s="104" t="s">
        <v>32</v>
      </c>
      <c r="Z5" s="102" t="s">
        <v>30</v>
      </c>
      <c r="AA5" s="104" t="s">
        <v>31</v>
      </c>
      <c r="AB5" s="106" t="s">
        <v>32</v>
      </c>
      <c r="AC5" s="22" t="s">
        <v>29</v>
      </c>
      <c r="AD5" s="104" t="s">
        <v>30</v>
      </c>
      <c r="AE5" s="104" t="s">
        <v>31</v>
      </c>
      <c r="AF5" s="106" t="s">
        <v>32</v>
      </c>
      <c r="AG5" s="104" t="s">
        <v>30</v>
      </c>
      <c r="AH5" s="104" t="s">
        <v>31</v>
      </c>
      <c r="AI5" s="106" t="s">
        <v>32</v>
      </c>
      <c r="AJ5" s="104" t="s">
        <v>30</v>
      </c>
      <c r="AK5" s="104" t="s">
        <v>31</v>
      </c>
      <c r="AL5" s="106" t="s">
        <v>32</v>
      </c>
      <c r="AM5" s="104" t="s">
        <v>30</v>
      </c>
      <c r="AN5" s="104" t="s">
        <v>31</v>
      </c>
      <c r="AO5" s="106" t="s">
        <v>32</v>
      </c>
      <c r="AP5" s="104" t="s">
        <v>30</v>
      </c>
      <c r="AQ5" s="104" t="s">
        <v>31</v>
      </c>
      <c r="AR5" s="106" t="s">
        <v>32</v>
      </c>
      <c r="AS5" s="104" t="s">
        <v>30</v>
      </c>
      <c r="AT5" s="104" t="s">
        <v>31</v>
      </c>
      <c r="AU5" s="106" t="s">
        <v>32</v>
      </c>
      <c r="AV5" s="104" t="s">
        <v>30</v>
      </c>
      <c r="AW5" s="104" t="s">
        <v>31</v>
      </c>
      <c r="AX5" s="106" t="s">
        <v>32</v>
      </c>
      <c r="AY5" s="104" t="s">
        <v>30</v>
      </c>
      <c r="AZ5" s="104" t="s">
        <v>31</v>
      </c>
      <c r="BA5" s="106" t="s">
        <v>32</v>
      </c>
      <c r="BB5" s="111" t="s">
        <v>30</v>
      </c>
      <c r="BC5" s="113" t="s">
        <v>31</v>
      </c>
      <c r="BD5" s="115" t="s">
        <v>32</v>
      </c>
      <c r="BE5" s="22" t="s">
        <v>29</v>
      </c>
      <c r="BF5" s="102" t="s">
        <v>30</v>
      </c>
      <c r="BG5" s="104" t="s">
        <v>31</v>
      </c>
      <c r="BH5" s="106" t="s">
        <v>32</v>
      </c>
      <c r="BI5" s="104" t="s">
        <v>30</v>
      </c>
      <c r="BJ5" s="104" t="s">
        <v>31</v>
      </c>
      <c r="BK5" s="106" t="s">
        <v>32</v>
      </c>
      <c r="BL5" s="102" t="s">
        <v>30</v>
      </c>
      <c r="BM5" s="104" t="s">
        <v>31</v>
      </c>
      <c r="BN5" s="106" t="s">
        <v>32</v>
      </c>
      <c r="BO5" s="102" t="s">
        <v>30</v>
      </c>
      <c r="BP5" s="104" t="s">
        <v>31</v>
      </c>
      <c r="BQ5" s="106" t="s">
        <v>32</v>
      </c>
      <c r="BR5" s="102" t="s">
        <v>30</v>
      </c>
      <c r="BS5" s="104" t="s">
        <v>31</v>
      </c>
      <c r="BT5" s="106" t="s">
        <v>32</v>
      </c>
      <c r="BU5" s="102" t="s">
        <v>30</v>
      </c>
      <c r="BV5" s="104" t="s">
        <v>31</v>
      </c>
      <c r="BW5" s="106" t="s">
        <v>32</v>
      </c>
    </row>
    <row r="6" spans="1:77" ht="45.75" customHeight="1" x14ac:dyDescent="0.2">
      <c r="A6" s="23"/>
      <c r="B6" s="103"/>
      <c r="C6" s="105"/>
      <c r="D6" s="105"/>
      <c r="E6" s="103"/>
      <c r="F6" s="105"/>
      <c r="G6" s="105"/>
      <c r="H6" s="103"/>
      <c r="I6" s="105"/>
      <c r="J6" s="107"/>
      <c r="K6" s="103"/>
      <c r="L6" s="105"/>
      <c r="M6" s="105"/>
      <c r="N6" s="103"/>
      <c r="O6" s="105"/>
      <c r="P6" s="105"/>
      <c r="Q6" s="103"/>
      <c r="R6" s="105"/>
      <c r="S6" s="105"/>
      <c r="T6" s="103"/>
      <c r="U6" s="105"/>
      <c r="V6" s="105"/>
      <c r="W6" s="103"/>
      <c r="X6" s="105"/>
      <c r="Y6" s="105"/>
      <c r="Z6" s="103"/>
      <c r="AA6" s="105"/>
      <c r="AB6" s="107"/>
      <c r="AC6" s="23" t="s">
        <v>33</v>
      </c>
      <c r="AD6" s="105"/>
      <c r="AE6" s="105"/>
      <c r="AF6" s="107"/>
      <c r="AG6" s="105"/>
      <c r="AH6" s="105"/>
      <c r="AI6" s="107"/>
      <c r="AJ6" s="105"/>
      <c r="AK6" s="105"/>
      <c r="AL6" s="107"/>
      <c r="AM6" s="105"/>
      <c r="AN6" s="105"/>
      <c r="AO6" s="107"/>
      <c r="AP6" s="105"/>
      <c r="AQ6" s="105"/>
      <c r="AR6" s="107"/>
      <c r="AS6" s="105"/>
      <c r="AT6" s="105"/>
      <c r="AU6" s="107"/>
      <c r="AV6" s="105"/>
      <c r="AW6" s="105"/>
      <c r="AX6" s="107"/>
      <c r="AY6" s="105"/>
      <c r="AZ6" s="105"/>
      <c r="BA6" s="107"/>
      <c r="BB6" s="112"/>
      <c r="BC6" s="114"/>
      <c r="BD6" s="116"/>
      <c r="BE6" s="23" t="s">
        <v>34</v>
      </c>
      <c r="BF6" s="103"/>
      <c r="BG6" s="105"/>
      <c r="BH6" s="107"/>
      <c r="BI6" s="105"/>
      <c r="BJ6" s="105"/>
      <c r="BK6" s="107"/>
      <c r="BL6" s="103"/>
      <c r="BM6" s="105"/>
      <c r="BN6" s="107"/>
      <c r="BO6" s="103"/>
      <c r="BP6" s="105"/>
      <c r="BQ6" s="107"/>
      <c r="BR6" s="103"/>
      <c r="BS6" s="105"/>
      <c r="BT6" s="107"/>
      <c r="BU6" s="103"/>
      <c r="BV6" s="105"/>
      <c r="BW6" s="107"/>
      <c r="BY6" s="2" t="s">
        <v>312</v>
      </c>
    </row>
    <row r="7" spans="1:77" x14ac:dyDescent="0.2">
      <c r="A7" s="21"/>
      <c r="B7" s="15"/>
      <c r="E7" s="40"/>
      <c r="F7" s="41"/>
      <c r="G7" s="41"/>
      <c r="H7" s="15"/>
      <c r="J7" s="14"/>
      <c r="K7" s="15"/>
      <c r="N7" s="15"/>
      <c r="Q7" s="15"/>
      <c r="T7" s="15"/>
      <c r="W7" s="15"/>
      <c r="Z7" s="15"/>
      <c r="AB7" s="14"/>
      <c r="AC7" s="21"/>
      <c r="AF7" s="14"/>
      <c r="AI7" s="14"/>
      <c r="AL7" s="14"/>
      <c r="AO7" s="14"/>
      <c r="AR7" s="14"/>
      <c r="AU7" s="14"/>
      <c r="AX7" s="14"/>
      <c r="BA7" s="14"/>
      <c r="BB7" s="13"/>
      <c r="BC7" s="9"/>
      <c r="BD7" s="24"/>
      <c r="BE7" s="13"/>
      <c r="BF7" s="15"/>
      <c r="BH7" s="14"/>
      <c r="BK7" s="14"/>
      <c r="BL7" s="15"/>
      <c r="BN7" s="14"/>
      <c r="BO7" s="15"/>
      <c r="BQ7" s="14"/>
      <c r="BR7" s="15"/>
      <c r="BT7" s="14"/>
      <c r="BU7" s="15"/>
      <c r="BW7" s="14"/>
    </row>
    <row r="8" spans="1:77" x14ac:dyDescent="0.2">
      <c r="A8" s="21"/>
      <c r="E8" s="40"/>
      <c r="F8" s="41"/>
      <c r="G8" s="41"/>
      <c r="H8" s="15"/>
      <c r="J8" s="14"/>
      <c r="K8" s="15"/>
      <c r="N8" s="15"/>
      <c r="Q8" s="15"/>
      <c r="T8" s="15"/>
      <c r="W8" s="15"/>
      <c r="Z8" s="15"/>
      <c r="AB8" s="14"/>
      <c r="AC8" s="21"/>
      <c r="AF8" s="14"/>
      <c r="AI8" s="14"/>
      <c r="AL8" s="14"/>
      <c r="AO8" s="14"/>
      <c r="AR8" s="14"/>
      <c r="AU8" s="14"/>
      <c r="AX8" s="14"/>
      <c r="BA8" s="14"/>
      <c r="BB8" s="15"/>
      <c r="BD8" s="14"/>
      <c r="BE8" s="65" t="s">
        <v>35</v>
      </c>
      <c r="BF8" s="18">
        <v>76580</v>
      </c>
      <c r="BG8" s="5">
        <v>0</v>
      </c>
      <c r="BH8" s="16">
        <v>-3.5645919999999998E-2</v>
      </c>
      <c r="BI8" s="10">
        <v>92610</v>
      </c>
      <c r="BJ8" s="5">
        <v>0</v>
      </c>
      <c r="BK8" s="16">
        <v>-9.4901100000000002E-2</v>
      </c>
      <c r="BL8" s="18">
        <v>70050</v>
      </c>
      <c r="BM8" s="5">
        <v>0</v>
      </c>
      <c r="BN8" s="16">
        <v>-8.7649699999999997E-2</v>
      </c>
      <c r="BO8" s="18">
        <v>55850</v>
      </c>
      <c r="BP8" s="5">
        <v>0</v>
      </c>
      <c r="BQ8" s="16">
        <v>-8.4797830000000005E-2</v>
      </c>
      <c r="BR8" s="18">
        <v>56510</v>
      </c>
      <c r="BS8" s="5">
        <v>0</v>
      </c>
      <c r="BT8" s="16">
        <v>-6.9787910000000009E-2</v>
      </c>
      <c r="BU8" s="18">
        <v>54800</v>
      </c>
      <c r="BV8" s="5">
        <v>0</v>
      </c>
      <c r="BW8" s="16">
        <v>-6.3153650000000006E-2</v>
      </c>
      <c r="BY8" s="10"/>
    </row>
    <row r="9" spans="1:77" x14ac:dyDescent="0.2">
      <c r="A9" s="45" t="s">
        <v>35</v>
      </c>
      <c r="B9" s="10">
        <v>107720</v>
      </c>
      <c r="C9" s="5">
        <v>0</v>
      </c>
      <c r="D9" s="5">
        <v>0</v>
      </c>
      <c r="E9" s="18">
        <v>113900</v>
      </c>
      <c r="F9" s="5">
        <v>0</v>
      </c>
      <c r="G9" s="5">
        <v>0</v>
      </c>
      <c r="H9" s="18">
        <v>117580</v>
      </c>
      <c r="I9" s="5">
        <v>0</v>
      </c>
      <c r="J9" s="16">
        <v>0</v>
      </c>
      <c r="K9" s="18">
        <v>121650</v>
      </c>
      <c r="L9" s="5">
        <v>0</v>
      </c>
      <c r="M9" s="5">
        <v>0</v>
      </c>
      <c r="N9" s="18">
        <v>126520</v>
      </c>
      <c r="O9" s="5">
        <v>0</v>
      </c>
      <c r="P9" s="5">
        <v>0</v>
      </c>
      <c r="Q9" s="18">
        <v>141660</v>
      </c>
      <c r="R9" s="5">
        <v>0</v>
      </c>
      <c r="S9" s="5">
        <v>0</v>
      </c>
      <c r="T9" s="18">
        <v>117240</v>
      </c>
      <c r="U9" s="5">
        <v>0</v>
      </c>
      <c r="V9" s="5">
        <v>0</v>
      </c>
      <c r="W9" s="18">
        <v>129740</v>
      </c>
      <c r="X9" s="5">
        <v>0</v>
      </c>
      <c r="Y9" s="5">
        <v>0</v>
      </c>
      <c r="Z9" s="18">
        <v>136150</v>
      </c>
      <c r="AA9" s="5">
        <v>0</v>
      </c>
      <c r="AB9" s="16">
        <v>0</v>
      </c>
      <c r="AC9" s="21" t="s">
        <v>35</v>
      </c>
      <c r="AD9" s="10">
        <v>134610</v>
      </c>
      <c r="AE9" s="5">
        <v>0</v>
      </c>
      <c r="AF9" s="16">
        <v>0</v>
      </c>
      <c r="AG9" s="10">
        <v>126530</v>
      </c>
      <c r="AH9" s="5">
        <v>0</v>
      </c>
      <c r="AI9" s="16">
        <v>0</v>
      </c>
      <c r="AJ9" s="10">
        <v>113870</v>
      </c>
      <c r="AK9" s="5">
        <v>0</v>
      </c>
      <c r="AL9" s="16">
        <v>0</v>
      </c>
      <c r="AM9" s="10">
        <v>107470</v>
      </c>
      <c r="AN9" s="5">
        <v>0</v>
      </c>
      <c r="AO9" s="16">
        <v>0</v>
      </c>
      <c r="AP9" s="10">
        <v>104350</v>
      </c>
      <c r="AQ9" s="5">
        <v>0</v>
      </c>
      <c r="AR9" s="16">
        <v>0</v>
      </c>
      <c r="AS9" s="10">
        <v>102070</v>
      </c>
      <c r="AT9" s="5">
        <v>0</v>
      </c>
      <c r="AU9" s="16">
        <v>0</v>
      </c>
      <c r="AV9" s="10">
        <v>109120</v>
      </c>
      <c r="AW9" s="5">
        <v>0</v>
      </c>
      <c r="AX9" s="16">
        <v>0</v>
      </c>
      <c r="AY9" s="10">
        <v>102220</v>
      </c>
      <c r="AZ9" s="5">
        <v>0</v>
      </c>
      <c r="BA9" s="16">
        <v>0</v>
      </c>
      <c r="BB9" s="25">
        <v>94210</v>
      </c>
      <c r="BC9" s="26">
        <v>0</v>
      </c>
      <c r="BD9" s="27">
        <v>0</v>
      </c>
      <c r="BE9" s="65" t="s">
        <v>36</v>
      </c>
      <c r="BF9" s="18">
        <v>309730</v>
      </c>
      <c r="BG9" s="5">
        <v>3.49</v>
      </c>
      <c r="BH9" s="16">
        <v>0.36685982</v>
      </c>
      <c r="BI9" s="10">
        <v>308450</v>
      </c>
      <c r="BJ9" s="5">
        <v>3.5</v>
      </c>
      <c r="BK9" s="16">
        <v>0.3635929</v>
      </c>
      <c r="BL9" s="18">
        <v>347310</v>
      </c>
      <c r="BM9" s="5">
        <v>3</v>
      </c>
      <c r="BN9" s="16">
        <v>0.31102609999999997</v>
      </c>
      <c r="BO9" s="18">
        <v>349990</v>
      </c>
      <c r="BP9" s="5">
        <v>3.19</v>
      </c>
      <c r="BQ9" s="16">
        <v>0.33390913999999999</v>
      </c>
      <c r="BR9" s="18">
        <v>349080</v>
      </c>
      <c r="BS9" s="5">
        <v>5.0999999999999996</v>
      </c>
      <c r="BT9" s="16">
        <v>0.53486418999999996</v>
      </c>
      <c r="BU9" s="18">
        <v>331010</v>
      </c>
      <c r="BV9" s="5">
        <v>5.46</v>
      </c>
      <c r="BW9" s="16">
        <v>0.57264756999999999</v>
      </c>
    </row>
    <row r="10" spans="1:77" x14ac:dyDescent="0.2">
      <c r="A10" s="21" t="s">
        <v>37</v>
      </c>
      <c r="B10" s="10">
        <v>102510</v>
      </c>
      <c r="C10" s="5">
        <v>45.160237100000003</v>
      </c>
      <c r="D10" s="5">
        <v>6.3934705000000003</v>
      </c>
      <c r="E10" s="18">
        <v>105820</v>
      </c>
      <c r="F10" s="5">
        <v>47.8695576</v>
      </c>
      <c r="G10" s="5">
        <v>6.1796477999999997</v>
      </c>
      <c r="H10" s="18">
        <v>107160</v>
      </c>
      <c r="I10" s="5">
        <v>49.6</v>
      </c>
      <c r="J10" s="16">
        <v>6.5</v>
      </c>
      <c r="K10" s="18">
        <v>101730</v>
      </c>
      <c r="L10" s="5">
        <v>46.9</v>
      </c>
      <c r="M10" s="5">
        <v>6.2</v>
      </c>
      <c r="N10" s="18">
        <v>109680</v>
      </c>
      <c r="O10" s="5">
        <v>49.9</v>
      </c>
      <c r="P10" s="5">
        <v>6.7</v>
      </c>
      <c r="Q10" s="18">
        <v>107530</v>
      </c>
      <c r="R10" s="5">
        <v>50.5</v>
      </c>
      <c r="S10" s="5">
        <v>6.7</v>
      </c>
      <c r="T10" s="18">
        <v>106050</v>
      </c>
      <c r="U10" s="5">
        <v>50.3</v>
      </c>
      <c r="V10" s="5">
        <v>6.4</v>
      </c>
      <c r="W10" s="18">
        <v>98580</v>
      </c>
      <c r="X10" s="5">
        <v>46.4</v>
      </c>
      <c r="Y10" s="5">
        <v>5.9</v>
      </c>
      <c r="Z10" s="18">
        <v>93160</v>
      </c>
      <c r="AA10" s="5">
        <v>44.9</v>
      </c>
      <c r="AB10" s="16">
        <v>5.0999999999999996</v>
      </c>
      <c r="AC10" s="21" t="s">
        <v>38</v>
      </c>
      <c r="AD10" s="10">
        <v>91280</v>
      </c>
      <c r="AE10" s="5">
        <v>44.9</v>
      </c>
      <c r="AF10" s="16">
        <v>4.7</v>
      </c>
      <c r="AG10" s="10">
        <v>83230</v>
      </c>
      <c r="AH10" s="5">
        <v>41.3</v>
      </c>
      <c r="AI10" s="16">
        <v>3.9</v>
      </c>
      <c r="AJ10" s="10">
        <v>83000</v>
      </c>
      <c r="AK10" s="5">
        <v>40.4</v>
      </c>
      <c r="AL10" s="16">
        <v>3.5</v>
      </c>
      <c r="AM10" s="10">
        <v>81400</v>
      </c>
      <c r="AN10" s="5">
        <v>40.299999999999997</v>
      </c>
      <c r="AO10" s="16">
        <v>4.2</v>
      </c>
      <c r="AP10" s="10">
        <v>83060</v>
      </c>
      <c r="AQ10" s="5">
        <v>39.700000000000003</v>
      </c>
      <c r="AR10" s="16">
        <v>4.2</v>
      </c>
      <c r="AS10" s="10">
        <v>86290</v>
      </c>
      <c r="AT10" s="5">
        <v>41.7</v>
      </c>
      <c r="AU10" s="16">
        <v>4.4000000000000004</v>
      </c>
      <c r="AV10" s="10">
        <v>79110</v>
      </c>
      <c r="AW10" s="5">
        <v>38.299999999999997</v>
      </c>
      <c r="AX10" s="16">
        <v>4</v>
      </c>
      <c r="AY10" s="10">
        <v>77220</v>
      </c>
      <c r="AZ10" s="5">
        <v>37.9</v>
      </c>
      <c r="BA10" s="16">
        <v>4</v>
      </c>
      <c r="BB10" s="25">
        <v>80880</v>
      </c>
      <c r="BC10" s="26">
        <v>36.9</v>
      </c>
      <c r="BD10" s="27">
        <v>3.9</v>
      </c>
      <c r="BE10" s="65" t="s">
        <v>38</v>
      </c>
      <c r="BF10" s="18">
        <v>102990</v>
      </c>
      <c r="BG10" s="5">
        <v>47.75</v>
      </c>
      <c r="BH10" s="16">
        <v>5.01363103</v>
      </c>
      <c r="BI10" s="10">
        <v>102610</v>
      </c>
      <c r="BJ10" s="5">
        <v>47.2</v>
      </c>
      <c r="BK10" s="16">
        <v>4.9512400999999997</v>
      </c>
      <c r="BL10" s="18">
        <v>81270</v>
      </c>
      <c r="BM10" s="5">
        <v>38.5</v>
      </c>
      <c r="BN10" s="16">
        <v>4.0372742000000006</v>
      </c>
      <c r="BO10" s="18">
        <v>75040</v>
      </c>
      <c r="BP10" s="5">
        <v>34.729999999999997</v>
      </c>
      <c r="BQ10" s="16">
        <v>3.6437349300000004</v>
      </c>
      <c r="BR10" s="18">
        <v>112490</v>
      </c>
      <c r="BS10" s="5">
        <v>47.12</v>
      </c>
      <c r="BT10" s="16">
        <v>4.9453851599999998</v>
      </c>
      <c r="BU10" s="18">
        <v>136970</v>
      </c>
      <c r="BV10" s="5">
        <v>55.76</v>
      </c>
      <c r="BW10" s="16">
        <v>5.8526859299999998</v>
      </c>
    </row>
    <row r="11" spans="1:77" x14ac:dyDescent="0.2">
      <c r="A11" s="21" t="s">
        <v>39</v>
      </c>
      <c r="B11" s="10">
        <v>68850</v>
      </c>
      <c r="C11" s="5">
        <v>101.85903140000001</v>
      </c>
      <c r="D11" s="5">
        <v>14.966177999999999</v>
      </c>
      <c r="E11" s="18">
        <v>69870</v>
      </c>
      <c r="F11" s="5">
        <v>103.30362090000001</v>
      </c>
      <c r="G11" s="5">
        <v>13.797670699999999</v>
      </c>
      <c r="H11" s="18">
        <v>70000</v>
      </c>
      <c r="I11" s="5">
        <v>103.5</v>
      </c>
      <c r="J11" s="16">
        <v>14</v>
      </c>
      <c r="K11" s="18">
        <v>69610</v>
      </c>
      <c r="L11" s="5">
        <v>103.4</v>
      </c>
      <c r="M11" s="5">
        <v>13.9</v>
      </c>
      <c r="N11" s="18">
        <v>69510</v>
      </c>
      <c r="O11" s="5">
        <v>103</v>
      </c>
      <c r="P11" s="5">
        <v>14.1</v>
      </c>
      <c r="Q11" s="18">
        <v>74370</v>
      </c>
      <c r="R11" s="5">
        <v>111.2</v>
      </c>
      <c r="S11" s="5">
        <v>15</v>
      </c>
      <c r="T11" s="18">
        <v>72060</v>
      </c>
      <c r="U11" s="5">
        <v>106.7</v>
      </c>
      <c r="V11" s="5">
        <v>13.5</v>
      </c>
      <c r="W11" s="18">
        <v>66330</v>
      </c>
      <c r="X11" s="5">
        <v>99.5</v>
      </c>
      <c r="Y11" s="5">
        <v>12.2</v>
      </c>
      <c r="Z11" s="18">
        <v>64330</v>
      </c>
      <c r="AA11" s="5">
        <v>95.5</v>
      </c>
      <c r="AB11" s="16">
        <v>10.7</v>
      </c>
      <c r="AC11" s="21" t="s">
        <v>39</v>
      </c>
      <c r="AD11" s="10">
        <v>61820</v>
      </c>
      <c r="AE11" s="5">
        <v>92</v>
      </c>
      <c r="AF11" s="16">
        <v>9.6999999999999993</v>
      </c>
      <c r="AG11" s="10">
        <v>59530</v>
      </c>
      <c r="AH11" s="5">
        <v>88.8</v>
      </c>
      <c r="AI11" s="16">
        <v>8.4</v>
      </c>
      <c r="AJ11" s="10">
        <v>56010</v>
      </c>
      <c r="AK11" s="5">
        <v>83.1</v>
      </c>
      <c r="AL11" s="16">
        <v>7.3</v>
      </c>
      <c r="AM11" s="10">
        <v>55590</v>
      </c>
      <c r="AN11" s="5">
        <v>82.8</v>
      </c>
      <c r="AO11" s="16">
        <v>8.6999999999999993</v>
      </c>
      <c r="AP11" s="10">
        <v>58080</v>
      </c>
      <c r="AQ11" s="5">
        <v>86.5</v>
      </c>
      <c r="AR11" s="16">
        <v>9.1</v>
      </c>
      <c r="AS11" s="10">
        <v>52960</v>
      </c>
      <c r="AT11" s="5">
        <v>79.2</v>
      </c>
      <c r="AU11" s="16">
        <v>8.3000000000000007</v>
      </c>
      <c r="AV11" s="10">
        <v>53730</v>
      </c>
      <c r="AW11" s="5">
        <v>79.599999999999994</v>
      </c>
      <c r="AX11" s="16">
        <v>8.3000000000000007</v>
      </c>
      <c r="AY11" s="10">
        <v>52250</v>
      </c>
      <c r="AZ11" s="5">
        <v>77.599999999999994</v>
      </c>
      <c r="BA11" s="16">
        <v>8.1</v>
      </c>
      <c r="BB11" s="25">
        <v>52210</v>
      </c>
      <c r="BC11" s="26">
        <v>77.5</v>
      </c>
      <c r="BD11" s="27">
        <v>8.1</v>
      </c>
      <c r="BE11" s="65" t="s">
        <v>39</v>
      </c>
      <c r="BF11" s="18">
        <v>57430</v>
      </c>
      <c r="BG11" s="5">
        <v>84.5</v>
      </c>
      <c r="BH11" s="16">
        <v>8.8711286699999992</v>
      </c>
      <c r="BI11" s="10">
        <v>55250</v>
      </c>
      <c r="BJ11" s="5">
        <v>81.099999999999994</v>
      </c>
      <c r="BK11" s="16">
        <v>8.5106639000000008</v>
      </c>
      <c r="BL11" s="18">
        <v>43890</v>
      </c>
      <c r="BM11" s="5">
        <v>64.099999999999994</v>
      </c>
      <c r="BN11" s="16">
        <v>6.7293922000000004</v>
      </c>
      <c r="BO11" s="18">
        <v>41470</v>
      </c>
      <c r="BP11" s="5">
        <v>60.07</v>
      </c>
      <c r="BQ11" s="16">
        <v>6.3060877300000007</v>
      </c>
      <c r="BR11" s="18">
        <v>49700</v>
      </c>
      <c r="BS11" s="5">
        <v>72.19</v>
      </c>
      <c r="BT11" s="16">
        <v>7.5764594599999997</v>
      </c>
      <c r="BU11" s="18">
        <v>53720</v>
      </c>
      <c r="BV11" s="5">
        <v>77.709999999999994</v>
      </c>
      <c r="BW11" s="16">
        <v>8.1575698499999998</v>
      </c>
    </row>
    <row r="12" spans="1:77" x14ac:dyDescent="0.2">
      <c r="A12" s="21" t="s">
        <v>40</v>
      </c>
      <c r="B12" s="10">
        <v>57490</v>
      </c>
      <c r="C12" s="5">
        <v>143.6661857</v>
      </c>
      <c r="D12" s="5">
        <v>22.127759600000001</v>
      </c>
      <c r="E12" s="18">
        <v>59780</v>
      </c>
      <c r="F12" s="5">
        <v>149.8749569</v>
      </c>
      <c r="G12" s="5">
        <v>21.094348100000001</v>
      </c>
      <c r="H12" s="18">
        <v>60420</v>
      </c>
      <c r="I12" s="5">
        <v>149.69999999999999</v>
      </c>
      <c r="J12" s="16">
        <v>21.1</v>
      </c>
      <c r="K12" s="18">
        <v>60660</v>
      </c>
      <c r="L12" s="5">
        <v>150.9</v>
      </c>
      <c r="M12" s="5">
        <v>21.2</v>
      </c>
      <c r="N12" s="18">
        <v>59970</v>
      </c>
      <c r="O12" s="5">
        <v>148.80000000000001</v>
      </c>
      <c r="P12" s="5">
        <v>21</v>
      </c>
      <c r="Q12" s="18">
        <v>59960</v>
      </c>
      <c r="R12" s="5">
        <v>150.1</v>
      </c>
      <c r="S12" s="5">
        <v>21.1</v>
      </c>
      <c r="T12" s="18">
        <v>60320</v>
      </c>
      <c r="U12" s="5">
        <v>150</v>
      </c>
      <c r="V12" s="5">
        <v>19.100000000000001</v>
      </c>
      <c r="W12" s="18">
        <v>59780</v>
      </c>
      <c r="X12" s="5">
        <v>149.1</v>
      </c>
      <c r="Y12" s="5">
        <v>18</v>
      </c>
      <c r="Z12" s="18">
        <v>57670</v>
      </c>
      <c r="AA12" s="5">
        <v>143.80000000000001</v>
      </c>
      <c r="AB12" s="16">
        <v>16.2</v>
      </c>
      <c r="AC12" s="21" t="s">
        <v>40</v>
      </c>
      <c r="AD12" s="10">
        <v>54910</v>
      </c>
      <c r="AE12" s="5">
        <v>137.69999999999999</v>
      </c>
      <c r="AF12" s="16">
        <v>14.4</v>
      </c>
      <c r="AG12" s="10">
        <v>54910</v>
      </c>
      <c r="AH12" s="5">
        <v>136.30000000000001</v>
      </c>
      <c r="AI12" s="16">
        <v>13.2</v>
      </c>
      <c r="AJ12" s="10">
        <v>51330</v>
      </c>
      <c r="AK12" s="5">
        <v>128</v>
      </c>
      <c r="AL12" s="16">
        <v>11.5</v>
      </c>
      <c r="AM12" s="10">
        <v>44070</v>
      </c>
      <c r="AN12" s="5">
        <v>109.8</v>
      </c>
      <c r="AO12" s="16">
        <v>11.5</v>
      </c>
      <c r="AP12" s="10">
        <v>46360</v>
      </c>
      <c r="AQ12" s="5">
        <v>115.7</v>
      </c>
      <c r="AR12" s="16">
        <v>12.1</v>
      </c>
      <c r="AS12" s="10">
        <v>46240</v>
      </c>
      <c r="AT12" s="5">
        <v>115.8</v>
      </c>
      <c r="AU12" s="16">
        <v>12.1</v>
      </c>
      <c r="AV12" s="10">
        <v>46470</v>
      </c>
      <c r="AW12" s="5">
        <v>116</v>
      </c>
      <c r="AX12" s="16">
        <v>12.1</v>
      </c>
      <c r="AY12" s="10">
        <v>45470</v>
      </c>
      <c r="AZ12" s="5">
        <v>113.4</v>
      </c>
      <c r="BA12" s="16">
        <v>11.9</v>
      </c>
      <c r="BB12" s="25">
        <v>44700</v>
      </c>
      <c r="BC12" s="26">
        <v>111.7</v>
      </c>
      <c r="BD12" s="27">
        <v>11.7</v>
      </c>
      <c r="BE12" s="65" t="s">
        <v>40</v>
      </c>
      <c r="BF12" s="18">
        <v>45960</v>
      </c>
      <c r="BG12" s="5">
        <v>114.57</v>
      </c>
      <c r="BH12" s="16">
        <v>12.028461720000001</v>
      </c>
      <c r="BI12" s="10">
        <v>43690</v>
      </c>
      <c r="BJ12" s="5">
        <v>108.9</v>
      </c>
      <c r="BK12" s="16">
        <v>11.4332136</v>
      </c>
      <c r="BL12" s="18">
        <v>33430</v>
      </c>
      <c r="BM12" s="5">
        <v>83.1</v>
      </c>
      <c r="BN12" s="16">
        <v>8.7279938999999995</v>
      </c>
      <c r="BO12" s="18">
        <v>31820</v>
      </c>
      <c r="BP12" s="5">
        <v>78.98</v>
      </c>
      <c r="BQ12" s="16">
        <v>8.2903634699999991</v>
      </c>
      <c r="BR12" s="18">
        <v>37290</v>
      </c>
      <c r="BS12" s="5">
        <v>92.73</v>
      </c>
      <c r="BT12" s="16">
        <v>9.7348546500000008</v>
      </c>
      <c r="BU12" s="18">
        <v>38310</v>
      </c>
      <c r="BV12" s="5">
        <v>95</v>
      </c>
      <c r="BW12" s="16">
        <v>9.9725450599999999</v>
      </c>
    </row>
    <row r="13" spans="1:77" x14ac:dyDescent="0.2">
      <c r="A13" s="21" t="s">
        <v>41</v>
      </c>
      <c r="B13" s="10">
        <v>52640</v>
      </c>
      <c r="C13" s="5">
        <v>184.3341289</v>
      </c>
      <c r="D13" s="5">
        <v>28.515441500000001</v>
      </c>
      <c r="E13" s="18">
        <v>53650</v>
      </c>
      <c r="F13" s="5">
        <v>187.80131600000001</v>
      </c>
      <c r="G13" s="5">
        <v>26.691089399999999</v>
      </c>
      <c r="H13" s="18">
        <v>53060</v>
      </c>
      <c r="I13" s="5">
        <v>185.5</v>
      </c>
      <c r="J13" s="16">
        <v>26.5</v>
      </c>
      <c r="K13" s="18">
        <v>55380</v>
      </c>
      <c r="L13" s="5">
        <v>193.9</v>
      </c>
      <c r="M13" s="5">
        <v>27.5</v>
      </c>
      <c r="N13" s="18">
        <v>55960</v>
      </c>
      <c r="O13" s="5">
        <v>195.1</v>
      </c>
      <c r="P13" s="5">
        <v>28.1</v>
      </c>
      <c r="Q13" s="18">
        <v>53200</v>
      </c>
      <c r="R13" s="5">
        <v>186</v>
      </c>
      <c r="S13" s="5">
        <v>26.5</v>
      </c>
      <c r="T13" s="18">
        <v>55110</v>
      </c>
      <c r="U13" s="5">
        <v>192.8</v>
      </c>
      <c r="V13" s="5">
        <v>25.9</v>
      </c>
      <c r="W13" s="18">
        <v>53130</v>
      </c>
      <c r="X13" s="5">
        <v>185.7</v>
      </c>
      <c r="Y13" s="5">
        <v>23.9</v>
      </c>
      <c r="Z13" s="18">
        <v>51490</v>
      </c>
      <c r="AA13" s="5">
        <v>179.6</v>
      </c>
      <c r="AB13" s="16">
        <v>21.5</v>
      </c>
      <c r="AC13" s="21" t="s">
        <v>41</v>
      </c>
      <c r="AD13" s="10">
        <v>47800</v>
      </c>
      <c r="AE13" s="5">
        <v>167</v>
      </c>
      <c r="AF13" s="16">
        <v>18.3</v>
      </c>
      <c r="AG13" s="10">
        <v>46550</v>
      </c>
      <c r="AH13" s="5">
        <v>162.4</v>
      </c>
      <c r="AI13" s="16">
        <v>16.5</v>
      </c>
      <c r="AJ13" s="10">
        <v>43440</v>
      </c>
      <c r="AK13" s="5">
        <v>151.6</v>
      </c>
      <c r="AL13" s="16">
        <v>14</v>
      </c>
      <c r="AM13" s="10">
        <v>44770</v>
      </c>
      <c r="AN13" s="5">
        <v>156.6</v>
      </c>
      <c r="AO13" s="16">
        <v>16.399999999999999</v>
      </c>
      <c r="AP13" s="10">
        <v>42390</v>
      </c>
      <c r="AQ13" s="5">
        <v>148.4</v>
      </c>
      <c r="AR13" s="16">
        <v>15.6</v>
      </c>
      <c r="AS13" s="10">
        <v>45950</v>
      </c>
      <c r="AT13" s="5">
        <v>160.5</v>
      </c>
      <c r="AU13" s="16">
        <v>16.8</v>
      </c>
      <c r="AV13" s="10">
        <v>42760</v>
      </c>
      <c r="AW13" s="5">
        <v>149.6</v>
      </c>
      <c r="AX13" s="16">
        <v>15.6</v>
      </c>
      <c r="AY13" s="10">
        <v>41930</v>
      </c>
      <c r="AZ13" s="5">
        <v>146.5</v>
      </c>
      <c r="BA13" s="16">
        <v>15.3</v>
      </c>
      <c r="BB13" s="25">
        <v>41580</v>
      </c>
      <c r="BC13" s="26">
        <v>145.30000000000001</v>
      </c>
      <c r="BD13" s="27">
        <v>15.3</v>
      </c>
      <c r="BE13" s="65" t="s">
        <v>41</v>
      </c>
      <c r="BF13" s="18">
        <v>41970</v>
      </c>
      <c r="BG13" s="5">
        <v>146.78</v>
      </c>
      <c r="BH13" s="16">
        <v>15.408356699999999</v>
      </c>
      <c r="BI13" s="10">
        <v>40070</v>
      </c>
      <c r="BJ13" s="5">
        <v>140.1</v>
      </c>
      <c r="BK13" s="16">
        <v>14.7084191</v>
      </c>
      <c r="BL13" s="18">
        <v>29990</v>
      </c>
      <c r="BM13" s="5">
        <v>104.9</v>
      </c>
      <c r="BN13" s="16">
        <v>11.0113161</v>
      </c>
      <c r="BO13" s="18">
        <v>28280</v>
      </c>
      <c r="BP13" s="5">
        <v>98.87</v>
      </c>
      <c r="BQ13" s="16">
        <v>10.377414099999999</v>
      </c>
      <c r="BR13" s="18">
        <v>31960</v>
      </c>
      <c r="BS13" s="5">
        <v>111.58</v>
      </c>
      <c r="BT13" s="16">
        <v>11.71420591</v>
      </c>
      <c r="BU13" s="18">
        <v>33200</v>
      </c>
      <c r="BV13" s="5">
        <v>115.89</v>
      </c>
      <c r="BW13" s="16">
        <v>12.16565151</v>
      </c>
      <c r="BX13" s="2" t="s">
        <v>312</v>
      </c>
    </row>
    <row r="14" spans="1:77" x14ac:dyDescent="0.2">
      <c r="A14" s="21" t="s">
        <v>42</v>
      </c>
      <c r="B14" s="10">
        <v>55290</v>
      </c>
      <c r="C14" s="5">
        <v>249.72584800000001</v>
      </c>
      <c r="D14" s="5">
        <v>38.966654200000001</v>
      </c>
      <c r="E14" s="18">
        <v>53540</v>
      </c>
      <c r="F14" s="5">
        <v>240.35029539999999</v>
      </c>
      <c r="G14" s="5">
        <v>34.445101899999997</v>
      </c>
      <c r="H14" s="18">
        <v>49660</v>
      </c>
      <c r="I14" s="5">
        <v>223.9</v>
      </c>
      <c r="J14" s="16">
        <v>32.299999999999997</v>
      </c>
      <c r="K14" s="18">
        <v>52620</v>
      </c>
      <c r="L14" s="5">
        <v>236.6</v>
      </c>
      <c r="M14" s="5">
        <v>34.200000000000003</v>
      </c>
      <c r="N14" s="18">
        <v>53320</v>
      </c>
      <c r="O14" s="5">
        <v>239.9</v>
      </c>
      <c r="P14" s="5">
        <v>34.4</v>
      </c>
      <c r="Q14" s="18">
        <v>51640</v>
      </c>
      <c r="R14" s="5">
        <v>233.4</v>
      </c>
      <c r="S14" s="5">
        <v>33.6</v>
      </c>
      <c r="T14" s="18">
        <v>50710</v>
      </c>
      <c r="U14" s="5">
        <v>228.1</v>
      </c>
      <c r="V14" s="5">
        <v>31.4</v>
      </c>
      <c r="W14" s="18">
        <v>52330</v>
      </c>
      <c r="X14" s="5">
        <v>235.5</v>
      </c>
      <c r="Y14" s="5">
        <v>31.6</v>
      </c>
      <c r="Z14" s="18">
        <v>48490</v>
      </c>
      <c r="AA14" s="5">
        <v>218.1</v>
      </c>
      <c r="AB14" s="16">
        <v>27</v>
      </c>
      <c r="AC14" s="21" t="s">
        <v>42</v>
      </c>
      <c r="AD14" s="10">
        <v>47940</v>
      </c>
      <c r="AE14" s="5">
        <v>216.7</v>
      </c>
      <c r="AF14" s="16">
        <v>24.5</v>
      </c>
      <c r="AG14" s="10">
        <v>45080</v>
      </c>
      <c r="AH14" s="5">
        <v>203.1</v>
      </c>
      <c r="AI14" s="16">
        <v>21.3</v>
      </c>
      <c r="AJ14" s="10">
        <v>43150</v>
      </c>
      <c r="AK14" s="5">
        <v>194.1</v>
      </c>
      <c r="AL14" s="16">
        <v>18.399999999999999</v>
      </c>
      <c r="AM14" s="10">
        <v>40720</v>
      </c>
      <c r="AN14" s="5">
        <v>183.3</v>
      </c>
      <c r="AO14" s="16">
        <v>19.2</v>
      </c>
      <c r="AP14" s="10">
        <v>39930</v>
      </c>
      <c r="AQ14" s="5">
        <v>179.9</v>
      </c>
      <c r="AR14" s="16">
        <v>18.899999999999999</v>
      </c>
      <c r="AS14" s="10">
        <v>43770</v>
      </c>
      <c r="AT14" s="5">
        <v>197</v>
      </c>
      <c r="AU14" s="16">
        <v>20.7</v>
      </c>
      <c r="AV14" s="10">
        <v>39990</v>
      </c>
      <c r="AW14" s="5">
        <v>180.2</v>
      </c>
      <c r="AX14" s="16">
        <v>18.8</v>
      </c>
      <c r="AY14" s="10">
        <v>39370</v>
      </c>
      <c r="AZ14" s="5">
        <v>177.3</v>
      </c>
      <c r="BA14" s="16">
        <v>18.5</v>
      </c>
      <c r="BB14" s="25">
        <v>39370</v>
      </c>
      <c r="BC14" s="26">
        <v>177.1</v>
      </c>
      <c r="BD14" s="27">
        <v>18.600000000000001</v>
      </c>
      <c r="BE14" s="65" t="s">
        <v>42</v>
      </c>
      <c r="BF14" s="18">
        <v>39490</v>
      </c>
      <c r="BG14" s="5">
        <v>177.66</v>
      </c>
      <c r="BH14" s="16">
        <v>18.652453949999998</v>
      </c>
      <c r="BI14" s="10">
        <v>37680</v>
      </c>
      <c r="BJ14" s="5">
        <v>169.5</v>
      </c>
      <c r="BK14" s="16">
        <v>17.795620700000001</v>
      </c>
      <c r="BL14" s="18">
        <v>28970</v>
      </c>
      <c r="BM14" s="5">
        <v>130.30000000000001</v>
      </c>
      <c r="BN14" s="16">
        <v>13.6820334</v>
      </c>
      <c r="BO14" s="18">
        <v>26770</v>
      </c>
      <c r="BP14" s="5">
        <v>120.41</v>
      </c>
      <c r="BQ14" s="16">
        <v>12.63909928</v>
      </c>
      <c r="BR14" s="18">
        <v>30670</v>
      </c>
      <c r="BS14" s="5">
        <v>137.96</v>
      </c>
      <c r="BT14" s="16">
        <v>14.48413457</v>
      </c>
      <c r="BU14" s="18">
        <v>30890</v>
      </c>
      <c r="BV14" s="5">
        <v>138.84</v>
      </c>
      <c r="BW14" s="16">
        <v>14.575736800000001</v>
      </c>
    </row>
    <row r="15" spans="1:77" x14ac:dyDescent="0.2">
      <c r="A15" s="21" t="s">
        <v>43</v>
      </c>
      <c r="B15" s="10">
        <v>49590</v>
      </c>
      <c r="C15" s="5">
        <v>273.07922400000001</v>
      </c>
      <c r="D15" s="5">
        <v>42.7273967</v>
      </c>
      <c r="E15" s="18">
        <v>55240</v>
      </c>
      <c r="F15" s="5">
        <v>302.61513170000001</v>
      </c>
      <c r="G15" s="5">
        <v>43.680847700000001</v>
      </c>
      <c r="H15" s="18">
        <v>48800</v>
      </c>
      <c r="I15" s="5">
        <v>269.2</v>
      </c>
      <c r="J15" s="16">
        <v>39</v>
      </c>
      <c r="K15" s="18">
        <v>50480</v>
      </c>
      <c r="L15" s="5">
        <v>277.39999999999998</v>
      </c>
      <c r="M15" s="5">
        <v>40.200000000000003</v>
      </c>
      <c r="N15" s="18">
        <v>50330</v>
      </c>
      <c r="O15" s="5">
        <v>276.3</v>
      </c>
      <c r="P15" s="5">
        <v>40.200000000000003</v>
      </c>
      <c r="Q15" s="18">
        <v>51870</v>
      </c>
      <c r="R15" s="5">
        <v>285</v>
      </c>
      <c r="S15" s="5">
        <v>41.6</v>
      </c>
      <c r="T15" s="18">
        <v>49970</v>
      </c>
      <c r="U15" s="5">
        <v>274.5</v>
      </c>
      <c r="V15" s="5">
        <v>39</v>
      </c>
      <c r="W15" s="18">
        <v>48080</v>
      </c>
      <c r="X15" s="5">
        <v>263.8</v>
      </c>
      <c r="Y15" s="5">
        <v>36.6</v>
      </c>
      <c r="Z15" s="18">
        <v>47450</v>
      </c>
      <c r="AA15" s="5">
        <v>261</v>
      </c>
      <c r="AB15" s="16">
        <v>33.1</v>
      </c>
      <c r="AC15" s="21" t="s">
        <v>43</v>
      </c>
      <c r="AD15" s="10">
        <v>49890</v>
      </c>
      <c r="AE15" s="5">
        <v>274.7</v>
      </c>
      <c r="AF15" s="16">
        <v>31.7</v>
      </c>
      <c r="AG15" s="10">
        <v>43100</v>
      </c>
      <c r="AH15" s="5">
        <v>237.5</v>
      </c>
      <c r="AI15" s="16">
        <v>24.9</v>
      </c>
      <c r="AJ15" s="10">
        <v>42090</v>
      </c>
      <c r="AK15" s="5">
        <v>231.3</v>
      </c>
      <c r="AL15" s="16">
        <v>22.3</v>
      </c>
      <c r="AM15" s="10">
        <v>42550</v>
      </c>
      <c r="AN15" s="5">
        <v>234</v>
      </c>
      <c r="AO15" s="16">
        <v>24.5</v>
      </c>
      <c r="AP15" s="10">
        <v>42470</v>
      </c>
      <c r="AQ15" s="5">
        <v>233.7</v>
      </c>
      <c r="AR15" s="16">
        <v>24.5</v>
      </c>
      <c r="AS15" s="10">
        <v>42170</v>
      </c>
      <c r="AT15" s="5">
        <v>232.3</v>
      </c>
      <c r="AU15" s="16">
        <v>24.4</v>
      </c>
      <c r="AV15" s="10">
        <v>40070</v>
      </c>
      <c r="AW15" s="5">
        <v>220.5</v>
      </c>
      <c r="AX15" s="16">
        <v>23.1</v>
      </c>
      <c r="AY15" s="10">
        <v>39780</v>
      </c>
      <c r="AZ15" s="5">
        <v>218.8</v>
      </c>
      <c r="BA15" s="16">
        <v>22.9</v>
      </c>
      <c r="BB15" s="25">
        <v>38750</v>
      </c>
      <c r="BC15" s="26">
        <v>213.1</v>
      </c>
      <c r="BD15" s="27">
        <v>22.4</v>
      </c>
      <c r="BE15" s="65" t="s">
        <v>43</v>
      </c>
      <c r="BF15" s="18">
        <v>38620</v>
      </c>
      <c r="BG15" s="5">
        <v>212.35</v>
      </c>
      <c r="BH15" s="16">
        <v>22.293126839999999</v>
      </c>
      <c r="BI15" s="10">
        <v>36180</v>
      </c>
      <c r="BJ15" s="5">
        <v>199</v>
      </c>
      <c r="BK15" s="16">
        <v>20.890538899999999</v>
      </c>
      <c r="BL15" s="18">
        <v>27250</v>
      </c>
      <c r="BM15" s="5">
        <v>150</v>
      </c>
      <c r="BN15" s="16">
        <v>15.7424912</v>
      </c>
      <c r="BO15" s="18">
        <v>25980</v>
      </c>
      <c r="BP15" s="5">
        <v>142.86000000000001</v>
      </c>
      <c r="BQ15" s="16">
        <v>14.997924250000001</v>
      </c>
      <c r="BR15" s="18">
        <v>29310</v>
      </c>
      <c r="BS15" s="5">
        <v>161.08000000000001</v>
      </c>
      <c r="BT15" s="16">
        <v>16.910683379999998</v>
      </c>
      <c r="BU15" s="18">
        <v>29510</v>
      </c>
      <c r="BV15" s="5">
        <v>162.21</v>
      </c>
      <c r="BW15" s="16">
        <v>17.029921949999999</v>
      </c>
    </row>
    <row r="16" spans="1:77" x14ac:dyDescent="0.2">
      <c r="A16" s="21" t="s">
        <v>44</v>
      </c>
      <c r="B16" s="10">
        <v>57110</v>
      </c>
      <c r="C16" s="5">
        <v>370.8880034</v>
      </c>
      <c r="D16" s="5">
        <v>59.00967</v>
      </c>
      <c r="E16" s="18">
        <v>50990</v>
      </c>
      <c r="F16" s="5">
        <v>331.80310310000004</v>
      </c>
      <c r="G16" s="5">
        <v>48.616556600000003</v>
      </c>
      <c r="H16" s="18">
        <v>51510</v>
      </c>
      <c r="I16" s="5">
        <v>334.7</v>
      </c>
      <c r="J16" s="16">
        <v>48.9</v>
      </c>
      <c r="K16" s="18">
        <v>48990</v>
      </c>
      <c r="L16" s="5">
        <v>318.39999999999998</v>
      </c>
      <c r="M16" s="5">
        <v>46.7</v>
      </c>
      <c r="N16" s="18">
        <v>48840</v>
      </c>
      <c r="O16" s="5">
        <v>317.39999999999998</v>
      </c>
      <c r="P16" s="5">
        <v>46.6</v>
      </c>
      <c r="Q16" s="18">
        <v>50020</v>
      </c>
      <c r="R16" s="5">
        <v>324.7</v>
      </c>
      <c r="S16" s="5">
        <v>47.7</v>
      </c>
      <c r="T16" s="18">
        <v>52470</v>
      </c>
      <c r="U16" s="5">
        <v>341.2</v>
      </c>
      <c r="V16" s="5">
        <v>48.9</v>
      </c>
      <c r="W16" s="18">
        <v>49720</v>
      </c>
      <c r="X16" s="5">
        <v>324.3</v>
      </c>
      <c r="Y16" s="5">
        <v>46.1</v>
      </c>
      <c r="Z16" s="18">
        <v>49760</v>
      </c>
      <c r="AA16" s="5">
        <v>323.7</v>
      </c>
      <c r="AB16" s="16">
        <v>41.2</v>
      </c>
      <c r="AC16" s="21" t="s">
        <v>44</v>
      </c>
      <c r="AD16" s="10">
        <v>43190</v>
      </c>
      <c r="AE16" s="5">
        <v>280.5</v>
      </c>
      <c r="AF16" s="16">
        <v>32.700000000000003</v>
      </c>
      <c r="AG16" s="10">
        <v>46050</v>
      </c>
      <c r="AH16" s="5">
        <v>299.39999999999998</v>
      </c>
      <c r="AI16" s="16">
        <v>32.200000000000003</v>
      </c>
      <c r="AJ16" s="10">
        <v>42800</v>
      </c>
      <c r="AK16" s="5">
        <v>278.7</v>
      </c>
      <c r="AL16" s="16">
        <v>27.4</v>
      </c>
      <c r="AM16" s="10">
        <v>42290</v>
      </c>
      <c r="AN16" s="5">
        <v>274.89999999999998</v>
      </c>
      <c r="AO16" s="16">
        <v>28.8</v>
      </c>
      <c r="AP16" s="10">
        <v>42340</v>
      </c>
      <c r="AQ16" s="5">
        <v>275.39999999999998</v>
      </c>
      <c r="AR16" s="16">
        <v>28.9</v>
      </c>
      <c r="AS16" s="10">
        <v>40980</v>
      </c>
      <c r="AT16" s="5">
        <v>266.5</v>
      </c>
      <c r="AU16" s="16">
        <v>28</v>
      </c>
      <c r="AV16" s="10">
        <v>39590</v>
      </c>
      <c r="AW16" s="5">
        <v>257.2</v>
      </c>
      <c r="AX16" s="16">
        <v>26.9</v>
      </c>
      <c r="AY16" s="10">
        <v>38960</v>
      </c>
      <c r="AZ16" s="5">
        <v>253.3</v>
      </c>
      <c r="BA16" s="16">
        <v>26.5</v>
      </c>
      <c r="BB16" s="25">
        <v>38240</v>
      </c>
      <c r="BC16" s="26">
        <v>248.5</v>
      </c>
      <c r="BD16" s="27">
        <v>26.1</v>
      </c>
      <c r="BE16" s="65" t="s">
        <v>44</v>
      </c>
      <c r="BF16" s="18">
        <v>37150</v>
      </c>
      <c r="BG16" s="5">
        <v>241.49</v>
      </c>
      <c r="BH16" s="16">
        <v>25.35478457</v>
      </c>
      <c r="BI16" s="10">
        <v>35560</v>
      </c>
      <c r="BJ16" s="5">
        <v>231.3</v>
      </c>
      <c r="BK16" s="16">
        <v>24.2802072</v>
      </c>
      <c r="BL16" s="18">
        <v>27420</v>
      </c>
      <c r="BM16" s="5">
        <v>178.3</v>
      </c>
      <c r="BN16" s="16">
        <v>18.7134979</v>
      </c>
      <c r="BO16" s="18">
        <v>25180</v>
      </c>
      <c r="BP16" s="5">
        <v>163.57</v>
      </c>
      <c r="BQ16" s="16">
        <v>17.172278510000002</v>
      </c>
      <c r="BR16" s="18">
        <v>28580</v>
      </c>
      <c r="BS16" s="5">
        <v>185.82</v>
      </c>
      <c r="BT16" s="16">
        <v>19.5065797</v>
      </c>
      <c r="BU16" s="18">
        <v>28180</v>
      </c>
      <c r="BV16" s="5">
        <v>183.06</v>
      </c>
      <c r="BW16" s="16">
        <v>19.219653640000001</v>
      </c>
    </row>
    <row r="17" spans="1:76" x14ac:dyDescent="0.2">
      <c r="A17" s="21" t="s">
        <v>45</v>
      </c>
      <c r="B17" s="10">
        <v>76280</v>
      </c>
      <c r="C17" s="5">
        <v>574.54051079999999</v>
      </c>
      <c r="D17" s="5">
        <v>91.807551099999998</v>
      </c>
      <c r="E17" s="18">
        <v>69400</v>
      </c>
      <c r="F17" s="5">
        <v>526.8952736</v>
      </c>
      <c r="G17" s="5">
        <v>78.340761700000002</v>
      </c>
      <c r="H17" s="18">
        <v>55840</v>
      </c>
      <c r="I17" s="5">
        <v>420.3</v>
      </c>
      <c r="J17" s="16">
        <v>62.4</v>
      </c>
      <c r="K17" s="18">
        <v>49790</v>
      </c>
      <c r="L17" s="5">
        <v>373.3</v>
      </c>
      <c r="M17" s="5">
        <v>55.7</v>
      </c>
      <c r="N17" s="18">
        <v>51150</v>
      </c>
      <c r="O17" s="5">
        <v>384.1</v>
      </c>
      <c r="P17" s="5">
        <v>57.1</v>
      </c>
      <c r="Q17" s="18">
        <v>50990</v>
      </c>
      <c r="R17" s="5">
        <v>382.6</v>
      </c>
      <c r="S17" s="5">
        <v>56.8</v>
      </c>
      <c r="T17" s="18">
        <v>49400</v>
      </c>
      <c r="U17" s="5">
        <v>370.3</v>
      </c>
      <c r="V17" s="5">
        <v>54.2</v>
      </c>
      <c r="W17" s="18">
        <v>45150</v>
      </c>
      <c r="X17" s="5">
        <v>338.3</v>
      </c>
      <c r="Y17" s="5">
        <v>49.1</v>
      </c>
      <c r="Z17" s="18">
        <v>46350</v>
      </c>
      <c r="AA17" s="5">
        <v>348</v>
      </c>
      <c r="AB17" s="16">
        <v>45.4</v>
      </c>
      <c r="AC17" s="21" t="s">
        <v>45</v>
      </c>
      <c r="AD17" s="10">
        <v>46970</v>
      </c>
      <c r="AE17" s="5">
        <v>352.8</v>
      </c>
      <c r="AF17" s="16">
        <v>42</v>
      </c>
      <c r="AG17" s="10">
        <v>45640</v>
      </c>
      <c r="AH17" s="5">
        <v>343.1</v>
      </c>
      <c r="AI17" s="16">
        <v>37.6</v>
      </c>
      <c r="AJ17" s="10">
        <v>46440</v>
      </c>
      <c r="AK17" s="5">
        <v>349</v>
      </c>
      <c r="AL17" s="16">
        <v>35.1</v>
      </c>
      <c r="AM17" s="10">
        <v>42430</v>
      </c>
      <c r="AN17" s="5">
        <v>317.8</v>
      </c>
      <c r="AO17" s="16">
        <v>33.299999999999997</v>
      </c>
      <c r="AP17" s="10">
        <v>42630</v>
      </c>
      <c r="AQ17" s="5">
        <v>319.60000000000002</v>
      </c>
      <c r="AR17" s="16">
        <v>33.5</v>
      </c>
      <c r="AS17" s="10">
        <v>42610</v>
      </c>
      <c r="AT17" s="5">
        <v>319.39999999999998</v>
      </c>
      <c r="AU17" s="16">
        <v>33.5</v>
      </c>
      <c r="AV17" s="10">
        <v>40700</v>
      </c>
      <c r="AW17" s="5">
        <v>305.3</v>
      </c>
      <c r="AX17" s="16">
        <v>31.9</v>
      </c>
      <c r="AY17" s="10">
        <v>39620</v>
      </c>
      <c r="AZ17" s="5">
        <v>297.2</v>
      </c>
      <c r="BA17" s="16">
        <v>31.1</v>
      </c>
      <c r="BB17" s="25">
        <v>38260</v>
      </c>
      <c r="BC17" s="26">
        <v>287</v>
      </c>
      <c r="BD17" s="27">
        <v>30.1</v>
      </c>
      <c r="BE17" s="65" t="s">
        <v>45</v>
      </c>
      <c r="BF17" s="18">
        <v>37170</v>
      </c>
      <c r="BG17" s="5">
        <v>278.89</v>
      </c>
      <c r="BH17" s="16">
        <v>29.280584730000001</v>
      </c>
      <c r="BI17" s="10">
        <v>35600</v>
      </c>
      <c r="BJ17" s="5">
        <v>267</v>
      </c>
      <c r="BK17" s="16">
        <v>28.033022300000003</v>
      </c>
      <c r="BL17" s="18">
        <v>29550</v>
      </c>
      <c r="BM17" s="5">
        <v>220.8</v>
      </c>
      <c r="BN17" s="16">
        <v>23.182578800000002</v>
      </c>
      <c r="BO17" s="18">
        <v>25260</v>
      </c>
      <c r="BP17" s="5">
        <v>189.37</v>
      </c>
      <c r="BQ17" s="16">
        <v>19.88062725</v>
      </c>
      <c r="BR17" s="18">
        <v>27550</v>
      </c>
      <c r="BS17" s="5">
        <v>206.76</v>
      </c>
      <c r="BT17" s="16">
        <v>21.70656687</v>
      </c>
      <c r="BU17" s="18">
        <v>27930</v>
      </c>
      <c r="BV17" s="5">
        <v>209.48</v>
      </c>
      <c r="BW17" s="16">
        <v>21.99284557</v>
      </c>
    </row>
    <row r="18" spans="1:76" x14ac:dyDescent="0.2">
      <c r="A18" s="21" t="s">
        <v>46</v>
      </c>
      <c r="B18" s="10">
        <v>76880</v>
      </c>
      <c r="C18" s="5">
        <v>649.77809020000007</v>
      </c>
      <c r="D18" s="5">
        <v>105.268507</v>
      </c>
      <c r="E18" s="18">
        <v>66770</v>
      </c>
      <c r="F18" s="5">
        <v>566.09662660000004</v>
      </c>
      <c r="G18" s="5">
        <v>84.567336900000001</v>
      </c>
      <c r="H18" s="18">
        <v>74850</v>
      </c>
      <c r="I18" s="5">
        <v>631.9</v>
      </c>
      <c r="J18" s="16">
        <v>94.7</v>
      </c>
      <c r="K18" s="18">
        <v>75090</v>
      </c>
      <c r="L18" s="5">
        <v>638.6</v>
      </c>
      <c r="M18" s="5">
        <v>95.7</v>
      </c>
      <c r="N18" s="18">
        <v>67390</v>
      </c>
      <c r="O18" s="5">
        <v>573.29999999999995</v>
      </c>
      <c r="P18" s="5">
        <v>86</v>
      </c>
      <c r="Q18" s="18">
        <v>64890</v>
      </c>
      <c r="R18" s="5">
        <v>553.20000000000005</v>
      </c>
      <c r="S18" s="5">
        <v>82.8</v>
      </c>
      <c r="T18" s="18">
        <v>63810</v>
      </c>
      <c r="U18" s="5">
        <v>547.6</v>
      </c>
      <c r="V18" s="5">
        <v>81.400000000000006</v>
      </c>
      <c r="W18" s="18">
        <v>49880</v>
      </c>
      <c r="X18" s="5">
        <v>424.6</v>
      </c>
      <c r="Y18" s="5">
        <v>62.2</v>
      </c>
      <c r="Z18" s="18">
        <v>46660</v>
      </c>
      <c r="AA18" s="5">
        <v>396.7</v>
      </c>
      <c r="AB18" s="16">
        <v>52.8</v>
      </c>
      <c r="AC18" s="21" t="s">
        <v>46</v>
      </c>
      <c r="AD18" s="10">
        <v>49630</v>
      </c>
      <c r="AE18" s="5">
        <v>422.2</v>
      </c>
      <c r="AF18" s="16">
        <v>51.2</v>
      </c>
      <c r="AG18" s="10">
        <v>46440</v>
      </c>
      <c r="AH18" s="5">
        <v>394.6</v>
      </c>
      <c r="AI18" s="16">
        <v>44</v>
      </c>
      <c r="AJ18" s="10">
        <v>44930</v>
      </c>
      <c r="AK18" s="5">
        <v>382.4</v>
      </c>
      <c r="AL18" s="16">
        <v>39.1</v>
      </c>
      <c r="AM18" s="10">
        <v>43490</v>
      </c>
      <c r="AN18" s="5">
        <v>370.2</v>
      </c>
      <c r="AO18" s="16">
        <v>38.799999999999997</v>
      </c>
      <c r="AP18" s="10">
        <v>42460</v>
      </c>
      <c r="AQ18" s="5">
        <v>361.3</v>
      </c>
      <c r="AR18" s="16">
        <v>37.9</v>
      </c>
      <c r="AS18" s="10">
        <v>41800</v>
      </c>
      <c r="AT18" s="5">
        <v>355</v>
      </c>
      <c r="AU18" s="16">
        <v>37.200000000000003</v>
      </c>
      <c r="AV18" s="10">
        <v>40940</v>
      </c>
      <c r="AW18" s="5">
        <v>348.1</v>
      </c>
      <c r="AX18" s="16">
        <v>36.5</v>
      </c>
      <c r="AY18" s="10">
        <v>40090</v>
      </c>
      <c r="AZ18" s="5">
        <v>340.9</v>
      </c>
      <c r="BA18" s="16">
        <v>35.700000000000003</v>
      </c>
      <c r="BB18" s="25">
        <v>39290</v>
      </c>
      <c r="BC18" s="26">
        <v>333.9</v>
      </c>
      <c r="BD18" s="27">
        <v>35.1</v>
      </c>
      <c r="BE18" s="65" t="s">
        <v>46</v>
      </c>
      <c r="BF18" s="18">
        <v>38210</v>
      </c>
      <c r="BG18" s="5">
        <v>324.72000000000003</v>
      </c>
      <c r="BH18" s="16">
        <v>34.089691649999999</v>
      </c>
      <c r="BI18" s="10">
        <v>36590</v>
      </c>
      <c r="BJ18" s="5">
        <v>311.10000000000002</v>
      </c>
      <c r="BK18" s="16">
        <v>32.656408399999997</v>
      </c>
      <c r="BL18" s="18">
        <v>28340</v>
      </c>
      <c r="BM18" s="5">
        <v>240.9</v>
      </c>
      <c r="BN18" s="16">
        <v>25.288163000000001</v>
      </c>
      <c r="BO18" s="18">
        <v>26260</v>
      </c>
      <c r="BP18" s="5">
        <v>223.09</v>
      </c>
      <c r="BQ18" s="16">
        <v>23.42214229</v>
      </c>
      <c r="BR18" s="18">
        <v>27480</v>
      </c>
      <c r="BS18" s="5">
        <v>233.68</v>
      </c>
      <c r="BT18" s="16">
        <v>24.533874579999999</v>
      </c>
      <c r="BU18" s="18">
        <v>27310</v>
      </c>
      <c r="BV18" s="5">
        <v>232.06</v>
      </c>
      <c r="BW18" s="16">
        <v>24.365141850000001</v>
      </c>
      <c r="BX18" s="2" t="s">
        <v>312</v>
      </c>
    </row>
    <row r="19" spans="1:76" x14ac:dyDescent="0.2">
      <c r="A19" s="21" t="s">
        <v>47</v>
      </c>
      <c r="B19" s="10">
        <v>115370</v>
      </c>
      <c r="C19" s="5">
        <v>1085.0338839999999</v>
      </c>
      <c r="D19" s="5">
        <v>173.02152530000001</v>
      </c>
      <c r="E19" s="18">
        <v>110070</v>
      </c>
      <c r="F19" s="5">
        <v>1050.2657001</v>
      </c>
      <c r="G19" s="5">
        <v>158.82419230000002</v>
      </c>
      <c r="H19" s="18">
        <v>91640</v>
      </c>
      <c r="I19" s="5">
        <v>875</v>
      </c>
      <c r="J19" s="16">
        <v>132.4</v>
      </c>
      <c r="K19" s="18">
        <v>62970</v>
      </c>
      <c r="L19" s="5">
        <v>603.20000000000005</v>
      </c>
      <c r="M19" s="5">
        <v>91.6</v>
      </c>
      <c r="N19" s="18">
        <v>53560</v>
      </c>
      <c r="O19" s="5">
        <v>508.2</v>
      </c>
      <c r="P19" s="5">
        <v>77.099999999999994</v>
      </c>
      <c r="Q19" s="18">
        <v>50620</v>
      </c>
      <c r="R19" s="5">
        <v>481.1</v>
      </c>
      <c r="S19" s="5">
        <v>73</v>
      </c>
      <c r="T19" s="18">
        <v>48330</v>
      </c>
      <c r="U19" s="5">
        <v>458.6</v>
      </c>
      <c r="V19" s="5">
        <v>69.2</v>
      </c>
      <c r="W19" s="18">
        <v>58080</v>
      </c>
      <c r="X19" s="5">
        <v>547</v>
      </c>
      <c r="Y19" s="5">
        <v>81.900000000000006</v>
      </c>
      <c r="Z19" s="18">
        <v>57730</v>
      </c>
      <c r="AA19" s="5">
        <v>545.9</v>
      </c>
      <c r="AB19" s="16">
        <v>74.099999999999994</v>
      </c>
      <c r="AC19" s="21" t="s">
        <v>47</v>
      </c>
      <c r="AD19" s="10">
        <v>64320</v>
      </c>
      <c r="AE19" s="5">
        <v>610.4</v>
      </c>
      <c r="AF19" s="16">
        <v>75.3</v>
      </c>
      <c r="AG19" s="10">
        <v>65530</v>
      </c>
      <c r="AH19" s="5">
        <v>623.79999999999995</v>
      </c>
      <c r="AI19" s="16">
        <v>70.900000000000006</v>
      </c>
      <c r="AJ19" s="10">
        <v>61140</v>
      </c>
      <c r="AK19" s="5">
        <v>584.4</v>
      </c>
      <c r="AL19" s="16">
        <v>60.5</v>
      </c>
      <c r="AM19" s="10">
        <v>58490</v>
      </c>
      <c r="AN19" s="5">
        <v>561.6</v>
      </c>
      <c r="AO19" s="16">
        <v>58.9</v>
      </c>
      <c r="AP19" s="10">
        <v>54710</v>
      </c>
      <c r="AQ19" s="5">
        <v>525.9</v>
      </c>
      <c r="AR19" s="16">
        <v>55.2</v>
      </c>
      <c r="AS19" s="10">
        <v>42900</v>
      </c>
      <c r="AT19" s="5">
        <v>409</v>
      </c>
      <c r="AU19" s="16">
        <v>42.9</v>
      </c>
      <c r="AV19" s="10">
        <v>42200</v>
      </c>
      <c r="AW19" s="5">
        <v>401.5</v>
      </c>
      <c r="AX19" s="16">
        <v>42</v>
      </c>
      <c r="AY19" s="10">
        <v>42060</v>
      </c>
      <c r="AZ19" s="5">
        <v>400.2</v>
      </c>
      <c r="BA19" s="16">
        <v>41.9</v>
      </c>
      <c r="BB19" s="25">
        <v>40510</v>
      </c>
      <c r="BC19" s="26">
        <v>385.4</v>
      </c>
      <c r="BD19" s="27">
        <v>40.5</v>
      </c>
      <c r="BE19" s="65" t="s">
        <v>47</v>
      </c>
      <c r="BF19" s="18">
        <v>38630</v>
      </c>
      <c r="BG19" s="5">
        <v>367.32</v>
      </c>
      <c r="BH19" s="16">
        <v>38.56402842</v>
      </c>
      <c r="BI19" s="10">
        <v>37300</v>
      </c>
      <c r="BJ19" s="5">
        <v>354.7</v>
      </c>
      <c r="BK19" s="16">
        <v>37.234580999999999</v>
      </c>
      <c r="BL19" s="18">
        <v>28980</v>
      </c>
      <c r="BM19" s="5">
        <v>275.5</v>
      </c>
      <c r="BN19" s="16">
        <v>28.923556100000003</v>
      </c>
      <c r="BO19" s="18">
        <v>27380</v>
      </c>
      <c r="BP19" s="5">
        <v>260.25</v>
      </c>
      <c r="BQ19" s="16">
        <v>27.32131699</v>
      </c>
      <c r="BR19" s="18">
        <v>27540</v>
      </c>
      <c r="BS19" s="5">
        <v>261.83</v>
      </c>
      <c r="BT19" s="16">
        <v>27.490687309999998</v>
      </c>
      <c r="BU19" s="18">
        <v>27190</v>
      </c>
      <c r="BV19" s="5">
        <v>258.38</v>
      </c>
      <c r="BW19" s="16">
        <v>27.12548494</v>
      </c>
    </row>
    <row r="20" spans="1:76" x14ac:dyDescent="0.2">
      <c r="A20" s="21" t="s">
        <v>48</v>
      </c>
      <c r="B20" s="10">
        <v>191540</v>
      </c>
      <c r="C20" s="5">
        <v>2026.4014831</v>
      </c>
      <c r="D20" s="5">
        <v>322.55858789999996</v>
      </c>
      <c r="E20" s="18">
        <v>77860</v>
      </c>
      <c r="F20" s="5">
        <v>819.73444529999995</v>
      </c>
      <c r="G20" s="5">
        <v>128.48925919999999</v>
      </c>
      <c r="H20" s="18">
        <v>91020</v>
      </c>
      <c r="I20" s="5">
        <v>955.2</v>
      </c>
      <c r="J20" s="16">
        <v>149.30000000000001</v>
      </c>
      <c r="K20" s="18">
        <v>88570</v>
      </c>
      <c r="L20" s="5">
        <v>922.6</v>
      </c>
      <c r="M20" s="5">
        <v>143.80000000000001</v>
      </c>
      <c r="N20" s="18">
        <v>90880</v>
      </c>
      <c r="O20" s="5">
        <v>948.5</v>
      </c>
      <c r="P20" s="5">
        <v>147.9</v>
      </c>
      <c r="Q20" s="18">
        <v>87890</v>
      </c>
      <c r="R20" s="5">
        <v>924.2</v>
      </c>
      <c r="S20" s="5">
        <v>144.69999999999999</v>
      </c>
      <c r="T20" s="18">
        <v>72840</v>
      </c>
      <c r="U20" s="5">
        <v>769.5</v>
      </c>
      <c r="V20" s="5">
        <v>120.3</v>
      </c>
      <c r="W20" s="18">
        <v>49160</v>
      </c>
      <c r="X20" s="5">
        <v>517</v>
      </c>
      <c r="Y20" s="5">
        <v>80.5</v>
      </c>
      <c r="Z20" s="18">
        <v>46080</v>
      </c>
      <c r="AA20" s="5">
        <v>483.8</v>
      </c>
      <c r="AB20" s="16">
        <v>67.099999999999994</v>
      </c>
      <c r="AC20" s="21" t="s">
        <v>48</v>
      </c>
      <c r="AD20" s="10">
        <v>47930</v>
      </c>
      <c r="AE20" s="5">
        <v>503.7</v>
      </c>
      <c r="AF20" s="16">
        <v>62.3</v>
      </c>
      <c r="AG20" s="10">
        <v>49210</v>
      </c>
      <c r="AH20" s="5">
        <v>516.6</v>
      </c>
      <c r="AI20" s="16">
        <v>58.8</v>
      </c>
      <c r="AJ20" s="10">
        <v>45480</v>
      </c>
      <c r="AK20" s="5">
        <v>476.4</v>
      </c>
      <c r="AL20" s="16">
        <v>49.6</v>
      </c>
      <c r="AM20" s="10">
        <v>41640</v>
      </c>
      <c r="AN20" s="5">
        <v>437.2</v>
      </c>
      <c r="AO20" s="16">
        <v>45.9</v>
      </c>
      <c r="AP20" s="10">
        <v>41450</v>
      </c>
      <c r="AQ20" s="5">
        <v>435.3</v>
      </c>
      <c r="AR20" s="16">
        <v>45.7</v>
      </c>
      <c r="AS20" s="10">
        <v>55480</v>
      </c>
      <c r="AT20" s="5">
        <v>578.29999999999995</v>
      </c>
      <c r="AU20" s="16">
        <v>60.7</v>
      </c>
      <c r="AV20" s="10">
        <v>52370</v>
      </c>
      <c r="AW20" s="5">
        <v>547.29999999999995</v>
      </c>
      <c r="AX20" s="16">
        <v>57.3</v>
      </c>
      <c r="AY20" s="10">
        <v>52070</v>
      </c>
      <c r="AZ20" s="5">
        <v>545.6</v>
      </c>
      <c r="BA20" s="16">
        <v>57.1</v>
      </c>
      <c r="BB20" s="25">
        <v>47590</v>
      </c>
      <c r="BC20" s="26">
        <v>498.3</v>
      </c>
      <c r="BD20" s="27">
        <v>52.3</v>
      </c>
      <c r="BE20" s="65" t="s">
        <v>48</v>
      </c>
      <c r="BF20" s="18">
        <v>47240</v>
      </c>
      <c r="BG20" s="5">
        <v>495.42</v>
      </c>
      <c r="BH20" s="16">
        <v>52.014720770000004</v>
      </c>
      <c r="BI20" s="10">
        <v>45470</v>
      </c>
      <c r="BJ20" s="5">
        <v>478.6</v>
      </c>
      <c r="BK20" s="16">
        <v>50.246488399999997</v>
      </c>
      <c r="BL20" s="18">
        <v>30940</v>
      </c>
      <c r="BM20" s="5">
        <v>324.7</v>
      </c>
      <c r="BN20" s="16">
        <v>34.091876299999996</v>
      </c>
      <c r="BO20" s="18">
        <v>26900</v>
      </c>
      <c r="BP20" s="5">
        <v>282.27</v>
      </c>
      <c r="BQ20" s="16">
        <v>29.63041874</v>
      </c>
      <c r="BR20" s="18">
        <v>27850</v>
      </c>
      <c r="BS20" s="5">
        <v>292.45999999999998</v>
      </c>
      <c r="BT20" s="16">
        <v>30.704437640000002</v>
      </c>
      <c r="BU20" s="18">
        <v>27490</v>
      </c>
      <c r="BV20" s="5">
        <v>288.69</v>
      </c>
      <c r="BW20" s="16">
        <v>30.30639498</v>
      </c>
    </row>
    <row r="21" spans="1:76" x14ac:dyDescent="0.2">
      <c r="A21" s="21" t="s">
        <v>49</v>
      </c>
      <c r="B21" s="10">
        <v>101480</v>
      </c>
      <c r="C21" s="5">
        <v>1167.4416547000001</v>
      </c>
      <c r="D21" s="5">
        <v>194.93879030000002</v>
      </c>
      <c r="E21" s="18">
        <v>209640</v>
      </c>
      <c r="F21" s="5">
        <v>2385.1480128000003</v>
      </c>
      <c r="G21" s="5">
        <v>382.02012380000002</v>
      </c>
      <c r="H21" s="18">
        <v>183580</v>
      </c>
      <c r="I21" s="5">
        <v>2096.3000000000002</v>
      </c>
      <c r="J21" s="16">
        <v>336.2</v>
      </c>
      <c r="K21" s="18">
        <v>188070</v>
      </c>
      <c r="L21" s="5">
        <v>2178.8000000000002</v>
      </c>
      <c r="M21" s="5">
        <v>351</v>
      </c>
      <c r="N21" s="18">
        <v>184720</v>
      </c>
      <c r="O21" s="5">
        <v>2165.1</v>
      </c>
      <c r="P21" s="5">
        <v>350</v>
      </c>
      <c r="Q21" s="18">
        <v>69150</v>
      </c>
      <c r="R21" s="5">
        <v>797</v>
      </c>
      <c r="S21" s="5">
        <v>128.6</v>
      </c>
      <c r="T21" s="18">
        <v>66480</v>
      </c>
      <c r="U21" s="5">
        <v>760.9</v>
      </c>
      <c r="V21" s="5">
        <v>122.3</v>
      </c>
      <c r="W21" s="18">
        <v>79900</v>
      </c>
      <c r="X21" s="5">
        <v>910.8</v>
      </c>
      <c r="Y21" s="5">
        <v>145.80000000000001</v>
      </c>
      <c r="Z21" s="18">
        <v>78290</v>
      </c>
      <c r="AA21" s="5">
        <v>899.2</v>
      </c>
      <c r="AB21" s="16">
        <v>127.7</v>
      </c>
      <c r="AC21" s="21" t="s">
        <v>49</v>
      </c>
      <c r="AD21" s="10">
        <v>82460</v>
      </c>
      <c r="AE21" s="5">
        <v>948.2</v>
      </c>
      <c r="AF21" s="16">
        <v>118.1</v>
      </c>
      <c r="AG21" s="10">
        <v>87380</v>
      </c>
      <c r="AH21" s="5">
        <v>1007.9</v>
      </c>
      <c r="AI21" s="16">
        <v>115.4</v>
      </c>
      <c r="AJ21" s="10">
        <v>76750</v>
      </c>
      <c r="AK21" s="5">
        <v>888.9</v>
      </c>
      <c r="AL21" s="16">
        <v>92.9</v>
      </c>
      <c r="AM21" s="10">
        <v>72330</v>
      </c>
      <c r="AN21" s="5">
        <v>843</v>
      </c>
      <c r="AO21" s="16">
        <v>88.5</v>
      </c>
      <c r="AP21" s="10">
        <v>69820</v>
      </c>
      <c r="AQ21" s="5">
        <v>815.3</v>
      </c>
      <c r="AR21" s="16">
        <v>85.5</v>
      </c>
      <c r="AS21" s="10">
        <v>46660</v>
      </c>
      <c r="AT21" s="5">
        <v>537.9</v>
      </c>
      <c r="AU21" s="16">
        <v>56.4</v>
      </c>
      <c r="AV21" s="10">
        <v>42200</v>
      </c>
      <c r="AW21" s="5">
        <v>485.9</v>
      </c>
      <c r="AX21" s="16">
        <v>50.8</v>
      </c>
      <c r="AY21" s="10">
        <v>43550</v>
      </c>
      <c r="AZ21" s="5">
        <v>501.9</v>
      </c>
      <c r="BA21" s="16">
        <v>52.5</v>
      </c>
      <c r="BB21" s="25">
        <v>43390</v>
      </c>
      <c r="BC21" s="26">
        <v>498.1</v>
      </c>
      <c r="BD21" s="27">
        <v>52.3</v>
      </c>
      <c r="BE21" s="65" t="s">
        <v>49</v>
      </c>
      <c r="BF21" s="18">
        <v>43630</v>
      </c>
      <c r="BG21" s="5">
        <v>500.86</v>
      </c>
      <c r="BH21" s="16">
        <v>52.583509360000001</v>
      </c>
      <c r="BI21" s="10">
        <v>42920</v>
      </c>
      <c r="BJ21" s="5">
        <v>493.2</v>
      </c>
      <c r="BK21" s="16">
        <v>51.783537299999999</v>
      </c>
      <c r="BL21" s="18">
        <v>38530</v>
      </c>
      <c r="BM21" s="5">
        <v>444.9</v>
      </c>
      <c r="BN21" s="16">
        <v>46.711312200000002</v>
      </c>
      <c r="BO21" s="18">
        <v>27650</v>
      </c>
      <c r="BP21" s="5">
        <v>318.08999999999997</v>
      </c>
      <c r="BQ21" s="16">
        <v>33.395649829999996</v>
      </c>
      <c r="BR21" s="18">
        <v>27380</v>
      </c>
      <c r="BS21" s="5">
        <v>314.89999999999998</v>
      </c>
      <c r="BT21" s="16">
        <v>33.060519059999997</v>
      </c>
      <c r="BU21" s="18">
        <v>27530</v>
      </c>
      <c r="BV21" s="5">
        <v>316.75</v>
      </c>
      <c r="BW21" s="16">
        <v>33.253304630000002</v>
      </c>
    </row>
    <row r="22" spans="1:76" x14ac:dyDescent="0.2">
      <c r="A22" s="21" t="s">
        <v>50</v>
      </c>
      <c r="B22" s="10">
        <v>98200</v>
      </c>
      <c r="C22" s="5">
        <v>1244.9038111</v>
      </c>
      <c r="D22" s="5">
        <v>211.6305595</v>
      </c>
      <c r="E22" s="18">
        <v>66450</v>
      </c>
      <c r="F22" s="5">
        <v>830.10376079999992</v>
      </c>
      <c r="G22" s="5">
        <v>136.95760569999999</v>
      </c>
      <c r="H22" s="18">
        <v>93270</v>
      </c>
      <c r="I22" s="5">
        <v>1158.4000000000001</v>
      </c>
      <c r="J22" s="16">
        <v>190.6</v>
      </c>
      <c r="K22" s="18">
        <v>96990</v>
      </c>
      <c r="L22" s="5">
        <v>1217.9000000000001</v>
      </c>
      <c r="M22" s="5">
        <v>201.1</v>
      </c>
      <c r="N22" s="18">
        <v>88930</v>
      </c>
      <c r="O22" s="5">
        <v>1120.9000000000001</v>
      </c>
      <c r="P22" s="5">
        <v>185.2</v>
      </c>
      <c r="Q22" s="18">
        <v>168110</v>
      </c>
      <c r="R22" s="5">
        <v>2069.4</v>
      </c>
      <c r="S22" s="5">
        <v>339.3</v>
      </c>
      <c r="T22" s="18">
        <v>181340</v>
      </c>
      <c r="U22" s="5">
        <v>2275.8000000000002</v>
      </c>
      <c r="V22" s="5">
        <v>374.9</v>
      </c>
      <c r="W22" s="18">
        <v>64000</v>
      </c>
      <c r="X22" s="5">
        <v>802.3</v>
      </c>
      <c r="Y22" s="5">
        <v>132.30000000000001</v>
      </c>
      <c r="Z22" s="18">
        <v>47190</v>
      </c>
      <c r="AA22" s="5">
        <v>589.79999999999995</v>
      </c>
      <c r="AB22" s="16">
        <v>84.9</v>
      </c>
      <c r="AC22" s="21" t="s">
        <v>50</v>
      </c>
      <c r="AD22" s="10">
        <v>53060</v>
      </c>
      <c r="AE22" s="5">
        <v>661.2</v>
      </c>
      <c r="AF22" s="16">
        <v>82.1</v>
      </c>
      <c r="AG22" s="10">
        <v>50470</v>
      </c>
      <c r="AH22" s="5">
        <v>628.4</v>
      </c>
      <c r="AI22" s="16">
        <v>71.900000000000006</v>
      </c>
      <c r="AJ22" s="10">
        <v>58830</v>
      </c>
      <c r="AK22" s="5">
        <v>731</v>
      </c>
      <c r="AL22" s="16">
        <v>76.400000000000006</v>
      </c>
      <c r="AM22" s="10">
        <v>59080</v>
      </c>
      <c r="AN22" s="5">
        <v>737</v>
      </c>
      <c r="AO22" s="16">
        <v>77.3</v>
      </c>
      <c r="AP22" s="10">
        <v>55430</v>
      </c>
      <c r="AQ22" s="5">
        <v>692.3</v>
      </c>
      <c r="AR22" s="16">
        <v>72.599999999999994</v>
      </c>
      <c r="AS22" s="10">
        <v>79340</v>
      </c>
      <c r="AT22" s="5">
        <v>986.6</v>
      </c>
      <c r="AU22" s="16">
        <v>103.6</v>
      </c>
      <c r="AV22" s="10">
        <v>81070</v>
      </c>
      <c r="AW22" s="5">
        <v>1013.6</v>
      </c>
      <c r="AX22" s="16">
        <v>105.9</v>
      </c>
      <c r="AY22" s="10">
        <v>77170</v>
      </c>
      <c r="AZ22" s="5">
        <v>957.7</v>
      </c>
      <c r="BA22" s="16">
        <v>100.1</v>
      </c>
      <c r="BB22" s="25">
        <v>76980</v>
      </c>
      <c r="BC22" s="26">
        <v>959.7</v>
      </c>
      <c r="BD22" s="27">
        <v>100.8</v>
      </c>
      <c r="BE22" s="65" t="s">
        <v>50</v>
      </c>
      <c r="BF22" s="18">
        <v>72590</v>
      </c>
      <c r="BG22" s="5">
        <v>907.42</v>
      </c>
      <c r="BH22" s="16">
        <v>95.27511964</v>
      </c>
      <c r="BI22" s="10">
        <v>74500</v>
      </c>
      <c r="BJ22" s="5">
        <v>940.8</v>
      </c>
      <c r="BK22" s="16">
        <v>98.776560400000008</v>
      </c>
      <c r="BL22" s="18">
        <v>48500</v>
      </c>
      <c r="BM22" s="5">
        <v>606.1</v>
      </c>
      <c r="BN22" s="16">
        <v>63.634828299999995</v>
      </c>
      <c r="BO22" s="18">
        <v>31990</v>
      </c>
      <c r="BP22" s="5">
        <v>401.32</v>
      </c>
      <c r="BQ22" s="16">
        <v>42.131733579999995</v>
      </c>
      <c r="BR22" s="18">
        <v>28030</v>
      </c>
      <c r="BS22" s="5">
        <v>350.36</v>
      </c>
      <c r="BT22" s="16">
        <v>36.784285670000003</v>
      </c>
      <c r="BU22" s="18">
        <v>27860</v>
      </c>
      <c r="BV22" s="5">
        <v>348.44</v>
      </c>
      <c r="BW22" s="16">
        <v>36.579320969999998</v>
      </c>
    </row>
    <row r="23" spans="1:76" x14ac:dyDescent="0.2">
      <c r="A23" s="21" t="s">
        <v>51</v>
      </c>
      <c r="B23" s="10">
        <v>89950</v>
      </c>
      <c r="C23" s="5">
        <v>1209.6030460999998</v>
      </c>
      <c r="D23" s="5">
        <v>211.19651999999999</v>
      </c>
      <c r="E23" s="18">
        <v>119660</v>
      </c>
      <c r="F23" s="5">
        <v>1622.2108410000001</v>
      </c>
      <c r="G23" s="5">
        <v>272.76648739999996</v>
      </c>
      <c r="H23" s="18">
        <v>103410</v>
      </c>
      <c r="I23" s="5">
        <v>1407.3</v>
      </c>
      <c r="J23" s="16">
        <v>237</v>
      </c>
      <c r="K23" s="18">
        <v>64290</v>
      </c>
      <c r="L23" s="5">
        <v>866.5</v>
      </c>
      <c r="M23" s="5">
        <v>145.80000000000001</v>
      </c>
      <c r="N23" s="18">
        <v>72490</v>
      </c>
      <c r="O23" s="5">
        <v>974.4</v>
      </c>
      <c r="P23" s="5">
        <v>163.80000000000001</v>
      </c>
      <c r="Q23" s="18">
        <v>99040</v>
      </c>
      <c r="R23" s="5">
        <v>1323.3</v>
      </c>
      <c r="S23" s="5">
        <v>221.9</v>
      </c>
      <c r="T23" s="18">
        <v>97210</v>
      </c>
      <c r="U23" s="5">
        <v>1317.5</v>
      </c>
      <c r="V23" s="5">
        <v>221.5</v>
      </c>
      <c r="W23" s="18">
        <v>209160</v>
      </c>
      <c r="X23" s="5">
        <v>2815.6</v>
      </c>
      <c r="Y23" s="5">
        <v>472.3</v>
      </c>
      <c r="Z23" s="18">
        <v>63340</v>
      </c>
      <c r="AA23" s="5">
        <v>856</v>
      </c>
      <c r="AB23" s="16">
        <v>124.9</v>
      </c>
      <c r="AC23" s="21" t="s">
        <v>51</v>
      </c>
      <c r="AD23" s="10">
        <v>66600</v>
      </c>
      <c r="AE23" s="5">
        <v>900.6</v>
      </c>
      <c r="AF23" s="16">
        <v>112.2</v>
      </c>
      <c r="AG23" s="10">
        <v>61990</v>
      </c>
      <c r="AH23" s="5">
        <v>841.1</v>
      </c>
      <c r="AI23" s="16">
        <v>96.3</v>
      </c>
      <c r="AJ23" s="10">
        <v>46510</v>
      </c>
      <c r="AK23" s="5">
        <v>627.70000000000005</v>
      </c>
      <c r="AL23" s="16">
        <v>65.7</v>
      </c>
      <c r="AM23" s="10">
        <v>45040</v>
      </c>
      <c r="AN23" s="5">
        <v>607.79999999999995</v>
      </c>
      <c r="AO23" s="16">
        <v>63.8</v>
      </c>
      <c r="AP23" s="10">
        <v>45650</v>
      </c>
      <c r="AQ23" s="5">
        <v>616.79999999999995</v>
      </c>
      <c r="AR23" s="16">
        <v>64.7</v>
      </c>
      <c r="AS23" s="10">
        <v>42950</v>
      </c>
      <c r="AT23" s="5">
        <v>580.1</v>
      </c>
      <c r="AU23" s="16">
        <v>60.9</v>
      </c>
      <c r="AV23" s="10">
        <v>41720</v>
      </c>
      <c r="AW23" s="5">
        <v>563.6</v>
      </c>
      <c r="AX23" s="16">
        <v>59.1</v>
      </c>
      <c r="AY23" s="10">
        <v>44330</v>
      </c>
      <c r="AZ23" s="5">
        <v>598.5</v>
      </c>
      <c r="BA23" s="16">
        <v>62.7</v>
      </c>
      <c r="BB23" s="25">
        <v>43860</v>
      </c>
      <c r="BC23" s="26">
        <v>592.4</v>
      </c>
      <c r="BD23" s="27">
        <v>62.2</v>
      </c>
      <c r="BE23" s="65" t="s">
        <v>51</v>
      </c>
      <c r="BF23" s="18">
        <v>48660</v>
      </c>
      <c r="BG23" s="5">
        <v>655.15</v>
      </c>
      <c r="BH23" s="16">
        <v>68.786297069999989</v>
      </c>
      <c r="BI23" s="10">
        <v>46140</v>
      </c>
      <c r="BJ23" s="5">
        <v>621.79999999999995</v>
      </c>
      <c r="BK23" s="16">
        <v>65.285948899999994</v>
      </c>
      <c r="BL23" s="18">
        <v>35200</v>
      </c>
      <c r="BM23" s="5">
        <v>475.4</v>
      </c>
      <c r="BN23" s="16">
        <v>49.908974899999997</v>
      </c>
      <c r="BO23" s="18">
        <v>44130</v>
      </c>
      <c r="BP23" s="5">
        <v>597.79</v>
      </c>
      <c r="BQ23" s="16">
        <v>62.758546039999999</v>
      </c>
      <c r="BR23" s="18">
        <v>29260</v>
      </c>
      <c r="BS23" s="5">
        <v>395.23</v>
      </c>
      <c r="BT23" s="16">
        <v>41.495109159999998</v>
      </c>
      <c r="BU23" s="18">
        <v>28060</v>
      </c>
      <c r="BV23" s="5">
        <v>379.07</v>
      </c>
      <c r="BW23" s="16">
        <v>39.794539100000001</v>
      </c>
    </row>
    <row r="24" spans="1:76" x14ac:dyDescent="0.2">
      <c r="A24" s="21" t="s">
        <v>52</v>
      </c>
      <c r="B24" s="10">
        <v>165270</v>
      </c>
      <c r="C24" s="5">
        <v>2364.5885129000003</v>
      </c>
      <c r="D24" s="5">
        <v>409.26363039999995</v>
      </c>
      <c r="E24" s="18">
        <v>153640</v>
      </c>
      <c r="F24" s="5">
        <v>2243.2161560999998</v>
      </c>
      <c r="G24" s="5">
        <v>383.83369830000004</v>
      </c>
      <c r="H24" s="18">
        <v>170390</v>
      </c>
      <c r="I24" s="5">
        <v>2506.5</v>
      </c>
      <c r="J24" s="16">
        <v>429.7</v>
      </c>
      <c r="K24" s="18">
        <v>120160</v>
      </c>
      <c r="L24" s="5">
        <v>1733.6</v>
      </c>
      <c r="M24" s="5">
        <v>296</v>
      </c>
      <c r="N24" s="18">
        <v>113130</v>
      </c>
      <c r="O24" s="5">
        <v>1640.6</v>
      </c>
      <c r="P24" s="5">
        <v>280.5</v>
      </c>
      <c r="Q24" s="18">
        <v>99500</v>
      </c>
      <c r="R24" s="5">
        <v>1454.8</v>
      </c>
      <c r="S24" s="5">
        <v>249.2</v>
      </c>
      <c r="T24" s="18">
        <v>55870</v>
      </c>
      <c r="U24" s="5">
        <v>810.1</v>
      </c>
      <c r="V24" s="5">
        <v>138.4</v>
      </c>
      <c r="W24" s="18">
        <v>57630</v>
      </c>
      <c r="X24" s="5">
        <v>835.2</v>
      </c>
      <c r="Y24" s="5">
        <v>142.80000000000001</v>
      </c>
      <c r="Z24" s="18">
        <v>219370</v>
      </c>
      <c r="AA24" s="5">
        <v>3139.2</v>
      </c>
      <c r="AB24" s="16">
        <v>465.9</v>
      </c>
      <c r="AC24" s="21" t="s">
        <v>52</v>
      </c>
      <c r="AD24" s="10">
        <v>225670</v>
      </c>
      <c r="AE24" s="5">
        <v>3228.9</v>
      </c>
      <c r="AF24" s="16">
        <v>409.1</v>
      </c>
      <c r="AG24" s="10">
        <v>226790</v>
      </c>
      <c r="AH24" s="5">
        <v>3294.5</v>
      </c>
      <c r="AI24" s="16">
        <v>387.7</v>
      </c>
      <c r="AJ24" s="10">
        <v>109180</v>
      </c>
      <c r="AK24" s="5">
        <v>1591.2</v>
      </c>
      <c r="AL24" s="16">
        <v>171.2</v>
      </c>
      <c r="AM24" s="10">
        <v>108040</v>
      </c>
      <c r="AN24" s="5">
        <v>1592.6</v>
      </c>
      <c r="AO24" s="16">
        <v>172.8</v>
      </c>
      <c r="AP24" s="10">
        <v>43750</v>
      </c>
      <c r="AQ24" s="5">
        <v>634.29999999999995</v>
      </c>
      <c r="AR24" s="16">
        <v>68.099999999999994</v>
      </c>
      <c r="AS24" s="10">
        <v>43990</v>
      </c>
      <c r="AT24" s="5">
        <v>638.9</v>
      </c>
      <c r="AU24" s="16">
        <v>68.599999999999994</v>
      </c>
      <c r="AV24" s="10">
        <v>42600</v>
      </c>
      <c r="AW24" s="5">
        <v>618.1</v>
      </c>
      <c r="AX24" s="16">
        <v>66.3</v>
      </c>
      <c r="AY24" s="10">
        <v>41740</v>
      </c>
      <c r="AZ24" s="5">
        <v>605.5</v>
      </c>
      <c r="BA24" s="16">
        <v>64.900000000000006</v>
      </c>
      <c r="BB24" s="25">
        <v>39700</v>
      </c>
      <c r="BC24" s="26">
        <v>575.79999999999995</v>
      </c>
      <c r="BD24" s="27">
        <v>61.9</v>
      </c>
      <c r="BE24" s="65" t="s">
        <v>52</v>
      </c>
      <c r="BF24" s="18">
        <v>39660</v>
      </c>
      <c r="BG24" s="5">
        <v>575.05999999999995</v>
      </c>
      <c r="BH24" s="16">
        <v>61.765416990000006</v>
      </c>
      <c r="BI24" s="10">
        <v>40390</v>
      </c>
      <c r="BJ24" s="5">
        <v>584.70000000000005</v>
      </c>
      <c r="BK24" s="16">
        <v>62.739448400000001</v>
      </c>
      <c r="BL24" s="18">
        <v>91390</v>
      </c>
      <c r="BM24" s="5">
        <v>1334</v>
      </c>
      <c r="BN24" s="16">
        <v>143.86501080000002</v>
      </c>
      <c r="BO24" s="18">
        <v>30590</v>
      </c>
      <c r="BP24" s="5">
        <v>443.48</v>
      </c>
      <c r="BQ24" s="16">
        <v>47.625244590000001</v>
      </c>
      <c r="BR24" s="18">
        <v>29710</v>
      </c>
      <c r="BS24" s="5">
        <v>430.95</v>
      </c>
      <c r="BT24" s="16">
        <v>46.292095159999995</v>
      </c>
      <c r="BU24" s="18">
        <v>29140</v>
      </c>
      <c r="BV24" s="5">
        <v>422.71</v>
      </c>
      <c r="BW24" s="16">
        <v>45.407641659999996</v>
      </c>
    </row>
    <row r="25" spans="1:76" x14ac:dyDescent="0.2">
      <c r="A25" s="21" t="s">
        <v>53</v>
      </c>
      <c r="B25" s="10">
        <v>55130</v>
      </c>
      <c r="C25" s="5">
        <v>853.59601039999995</v>
      </c>
      <c r="D25" s="5">
        <v>152.38120019999999</v>
      </c>
      <c r="E25" s="18">
        <v>76220</v>
      </c>
      <c r="F25" s="5">
        <v>1176.1113542999999</v>
      </c>
      <c r="G25" s="5">
        <v>203.8649101</v>
      </c>
      <c r="H25" s="18">
        <v>77610</v>
      </c>
      <c r="I25" s="5">
        <v>1201.0999999999999</v>
      </c>
      <c r="J25" s="16">
        <v>208.3</v>
      </c>
      <c r="K25" s="18">
        <v>155680</v>
      </c>
      <c r="L25" s="5">
        <v>2407.6</v>
      </c>
      <c r="M25" s="5">
        <v>417.3</v>
      </c>
      <c r="N25" s="18">
        <v>153710</v>
      </c>
      <c r="O25" s="5">
        <v>2394</v>
      </c>
      <c r="P25" s="5">
        <v>415.6</v>
      </c>
      <c r="Q25" s="18">
        <v>99400</v>
      </c>
      <c r="R25" s="5">
        <v>1530</v>
      </c>
      <c r="S25" s="5">
        <v>265.10000000000002</v>
      </c>
      <c r="T25" s="18">
        <v>128310</v>
      </c>
      <c r="U25" s="5">
        <v>1987.8</v>
      </c>
      <c r="V25" s="5">
        <v>344.6</v>
      </c>
      <c r="W25" s="18">
        <v>51860</v>
      </c>
      <c r="X25" s="5">
        <v>803.5</v>
      </c>
      <c r="Y25" s="5">
        <v>139.5</v>
      </c>
      <c r="Z25" s="18">
        <v>51250</v>
      </c>
      <c r="AA25" s="5">
        <v>794.3</v>
      </c>
      <c r="AB25" s="16">
        <v>121.5</v>
      </c>
      <c r="AC25" s="21" t="s">
        <v>53</v>
      </c>
      <c r="AD25" s="10">
        <v>51940</v>
      </c>
      <c r="AE25" s="5">
        <v>805</v>
      </c>
      <c r="AF25" s="16">
        <v>106.9</v>
      </c>
      <c r="AG25" s="10">
        <v>54830</v>
      </c>
      <c r="AH25" s="5">
        <v>848.3</v>
      </c>
      <c r="AI25" s="16">
        <v>103.5</v>
      </c>
      <c r="AJ25" s="10">
        <v>184390</v>
      </c>
      <c r="AK25" s="5">
        <v>2830.1</v>
      </c>
      <c r="AL25" s="16">
        <v>314.39999999999998</v>
      </c>
      <c r="AM25" s="10">
        <v>184690</v>
      </c>
      <c r="AN25" s="5">
        <v>2891.8</v>
      </c>
      <c r="AO25" s="16">
        <v>325</v>
      </c>
      <c r="AP25" s="10">
        <v>112460</v>
      </c>
      <c r="AQ25" s="5">
        <v>1720</v>
      </c>
      <c r="AR25" s="16">
        <v>190.7</v>
      </c>
      <c r="AS25" s="10">
        <v>109560</v>
      </c>
      <c r="AT25" s="5">
        <v>1697.1</v>
      </c>
      <c r="AU25" s="16">
        <v>189.6</v>
      </c>
      <c r="AV25" s="10">
        <v>96090</v>
      </c>
      <c r="AW25" s="5">
        <v>1492.6</v>
      </c>
      <c r="AX25" s="16">
        <v>166.6</v>
      </c>
      <c r="AY25" s="10">
        <v>94010</v>
      </c>
      <c r="AZ25" s="5">
        <v>1450</v>
      </c>
      <c r="BA25" s="16">
        <v>161.19999999999999</v>
      </c>
      <c r="BB25" s="25">
        <v>91370</v>
      </c>
      <c r="BC25" s="26">
        <v>1419</v>
      </c>
      <c r="BD25" s="27">
        <v>158.80000000000001</v>
      </c>
      <c r="BE25" s="65" t="s">
        <v>53</v>
      </c>
      <c r="BF25" s="18">
        <v>89010</v>
      </c>
      <c r="BG25" s="5">
        <v>1393.66</v>
      </c>
      <c r="BH25" s="16">
        <v>156.64334749</v>
      </c>
      <c r="BI25" s="10">
        <v>37440</v>
      </c>
      <c r="BJ25" s="5">
        <v>580.5</v>
      </c>
      <c r="BK25" s="16">
        <v>64.895738800000004</v>
      </c>
      <c r="BL25" s="18">
        <v>39310</v>
      </c>
      <c r="BM25" s="5">
        <v>608.4</v>
      </c>
      <c r="BN25" s="16">
        <v>67.933684</v>
      </c>
      <c r="BO25" s="18">
        <v>37710</v>
      </c>
      <c r="BP25" s="5">
        <v>586.46</v>
      </c>
      <c r="BQ25" s="16">
        <v>65.662346569999997</v>
      </c>
      <c r="BR25" s="18">
        <v>35420</v>
      </c>
      <c r="BS25" s="5">
        <v>549.92999999999995</v>
      </c>
      <c r="BT25" s="16">
        <v>61.522201759999994</v>
      </c>
      <c r="BU25" s="18">
        <v>28920</v>
      </c>
      <c r="BV25" s="5">
        <v>448.25</v>
      </c>
      <c r="BW25" s="16">
        <v>50.098150840000002</v>
      </c>
    </row>
    <row r="26" spans="1:76" x14ac:dyDescent="0.2">
      <c r="A26" s="21" t="s">
        <v>54</v>
      </c>
      <c r="B26" s="10">
        <v>51980</v>
      </c>
      <c r="C26" s="5">
        <v>857.14620500000001</v>
      </c>
      <c r="D26" s="5">
        <v>154.901197</v>
      </c>
      <c r="E26" s="18">
        <v>49690</v>
      </c>
      <c r="F26" s="5">
        <v>818.94090540000002</v>
      </c>
      <c r="G26" s="5">
        <v>143.95159169999999</v>
      </c>
      <c r="H26" s="18">
        <v>50360</v>
      </c>
      <c r="I26" s="5">
        <v>830.6</v>
      </c>
      <c r="J26" s="16">
        <v>146.1</v>
      </c>
      <c r="K26" s="18">
        <v>64120</v>
      </c>
      <c r="L26" s="5">
        <v>1054.5</v>
      </c>
      <c r="M26" s="5">
        <v>185.3</v>
      </c>
      <c r="N26" s="18">
        <v>71870</v>
      </c>
      <c r="O26" s="5">
        <v>1181.0999999999999</v>
      </c>
      <c r="P26" s="5">
        <v>207.4</v>
      </c>
      <c r="Q26" s="18">
        <v>139230</v>
      </c>
      <c r="R26" s="5">
        <v>2262.3000000000002</v>
      </c>
      <c r="S26" s="5">
        <v>396.1</v>
      </c>
      <c r="T26" s="18">
        <v>141800</v>
      </c>
      <c r="U26" s="5">
        <v>2350.4</v>
      </c>
      <c r="V26" s="5">
        <v>413</v>
      </c>
      <c r="W26" s="18">
        <v>127090</v>
      </c>
      <c r="X26" s="5">
        <v>2068.5</v>
      </c>
      <c r="Y26" s="5">
        <v>362.2</v>
      </c>
      <c r="Z26" s="18">
        <v>87990</v>
      </c>
      <c r="AA26" s="5">
        <v>1445.7</v>
      </c>
      <c r="AB26" s="16">
        <v>226</v>
      </c>
      <c r="AC26" s="21" t="s">
        <v>54</v>
      </c>
      <c r="AD26" s="10">
        <v>92520</v>
      </c>
      <c r="AE26" s="5">
        <v>1528.3</v>
      </c>
      <c r="AF26" s="16">
        <v>210.7</v>
      </c>
      <c r="AG26" s="10">
        <v>95350</v>
      </c>
      <c r="AH26" s="5">
        <v>1581.2</v>
      </c>
      <c r="AI26" s="16">
        <v>200.7</v>
      </c>
      <c r="AJ26" s="10">
        <v>93070</v>
      </c>
      <c r="AK26" s="5">
        <v>1556.1</v>
      </c>
      <c r="AL26" s="16">
        <v>181</v>
      </c>
      <c r="AM26" s="10">
        <v>49270</v>
      </c>
      <c r="AN26" s="5">
        <v>813.1</v>
      </c>
      <c r="AO26" s="16">
        <v>93.9</v>
      </c>
      <c r="AP26" s="10">
        <v>188400</v>
      </c>
      <c r="AQ26" s="5">
        <v>3058</v>
      </c>
      <c r="AR26" s="16">
        <v>350.5</v>
      </c>
      <c r="AS26" s="10">
        <v>191340</v>
      </c>
      <c r="AT26" s="5">
        <v>3170.5</v>
      </c>
      <c r="AU26" s="16">
        <v>367.3</v>
      </c>
      <c r="AV26" s="10">
        <v>204040</v>
      </c>
      <c r="AW26" s="5">
        <v>3426.4</v>
      </c>
      <c r="AX26" s="16">
        <v>399.3</v>
      </c>
      <c r="AY26" s="10">
        <v>54690</v>
      </c>
      <c r="AZ26" s="5">
        <v>903</v>
      </c>
      <c r="BA26" s="16">
        <v>104.3</v>
      </c>
      <c r="BB26" s="25">
        <v>53030</v>
      </c>
      <c r="BC26" s="26">
        <v>878.1</v>
      </c>
      <c r="BD26" s="27">
        <v>101.7</v>
      </c>
      <c r="BE26" s="65" t="s">
        <v>54</v>
      </c>
      <c r="BF26" s="18">
        <v>41680</v>
      </c>
      <c r="BG26" s="5">
        <v>687.5</v>
      </c>
      <c r="BH26" s="16">
        <v>79.460494959999991</v>
      </c>
      <c r="BI26" s="10">
        <v>89240</v>
      </c>
      <c r="BJ26" s="5">
        <v>1455.2</v>
      </c>
      <c r="BK26" s="16">
        <v>167.20939230000002</v>
      </c>
      <c r="BL26" s="18">
        <v>34340</v>
      </c>
      <c r="BM26" s="5">
        <v>566.4</v>
      </c>
      <c r="BN26" s="16">
        <v>65.4648629</v>
      </c>
      <c r="BO26" s="18">
        <v>86890</v>
      </c>
      <c r="BP26" s="5">
        <v>1416.54</v>
      </c>
      <c r="BQ26" s="16">
        <v>162.73473368000001</v>
      </c>
      <c r="BR26" s="18">
        <v>41750</v>
      </c>
      <c r="BS26" s="5">
        <v>687.54</v>
      </c>
      <c r="BT26" s="16">
        <v>79.394807930000013</v>
      </c>
      <c r="BU26" s="18">
        <v>34580</v>
      </c>
      <c r="BV26" s="5">
        <v>572.34</v>
      </c>
      <c r="BW26" s="16">
        <v>66.262528360000005</v>
      </c>
    </row>
    <row r="27" spans="1:76" x14ac:dyDescent="0.2">
      <c r="A27" s="21" t="s">
        <v>55</v>
      </c>
      <c r="B27" s="10">
        <v>49580</v>
      </c>
      <c r="C27" s="5">
        <v>868.0726439</v>
      </c>
      <c r="D27" s="5">
        <v>158.15681509999999</v>
      </c>
      <c r="E27" s="18">
        <v>48580</v>
      </c>
      <c r="F27" s="5">
        <v>850.19438600000001</v>
      </c>
      <c r="G27" s="5">
        <v>151.07311440000001</v>
      </c>
      <c r="H27" s="18">
        <v>51480</v>
      </c>
      <c r="I27" s="5">
        <v>901.7</v>
      </c>
      <c r="J27" s="16">
        <v>160.30000000000001</v>
      </c>
      <c r="K27" s="18">
        <v>49020</v>
      </c>
      <c r="L27" s="5">
        <v>857.5</v>
      </c>
      <c r="M27" s="5">
        <v>152.4</v>
      </c>
      <c r="N27" s="18">
        <v>49360</v>
      </c>
      <c r="O27" s="5">
        <v>862.8</v>
      </c>
      <c r="P27" s="5">
        <v>153.4</v>
      </c>
      <c r="Q27" s="18">
        <v>50380</v>
      </c>
      <c r="R27" s="5">
        <v>880.7</v>
      </c>
      <c r="S27" s="5">
        <v>156.6</v>
      </c>
      <c r="T27" s="18">
        <v>49160</v>
      </c>
      <c r="U27" s="5">
        <v>860.1</v>
      </c>
      <c r="V27" s="5">
        <v>152.9</v>
      </c>
      <c r="W27" s="18">
        <v>139010</v>
      </c>
      <c r="X27" s="5">
        <v>2431.1</v>
      </c>
      <c r="Y27" s="5">
        <v>431.6</v>
      </c>
      <c r="Z27" s="18">
        <v>90130</v>
      </c>
      <c r="AA27" s="5">
        <v>1568.6</v>
      </c>
      <c r="AB27" s="16">
        <v>250</v>
      </c>
      <c r="AC27" s="21" t="s">
        <v>55</v>
      </c>
      <c r="AD27" s="10">
        <v>94590</v>
      </c>
      <c r="AE27" s="5">
        <v>1651.5</v>
      </c>
      <c r="AF27" s="16">
        <v>234</v>
      </c>
      <c r="AG27" s="10">
        <v>89830</v>
      </c>
      <c r="AH27" s="5">
        <v>1584.8</v>
      </c>
      <c r="AI27" s="16">
        <v>207.4</v>
      </c>
      <c r="AJ27" s="10">
        <v>51790</v>
      </c>
      <c r="AK27" s="5">
        <v>905.8</v>
      </c>
      <c r="AL27" s="16">
        <v>107.6</v>
      </c>
      <c r="AM27" s="10">
        <v>87760</v>
      </c>
      <c r="AN27" s="5">
        <v>1528</v>
      </c>
      <c r="AO27" s="16">
        <v>181.3</v>
      </c>
      <c r="AP27" s="10">
        <v>81460</v>
      </c>
      <c r="AQ27" s="5">
        <v>1423.1</v>
      </c>
      <c r="AR27" s="16">
        <v>169.1</v>
      </c>
      <c r="AS27" s="10">
        <v>69970</v>
      </c>
      <c r="AT27" s="5">
        <v>1228.8</v>
      </c>
      <c r="AU27" s="16">
        <v>146.4</v>
      </c>
      <c r="AV27" s="10">
        <v>58320</v>
      </c>
      <c r="AW27" s="5">
        <v>1022.8</v>
      </c>
      <c r="AX27" s="16">
        <v>121.6</v>
      </c>
      <c r="AY27" s="10">
        <v>199300</v>
      </c>
      <c r="AZ27" s="5">
        <v>3480.5</v>
      </c>
      <c r="BA27" s="16">
        <v>413.5</v>
      </c>
      <c r="BB27" s="25">
        <v>151200</v>
      </c>
      <c r="BC27" s="26">
        <v>2670.8</v>
      </c>
      <c r="BD27" s="27">
        <v>319.2</v>
      </c>
      <c r="BE27" s="65" t="s">
        <v>55</v>
      </c>
      <c r="BF27" s="18">
        <v>53130</v>
      </c>
      <c r="BG27" s="5">
        <v>928.1</v>
      </c>
      <c r="BH27" s="16">
        <v>110.34578611000001</v>
      </c>
      <c r="BI27" s="10">
        <v>38100</v>
      </c>
      <c r="BJ27" s="5">
        <v>666.7</v>
      </c>
      <c r="BK27" s="16">
        <v>79.3178518</v>
      </c>
      <c r="BL27" s="18">
        <v>34100</v>
      </c>
      <c r="BM27" s="5">
        <v>596.79999999999995</v>
      </c>
      <c r="BN27" s="16">
        <v>71.01018959999999</v>
      </c>
      <c r="BO27" s="18">
        <v>32760</v>
      </c>
      <c r="BP27" s="5">
        <v>573.07000000000005</v>
      </c>
      <c r="BQ27" s="16">
        <v>68.178494560000004</v>
      </c>
      <c r="BR27" s="18">
        <v>32960</v>
      </c>
      <c r="BS27" s="5">
        <v>577.07000000000005</v>
      </c>
      <c r="BT27" s="16">
        <v>68.683430430000001</v>
      </c>
      <c r="BU27" s="18">
        <v>43060</v>
      </c>
      <c r="BV27" s="5">
        <v>754.81</v>
      </c>
      <c r="BW27" s="16">
        <v>89.880841900000007</v>
      </c>
    </row>
    <row r="28" spans="1:76" x14ac:dyDescent="0.2">
      <c r="A28" s="21" t="s">
        <v>56</v>
      </c>
      <c r="B28" s="10">
        <v>47120</v>
      </c>
      <c r="C28" s="5">
        <v>871.37809879999998</v>
      </c>
      <c r="D28" s="5">
        <v>159.42448049999999</v>
      </c>
      <c r="E28" s="18">
        <v>46980</v>
      </c>
      <c r="F28" s="5">
        <v>868.99421219999999</v>
      </c>
      <c r="G28" s="5">
        <v>155.9345046</v>
      </c>
      <c r="H28" s="18">
        <v>47770</v>
      </c>
      <c r="I28" s="5">
        <v>883.2</v>
      </c>
      <c r="J28" s="16">
        <v>158.5</v>
      </c>
      <c r="K28" s="18">
        <v>46180</v>
      </c>
      <c r="L28" s="5">
        <v>853.6</v>
      </c>
      <c r="M28" s="5">
        <v>153.19999999999999</v>
      </c>
      <c r="N28" s="18">
        <v>47900</v>
      </c>
      <c r="O28" s="5">
        <v>885.6</v>
      </c>
      <c r="P28" s="5">
        <v>159</v>
      </c>
      <c r="Q28" s="18">
        <v>46820</v>
      </c>
      <c r="R28" s="5">
        <v>866.4</v>
      </c>
      <c r="S28" s="5">
        <v>155.5</v>
      </c>
      <c r="T28" s="18">
        <v>47970</v>
      </c>
      <c r="U28" s="5">
        <v>885.7</v>
      </c>
      <c r="V28" s="5">
        <v>158.9</v>
      </c>
      <c r="W28" s="18">
        <v>50400</v>
      </c>
      <c r="X28" s="5">
        <v>933.4</v>
      </c>
      <c r="Y28" s="5">
        <v>167.5</v>
      </c>
      <c r="Z28" s="18">
        <v>137850</v>
      </c>
      <c r="AA28" s="5">
        <v>2573.3000000000002</v>
      </c>
      <c r="AB28" s="16">
        <v>419</v>
      </c>
      <c r="AC28" s="21" t="s">
        <v>56</v>
      </c>
      <c r="AD28" s="10">
        <v>139520</v>
      </c>
      <c r="AE28" s="5">
        <v>2621.5</v>
      </c>
      <c r="AF28" s="16">
        <v>384.3</v>
      </c>
      <c r="AG28" s="10">
        <v>51910</v>
      </c>
      <c r="AH28" s="5">
        <v>960.3</v>
      </c>
      <c r="AI28" s="16">
        <v>128.4</v>
      </c>
      <c r="AJ28" s="10">
        <v>88460</v>
      </c>
      <c r="AK28" s="5">
        <v>1639.5</v>
      </c>
      <c r="AL28" s="16">
        <v>200</v>
      </c>
      <c r="AM28" s="10">
        <v>47390</v>
      </c>
      <c r="AN28" s="5">
        <v>876.4</v>
      </c>
      <c r="AO28" s="16">
        <v>106.8</v>
      </c>
      <c r="AP28" s="10">
        <v>45330</v>
      </c>
      <c r="AQ28" s="5">
        <v>838.9</v>
      </c>
      <c r="AR28" s="16">
        <v>102.3</v>
      </c>
      <c r="AS28" s="10">
        <v>52720</v>
      </c>
      <c r="AT28" s="5">
        <v>971.6</v>
      </c>
      <c r="AU28" s="16">
        <v>118.3</v>
      </c>
      <c r="AV28" s="10">
        <v>64300</v>
      </c>
      <c r="AW28" s="5">
        <v>1182.9000000000001</v>
      </c>
      <c r="AX28" s="16">
        <v>143.69999999999999</v>
      </c>
      <c r="AY28" s="10">
        <v>48520</v>
      </c>
      <c r="AZ28" s="5">
        <v>898.4</v>
      </c>
      <c r="BA28" s="16">
        <v>109.5</v>
      </c>
      <c r="BB28" s="25">
        <v>63940</v>
      </c>
      <c r="BC28" s="26">
        <v>1181.4000000000001</v>
      </c>
      <c r="BD28" s="27">
        <v>144.1</v>
      </c>
      <c r="BE28" s="65" t="s">
        <v>56</v>
      </c>
      <c r="BF28" s="18">
        <v>161860</v>
      </c>
      <c r="BG28" s="5">
        <v>2969.21</v>
      </c>
      <c r="BH28" s="16">
        <v>360.98307273</v>
      </c>
      <c r="BI28" s="10">
        <v>53350</v>
      </c>
      <c r="BJ28" s="5">
        <v>987.2</v>
      </c>
      <c r="BK28" s="16">
        <v>120.45458090000001</v>
      </c>
      <c r="BL28" s="18">
        <v>107320</v>
      </c>
      <c r="BM28" s="5">
        <v>1971.1</v>
      </c>
      <c r="BN28" s="16">
        <v>239.75010040000001</v>
      </c>
      <c r="BO28" s="18">
        <v>43230</v>
      </c>
      <c r="BP28" s="5">
        <v>804.69</v>
      </c>
      <c r="BQ28" s="16">
        <v>98.445832299999992</v>
      </c>
      <c r="BR28" s="18">
        <v>86650</v>
      </c>
      <c r="BS28" s="5">
        <v>1607.8</v>
      </c>
      <c r="BT28" s="16">
        <v>196.4442392</v>
      </c>
      <c r="BU28" s="18">
        <v>31570</v>
      </c>
      <c r="BV28" s="5">
        <v>584.05999999999995</v>
      </c>
      <c r="BW28" s="16">
        <v>71.260567709999989</v>
      </c>
    </row>
    <row r="29" spans="1:76" x14ac:dyDescent="0.2">
      <c r="A29" s="21" t="s">
        <v>57</v>
      </c>
      <c r="B29" s="10">
        <v>44980</v>
      </c>
      <c r="C29" s="5">
        <v>876.76211450000005</v>
      </c>
      <c r="D29" s="5">
        <v>161.76058119999999</v>
      </c>
      <c r="E29" s="18">
        <v>44410</v>
      </c>
      <c r="F29" s="5">
        <v>867.10796040000002</v>
      </c>
      <c r="G29" s="5">
        <v>156.96641209999999</v>
      </c>
      <c r="H29" s="18">
        <v>47420</v>
      </c>
      <c r="I29" s="5">
        <v>924.7</v>
      </c>
      <c r="J29" s="16">
        <v>167.4</v>
      </c>
      <c r="K29" s="18">
        <v>45280</v>
      </c>
      <c r="L29" s="5">
        <v>883.2</v>
      </c>
      <c r="M29" s="5">
        <v>159.9</v>
      </c>
      <c r="N29" s="18">
        <v>44780</v>
      </c>
      <c r="O29" s="5">
        <v>873.4</v>
      </c>
      <c r="P29" s="5">
        <v>158.1</v>
      </c>
      <c r="Q29" s="18">
        <v>43860</v>
      </c>
      <c r="R29" s="5">
        <v>855.8</v>
      </c>
      <c r="S29" s="5">
        <v>155</v>
      </c>
      <c r="T29" s="18">
        <v>44760</v>
      </c>
      <c r="U29" s="5">
        <v>873</v>
      </c>
      <c r="V29" s="5">
        <v>158</v>
      </c>
      <c r="W29" s="18">
        <v>43280</v>
      </c>
      <c r="X29" s="5">
        <v>844.6</v>
      </c>
      <c r="Y29" s="5">
        <v>152.80000000000001</v>
      </c>
      <c r="Z29" s="18">
        <v>45430</v>
      </c>
      <c r="AA29" s="5">
        <v>885.5</v>
      </c>
      <c r="AB29" s="16">
        <v>145.9</v>
      </c>
      <c r="AC29" s="21" t="s">
        <v>57</v>
      </c>
      <c r="AD29" s="10">
        <v>48610</v>
      </c>
      <c r="AE29" s="5">
        <v>946.1</v>
      </c>
      <c r="AF29" s="16">
        <v>140.6</v>
      </c>
      <c r="AG29" s="10">
        <v>140120</v>
      </c>
      <c r="AH29" s="5">
        <v>2723.9</v>
      </c>
      <c r="AI29" s="16">
        <v>372.1</v>
      </c>
      <c r="AJ29" s="10">
        <v>51950</v>
      </c>
      <c r="AK29" s="5">
        <v>1013.7</v>
      </c>
      <c r="AL29" s="16">
        <v>126.3</v>
      </c>
      <c r="AM29" s="10">
        <v>90920</v>
      </c>
      <c r="AN29" s="5">
        <v>1756.4</v>
      </c>
      <c r="AO29" s="16">
        <v>218.1</v>
      </c>
      <c r="AP29" s="10">
        <v>90330</v>
      </c>
      <c r="AQ29" s="5">
        <v>1766</v>
      </c>
      <c r="AR29" s="16">
        <v>220.4</v>
      </c>
      <c r="AS29" s="10">
        <v>42680</v>
      </c>
      <c r="AT29" s="5">
        <v>832</v>
      </c>
      <c r="AU29" s="16">
        <v>103.7</v>
      </c>
      <c r="AV29" s="10">
        <v>46020</v>
      </c>
      <c r="AW29" s="5">
        <v>897.3</v>
      </c>
      <c r="AX29" s="16">
        <v>111.8</v>
      </c>
      <c r="AY29" s="10">
        <v>71580</v>
      </c>
      <c r="AZ29" s="5">
        <v>1391.9</v>
      </c>
      <c r="BA29" s="16">
        <v>173</v>
      </c>
      <c r="BB29" s="25">
        <v>79040</v>
      </c>
      <c r="BC29" s="26">
        <v>1542.6</v>
      </c>
      <c r="BD29" s="27">
        <v>192.5</v>
      </c>
      <c r="BE29" s="65" t="s">
        <v>57</v>
      </c>
      <c r="BF29" s="18">
        <v>80780</v>
      </c>
      <c r="BG29" s="5">
        <v>1582.51</v>
      </c>
      <c r="BH29" s="16">
        <v>197.77428169999999</v>
      </c>
      <c r="BI29" s="10">
        <v>158500</v>
      </c>
      <c r="BJ29" s="5">
        <v>3090.2</v>
      </c>
      <c r="BK29" s="16">
        <v>385.44875569999999</v>
      </c>
      <c r="BL29" s="18">
        <v>160090</v>
      </c>
      <c r="BM29" s="5">
        <v>3114.8</v>
      </c>
      <c r="BN29" s="16">
        <v>388.1830655</v>
      </c>
      <c r="BO29" s="18">
        <v>149400</v>
      </c>
      <c r="BP29" s="5">
        <v>2956.79</v>
      </c>
      <c r="BQ29" s="16">
        <v>371.01470739999996</v>
      </c>
      <c r="BR29" s="18">
        <v>35730</v>
      </c>
      <c r="BS29" s="5">
        <v>696.49</v>
      </c>
      <c r="BT29" s="16">
        <v>86.865230569999994</v>
      </c>
      <c r="BU29" s="18">
        <v>41680</v>
      </c>
      <c r="BV29" s="5">
        <v>813.3</v>
      </c>
      <c r="BW29" s="16">
        <v>101.47009829000001</v>
      </c>
    </row>
    <row r="30" spans="1:76" x14ac:dyDescent="0.2">
      <c r="A30" s="21" t="s">
        <v>58</v>
      </c>
      <c r="B30" s="10">
        <v>44270</v>
      </c>
      <c r="C30" s="5">
        <v>907.79432829999996</v>
      </c>
      <c r="D30" s="5">
        <v>168.90610330000001</v>
      </c>
      <c r="E30" s="18">
        <v>45790</v>
      </c>
      <c r="F30" s="5">
        <v>938.95186139999998</v>
      </c>
      <c r="G30" s="5">
        <v>171.26493099999999</v>
      </c>
      <c r="H30" s="18">
        <v>45310</v>
      </c>
      <c r="I30" s="5">
        <v>929</v>
      </c>
      <c r="J30" s="16">
        <v>169.5</v>
      </c>
      <c r="K30" s="18">
        <v>48560</v>
      </c>
      <c r="L30" s="5">
        <v>995.6</v>
      </c>
      <c r="M30" s="5">
        <v>181.7</v>
      </c>
      <c r="N30" s="18">
        <v>44010</v>
      </c>
      <c r="O30" s="5">
        <v>902</v>
      </c>
      <c r="P30" s="5">
        <v>164.5</v>
      </c>
      <c r="Q30" s="18">
        <v>43090</v>
      </c>
      <c r="R30" s="5">
        <v>883.4</v>
      </c>
      <c r="S30" s="5">
        <v>161.19999999999999</v>
      </c>
      <c r="T30" s="18">
        <v>41570</v>
      </c>
      <c r="U30" s="5">
        <v>852</v>
      </c>
      <c r="V30" s="5">
        <v>155.4</v>
      </c>
      <c r="W30" s="18">
        <v>44380</v>
      </c>
      <c r="X30" s="5">
        <v>909</v>
      </c>
      <c r="Y30" s="5">
        <v>165.7</v>
      </c>
      <c r="Z30" s="18">
        <v>43050</v>
      </c>
      <c r="AA30" s="5">
        <v>882.2</v>
      </c>
      <c r="AB30" s="16">
        <v>147.19999999999999</v>
      </c>
      <c r="AC30" s="21" t="s">
        <v>58</v>
      </c>
      <c r="AD30" s="10">
        <v>42020</v>
      </c>
      <c r="AE30" s="5">
        <v>861.5</v>
      </c>
      <c r="AF30" s="16">
        <v>130.69999999999999</v>
      </c>
      <c r="AG30" s="10">
        <v>42710</v>
      </c>
      <c r="AH30" s="5">
        <v>876.2</v>
      </c>
      <c r="AI30" s="16">
        <v>122.2</v>
      </c>
      <c r="AJ30" s="10">
        <v>137090</v>
      </c>
      <c r="AK30" s="5">
        <v>2785</v>
      </c>
      <c r="AL30" s="16">
        <v>352.9</v>
      </c>
      <c r="AM30" s="10">
        <v>142360</v>
      </c>
      <c r="AN30" s="5">
        <v>2944.4</v>
      </c>
      <c r="AO30" s="16">
        <v>375.6</v>
      </c>
      <c r="AP30" s="10">
        <v>48630</v>
      </c>
      <c r="AQ30" s="5">
        <v>995.6</v>
      </c>
      <c r="AR30" s="16">
        <v>126.5</v>
      </c>
      <c r="AS30" s="10">
        <v>89400</v>
      </c>
      <c r="AT30" s="5">
        <v>1817.5</v>
      </c>
      <c r="AU30" s="16">
        <v>230.3</v>
      </c>
      <c r="AV30" s="10">
        <v>88930</v>
      </c>
      <c r="AW30" s="5">
        <v>1828.6</v>
      </c>
      <c r="AX30" s="16">
        <v>232.6</v>
      </c>
      <c r="AY30" s="10">
        <v>44110</v>
      </c>
      <c r="AZ30" s="5">
        <v>904</v>
      </c>
      <c r="BA30" s="16">
        <v>114.9</v>
      </c>
      <c r="BB30" s="25">
        <v>49360</v>
      </c>
      <c r="BC30" s="26">
        <v>1011.6</v>
      </c>
      <c r="BD30" s="27">
        <v>128.6</v>
      </c>
      <c r="BE30" s="65" t="s">
        <v>58</v>
      </c>
      <c r="BF30" s="18">
        <v>52570</v>
      </c>
      <c r="BG30" s="5">
        <v>1076.8</v>
      </c>
      <c r="BH30" s="16">
        <v>136.91350803</v>
      </c>
      <c r="BI30" s="10">
        <v>84330</v>
      </c>
      <c r="BJ30" s="5">
        <v>1723.7</v>
      </c>
      <c r="BK30" s="16">
        <v>218.98456380000002</v>
      </c>
      <c r="BL30" s="18">
        <v>61930</v>
      </c>
      <c r="BM30" s="5">
        <v>1268.2</v>
      </c>
      <c r="BN30" s="16">
        <v>161.22244330000001</v>
      </c>
      <c r="BO30" s="18">
        <v>142210</v>
      </c>
      <c r="BP30" s="5">
        <v>2887.36</v>
      </c>
      <c r="BQ30" s="16">
        <v>365.90690754000002</v>
      </c>
      <c r="BR30" s="18">
        <v>46560</v>
      </c>
      <c r="BS30" s="5">
        <v>952.3</v>
      </c>
      <c r="BT30" s="16">
        <v>121.01592656</v>
      </c>
      <c r="BU30" s="18">
        <v>82560</v>
      </c>
      <c r="BV30" s="5">
        <v>1673.44</v>
      </c>
      <c r="BW30" s="16">
        <v>211.93844302000002</v>
      </c>
    </row>
    <row r="31" spans="1:76" x14ac:dyDescent="0.2">
      <c r="A31" s="21" t="s">
        <v>59</v>
      </c>
      <c r="B31" s="10">
        <v>43120</v>
      </c>
      <c r="C31" s="5">
        <v>927.23764549999999</v>
      </c>
      <c r="D31" s="5">
        <v>172.81318640000001</v>
      </c>
      <c r="E31" s="18">
        <v>42430</v>
      </c>
      <c r="F31" s="5">
        <v>912.24236279999991</v>
      </c>
      <c r="G31" s="5">
        <v>167.53863469999999</v>
      </c>
      <c r="H31" s="18">
        <v>42740</v>
      </c>
      <c r="I31" s="5">
        <v>918.6</v>
      </c>
      <c r="J31" s="16">
        <v>168.7</v>
      </c>
      <c r="K31" s="18">
        <v>44360</v>
      </c>
      <c r="L31" s="5">
        <v>953.6</v>
      </c>
      <c r="M31" s="5">
        <v>175.2</v>
      </c>
      <c r="N31" s="18">
        <v>43040</v>
      </c>
      <c r="O31" s="5">
        <v>924.9</v>
      </c>
      <c r="P31" s="5">
        <v>169.9</v>
      </c>
      <c r="Q31" s="18">
        <v>41500</v>
      </c>
      <c r="R31" s="5">
        <v>891.9</v>
      </c>
      <c r="S31" s="5">
        <v>163.9</v>
      </c>
      <c r="T31" s="18">
        <v>42290</v>
      </c>
      <c r="U31" s="5">
        <v>909</v>
      </c>
      <c r="V31" s="5">
        <v>167</v>
      </c>
      <c r="W31" s="18">
        <v>39730</v>
      </c>
      <c r="X31" s="5">
        <v>853.9</v>
      </c>
      <c r="Y31" s="5">
        <v>156.80000000000001</v>
      </c>
      <c r="Z31" s="18">
        <v>38450</v>
      </c>
      <c r="AA31" s="5">
        <v>826.1</v>
      </c>
      <c r="AB31" s="16">
        <v>139.6</v>
      </c>
      <c r="AC31" s="21" t="s">
        <v>59</v>
      </c>
      <c r="AD31" s="10">
        <v>40500</v>
      </c>
      <c r="AE31" s="5">
        <v>870.7</v>
      </c>
      <c r="AF31" s="16">
        <v>134.5</v>
      </c>
      <c r="AG31" s="10">
        <v>40480</v>
      </c>
      <c r="AH31" s="5">
        <v>870</v>
      </c>
      <c r="AI31" s="16">
        <v>123.4</v>
      </c>
      <c r="AJ31" s="10">
        <v>39910</v>
      </c>
      <c r="AK31" s="5">
        <v>858.2</v>
      </c>
      <c r="AL31" s="16">
        <v>110.8</v>
      </c>
      <c r="AM31" s="10">
        <v>38810</v>
      </c>
      <c r="AN31" s="5">
        <v>834</v>
      </c>
      <c r="AO31" s="16">
        <v>107.8</v>
      </c>
      <c r="AP31" s="10">
        <v>138760</v>
      </c>
      <c r="AQ31" s="5">
        <v>2966.1</v>
      </c>
      <c r="AR31" s="16">
        <v>383</v>
      </c>
      <c r="AS31" s="10">
        <v>141530</v>
      </c>
      <c r="AT31" s="5">
        <v>3083.8</v>
      </c>
      <c r="AU31" s="16">
        <v>400.9</v>
      </c>
      <c r="AV31" s="10">
        <v>43400</v>
      </c>
      <c r="AW31" s="5">
        <v>933</v>
      </c>
      <c r="AX31" s="16">
        <v>120.6</v>
      </c>
      <c r="AY31" s="10">
        <v>87660</v>
      </c>
      <c r="AZ31" s="5">
        <v>1870.6</v>
      </c>
      <c r="BA31" s="16">
        <v>241.3</v>
      </c>
      <c r="BB31" s="25">
        <v>79210</v>
      </c>
      <c r="BC31" s="26">
        <v>1704</v>
      </c>
      <c r="BD31" s="27">
        <v>220.6</v>
      </c>
      <c r="BE31" s="65" t="s">
        <v>59</v>
      </c>
      <c r="BF31" s="18">
        <v>46750</v>
      </c>
      <c r="BG31" s="5">
        <v>1004.83</v>
      </c>
      <c r="BH31" s="16">
        <v>130.02065668</v>
      </c>
      <c r="BI31" s="10">
        <v>50420</v>
      </c>
      <c r="BJ31" s="5">
        <v>1083.5999999999999</v>
      </c>
      <c r="BK31" s="16">
        <v>140.19628069999999</v>
      </c>
      <c r="BL31" s="18">
        <v>50040</v>
      </c>
      <c r="BM31" s="5">
        <v>1075.5</v>
      </c>
      <c r="BN31" s="16">
        <v>139.1534844</v>
      </c>
      <c r="BO31" s="18">
        <v>53090</v>
      </c>
      <c r="BP31" s="5">
        <v>1139.99</v>
      </c>
      <c r="BQ31" s="16">
        <v>147.45228822999999</v>
      </c>
      <c r="BR31" s="18">
        <v>218440</v>
      </c>
      <c r="BS31" s="5">
        <v>4678.3500000000004</v>
      </c>
      <c r="BT31" s="16">
        <v>604.62073508000003</v>
      </c>
      <c r="BU31" s="18">
        <v>39460</v>
      </c>
      <c r="BV31" s="5">
        <v>849.62</v>
      </c>
      <c r="BW31" s="16">
        <v>109.99699205</v>
      </c>
    </row>
    <row r="32" spans="1:76" x14ac:dyDescent="0.2">
      <c r="A32" s="21" t="s">
        <v>60</v>
      </c>
      <c r="B32" s="10">
        <v>41110</v>
      </c>
      <c r="C32" s="5">
        <v>924.65005070000007</v>
      </c>
      <c r="D32" s="5">
        <v>173.02222609999998</v>
      </c>
      <c r="E32" s="18">
        <v>43550</v>
      </c>
      <c r="F32" s="5">
        <v>979.88022260000002</v>
      </c>
      <c r="G32" s="5">
        <v>181.09428980000001</v>
      </c>
      <c r="H32" s="18">
        <v>41980</v>
      </c>
      <c r="I32" s="5">
        <v>945.1</v>
      </c>
      <c r="J32" s="16">
        <v>174.7</v>
      </c>
      <c r="K32" s="18">
        <v>41540</v>
      </c>
      <c r="L32" s="5">
        <v>935.1</v>
      </c>
      <c r="M32" s="5">
        <v>172.9</v>
      </c>
      <c r="N32" s="18">
        <v>42010</v>
      </c>
      <c r="O32" s="5">
        <v>945.5</v>
      </c>
      <c r="P32" s="5">
        <v>174.8</v>
      </c>
      <c r="Q32" s="18">
        <v>42410</v>
      </c>
      <c r="R32" s="5">
        <v>954.8</v>
      </c>
      <c r="S32" s="5">
        <v>176.4</v>
      </c>
      <c r="T32" s="18">
        <v>44680</v>
      </c>
      <c r="U32" s="5">
        <v>1005.2</v>
      </c>
      <c r="V32" s="5">
        <v>185.8</v>
      </c>
      <c r="W32" s="18">
        <v>40810</v>
      </c>
      <c r="X32" s="5">
        <v>918.1</v>
      </c>
      <c r="Y32" s="5">
        <v>169.7</v>
      </c>
      <c r="Z32" s="18">
        <v>39760</v>
      </c>
      <c r="AA32" s="5">
        <v>894.4</v>
      </c>
      <c r="AB32" s="16">
        <v>152.69999999999999</v>
      </c>
      <c r="AC32" s="21" t="s">
        <v>60</v>
      </c>
      <c r="AD32" s="10">
        <v>36030</v>
      </c>
      <c r="AE32" s="5">
        <v>811</v>
      </c>
      <c r="AF32" s="16">
        <v>127.2</v>
      </c>
      <c r="AG32" s="10">
        <v>36630</v>
      </c>
      <c r="AH32" s="5">
        <v>824.4</v>
      </c>
      <c r="AI32" s="16">
        <v>118.8</v>
      </c>
      <c r="AJ32" s="10">
        <v>37520</v>
      </c>
      <c r="AK32" s="5">
        <v>844.6</v>
      </c>
      <c r="AL32" s="16">
        <v>110.8</v>
      </c>
      <c r="AM32" s="10">
        <v>37640</v>
      </c>
      <c r="AN32" s="5">
        <v>846.6</v>
      </c>
      <c r="AO32" s="16">
        <v>111.1</v>
      </c>
      <c r="AP32" s="10">
        <v>38570</v>
      </c>
      <c r="AQ32" s="5">
        <v>868.4</v>
      </c>
      <c r="AR32" s="16">
        <v>114</v>
      </c>
      <c r="AS32" s="10">
        <v>38070</v>
      </c>
      <c r="AT32" s="5">
        <v>856.8</v>
      </c>
      <c r="AU32" s="16">
        <v>112.5</v>
      </c>
      <c r="AV32" s="10">
        <v>142670</v>
      </c>
      <c r="AW32" s="5">
        <v>3200.3</v>
      </c>
      <c r="AX32" s="16">
        <v>419.9</v>
      </c>
      <c r="AY32" s="10">
        <v>47960</v>
      </c>
      <c r="AZ32" s="5">
        <v>1077.8</v>
      </c>
      <c r="BA32" s="16">
        <v>141.4</v>
      </c>
      <c r="BB32" s="25">
        <v>52370</v>
      </c>
      <c r="BC32" s="26">
        <v>1177.5999999999999</v>
      </c>
      <c r="BD32" s="27">
        <v>154.69999999999999</v>
      </c>
      <c r="BE32" s="65" t="s">
        <v>60</v>
      </c>
      <c r="BF32" s="18">
        <v>84700</v>
      </c>
      <c r="BG32" s="5">
        <v>1894.5</v>
      </c>
      <c r="BH32" s="16">
        <v>248.52835211999999</v>
      </c>
      <c r="BI32" s="10">
        <v>45820</v>
      </c>
      <c r="BJ32" s="5">
        <v>1030.9000000000001</v>
      </c>
      <c r="BK32" s="16">
        <v>135.48871199999999</v>
      </c>
      <c r="BL32" s="18">
        <v>86430</v>
      </c>
      <c r="BM32" s="5">
        <v>1947.2</v>
      </c>
      <c r="BN32" s="16">
        <v>256.0440408</v>
      </c>
      <c r="BO32" s="18">
        <v>43900</v>
      </c>
      <c r="BP32" s="5">
        <v>987.02</v>
      </c>
      <c r="BQ32" s="16">
        <v>129.68787989</v>
      </c>
      <c r="BR32" s="18">
        <v>64910</v>
      </c>
      <c r="BS32" s="5">
        <v>1458.58</v>
      </c>
      <c r="BT32" s="16">
        <v>191.62568680999999</v>
      </c>
      <c r="BU32" s="18">
        <v>110190</v>
      </c>
      <c r="BV32" s="5">
        <v>2506.9899999999998</v>
      </c>
      <c r="BW32" s="16">
        <v>330.72563969999999</v>
      </c>
    </row>
    <row r="33" spans="1:75" x14ac:dyDescent="0.2">
      <c r="A33" s="21" t="s">
        <v>61</v>
      </c>
      <c r="B33" s="10">
        <v>42810</v>
      </c>
      <c r="C33" s="5">
        <v>1005.4934475</v>
      </c>
      <c r="D33" s="5">
        <v>189.08863919999999</v>
      </c>
      <c r="E33" s="18">
        <v>41930</v>
      </c>
      <c r="F33" s="5">
        <v>985.12516770000002</v>
      </c>
      <c r="G33" s="5">
        <v>183.0908613</v>
      </c>
      <c r="H33" s="18">
        <v>41920</v>
      </c>
      <c r="I33" s="5">
        <v>985.5</v>
      </c>
      <c r="J33" s="16">
        <v>183.2</v>
      </c>
      <c r="K33" s="18">
        <v>43170</v>
      </c>
      <c r="L33" s="5">
        <v>1014.6</v>
      </c>
      <c r="M33" s="5">
        <v>188.6</v>
      </c>
      <c r="N33" s="18">
        <v>44000</v>
      </c>
      <c r="O33" s="5">
        <v>1034.0999999999999</v>
      </c>
      <c r="P33" s="5">
        <v>192.3</v>
      </c>
      <c r="Q33" s="18">
        <v>41350</v>
      </c>
      <c r="R33" s="5">
        <v>972.1</v>
      </c>
      <c r="S33" s="5">
        <v>180.8</v>
      </c>
      <c r="T33" s="18">
        <v>41160</v>
      </c>
      <c r="U33" s="5">
        <v>967.6</v>
      </c>
      <c r="V33" s="5">
        <v>179.9</v>
      </c>
      <c r="W33" s="18">
        <v>39680</v>
      </c>
      <c r="X33" s="5">
        <v>932.3</v>
      </c>
      <c r="Y33" s="5">
        <v>173.3</v>
      </c>
      <c r="Z33" s="18">
        <v>40710</v>
      </c>
      <c r="AA33" s="5">
        <v>956.5</v>
      </c>
      <c r="AB33" s="16">
        <v>165</v>
      </c>
      <c r="AC33" s="21" t="s">
        <v>61</v>
      </c>
      <c r="AD33" s="10">
        <v>37740</v>
      </c>
      <c r="AE33" s="5">
        <v>886.9</v>
      </c>
      <c r="AF33" s="16">
        <v>140.80000000000001</v>
      </c>
      <c r="AG33" s="10">
        <v>36410</v>
      </c>
      <c r="AH33" s="5">
        <v>856.1</v>
      </c>
      <c r="AI33" s="16">
        <v>124.9</v>
      </c>
      <c r="AJ33" s="10">
        <v>37090</v>
      </c>
      <c r="AK33" s="5">
        <v>872.1</v>
      </c>
      <c r="AL33" s="16">
        <v>115.9</v>
      </c>
      <c r="AM33" s="10">
        <v>35630</v>
      </c>
      <c r="AN33" s="5">
        <v>837.2</v>
      </c>
      <c r="AO33" s="16">
        <v>111.2</v>
      </c>
      <c r="AP33" s="10">
        <v>36050</v>
      </c>
      <c r="AQ33" s="5">
        <v>847.7</v>
      </c>
      <c r="AR33" s="16">
        <v>112.7</v>
      </c>
      <c r="AS33" s="10">
        <v>36810</v>
      </c>
      <c r="AT33" s="5">
        <v>865.5</v>
      </c>
      <c r="AU33" s="16">
        <v>115.1</v>
      </c>
      <c r="AV33" s="10">
        <v>37590</v>
      </c>
      <c r="AW33" s="5">
        <v>883.4</v>
      </c>
      <c r="AX33" s="16">
        <v>117.5</v>
      </c>
      <c r="AY33" s="10">
        <v>143840</v>
      </c>
      <c r="AZ33" s="5">
        <v>3332.4</v>
      </c>
      <c r="BA33" s="16">
        <v>441.7</v>
      </c>
      <c r="BB33" s="25">
        <v>114760</v>
      </c>
      <c r="BC33" s="26">
        <v>2693.6</v>
      </c>
      <c r="BD33" s="27">
        <v>358.8</v>
      </c>
      <c r="BE33" s="65" t="s">
        <v>61</v>
      </c>
      <c r="BF33" s="18">
        <v>46900</v>
      </c>
      <c r="BG33" s="5">
        <v>1102.0999999999999</v>
      </c>
      <c r="BH33" s="16">
        <v>146.78003812</v>
      </c>
      <c r="BI33" s="10">
        <v>82290</v>
      </c>
      <c r="BJ33" s="5">
        <v>1936.8</v>
      </c>
      <c r="BK33" s="16">
        <v>258.13417889999999</v>
      </c>
      <c r="BL33" s="18">
        <v>85570</v>
      </c>
      <c r="BM33" s="5">
        <v>2011</v>
      </c>
      <c r="BN33" s="16">
        <v>267.94727399999999</v>
      </c>
      <c r="BO33" s="18">
        <v>40370</v>
      </c>
      <c r="BP33" s="5">
        <v>948.73</v>
      </c>
      <c r="BQ33" s="16">
        <v>126.37975498</v>
      </c>
      <c r="BR33" s="18">
        <v>49910</v>
      </c>
      <c r="BS33" s="5">
        <v>1172.3399999999999</v>
      </c>
      <c r="BT33" s="16">
        <v>156.18217591999999</v>
      </c>
      <c r="BU33" s="18">
        <v>130830</v>
      </c>
      <c r="BV33" s="5">
        <v>3047.46</v>
      </c>
      <c r="BW33" s="16">
        <v>405.011053</v>
      </c>
    </row>
    <row r="34" spans="1:75" x14ac:dyDescent="0.2">
      <c r="A34" s="21" t="s">
        <v>62</v>
      </c>
      <c r="B34" s="10">
        <v>41950</v>
      </c>
      <c r="C34" s="5">
        <v>1028.5106572</v>
      </c>
      <c r="D34" s="5">
        <v>193.8274973</v>
      </c>
      <c r="E34" s="18">
        <v>40100</v>
      </c>
      <c r="F34" s="5">
        <v>982.77965540000002</v>
      </c>
      <c r="G34" s="5">
        <v>183.62740530000002</v>
      </c>
      <c r="H34" s="18">
        <v>41480</v>
      </c>
      <c r="I34" s="5">
        <v>1016.6</v>
      </c>
      <c r="J34" s="16">
        <v>190</v>
      </c>
      <c r="K34" s="18">
        <v>44940</v>
      </c>
      <c r="L34" s="5">
        <v>1100.9000000000001</v>
      </c>
      <c r="M34" s="5">
        <v>205.7</v>
      </c>
      <c r="N34" s="18">
        <v>41530</v>
      </c>
      <c r="O34" s="5">
        <v>1016.9</v>
      </c>
      <c r="P34" s="5">
        <v>190</v>
      </c>
      <c r="Q34" s="18">
        <v>42340</v>
      </c>
      <c r="R34" s="5">
        <v>1037.5999999999999</v>
      </c>
      <c r="S34" s="5">
        <v>193.9</v>
      </c>
      <c r="T34" s="18">
        <v>40990</v>
      </c>
      <c r="U34" s="5">
        <v>1004.3</v>
      </c>
      <c r="V34" s="5">
        <v>187.7</v>
      </c>
      <c r="W34" s="18">
        <v>40540</v>
      </c>
      <c r="X34" s="5">
        <v>993.6</v>
      </c>
      <c r="Y34" s="5">
        <v>185.7</v>
      </c>
      <c r="Z34" s="18">
        <v>38470</v>
      </c>
      <c r="AA34" s="5">
        <v>943.2</v>
      </c>
      <c r="AB34" s="16">
        <v>164.2</v>
      </c>
      <c r="AC34" s="21" t="s">
        <v>62</v>
      </c>
      <c r="AD34" s="10">
        <v>36090</v>
      </c>
      <c r="AE34" s="5">
        <v>884.9</v>
      </c>
      <c r="AF34" s="16">
        <v>136.5</v>
      </c>
      <c r="AG34" s="10">
        <v>37770</v>
      </c>
      <c r="AH34" s="5">
        <v>925.3</v>
      </c>
      <c r="AI34" s="16">
        <v>129.6</v>
      </c>
      <c r="AJ34" s="10">
        <v>37800</v>
      </c>
      <c r="AK34" s="5">
        <v>925.8</v>
      </c>
      <c r="AL34" s="16">
        <v>117.5</v>
      </c>
      <c r="AM34" s="10">
        <v>38630</v>
      </c>
      <c r="AN34" s="5">
        <v>946.7</v>
      </c>
      <c r="AO34" s="16">
        <v>119.8</v>
      </c>
      <c r="AP34" s="10">
        <v>38760</v>
      </c>
      <c r="AQ34" s="5">
        <v>949.2</v>
      </c>
      <c r="AR34" s="16">
        <v>120</v>
      </c>
      <c r="AS34" s="10">
        <v>39360</v>
      </c>
      <c r="AT34" s="5">
        <v>964.4</v>
      </c>
      <c r="AU34" s="16">
        <v>122.3</v>
      </c>
      <c r="AV34" s="10">
        <v>39160</v>
      </c>
      <c r="AW34" s="5">
        <v>959.3</v>
      </c>
      <c r="AX34" s="16">
        <v>121.1</v>
      </c>
      <c r="AY34" s="10">
        <v>39320</v>
      </c>
      <c r="AZ34" s="5">
        <v>963.1</v>
      </c>
      <c r="BA34" s="16">
        <v>121.7</v>
      </c>
      <c r="BB34" s="25">
        <v>55160</v>
      </c>
      <c r="BC34" s="26">
        <v>1350.4</v>
      </c>
      <c r="BD34" s="27">
        <v>174.1</v>
      </c>
      <c r="BE34" s="65" t="s">
        <v>62</v>
      </c>
      <c r="BF34" s="18">
        <v>119030</v>
      </c>
      <c r="BG34" s="5">
        <v>2890.9</v>
      </c>
      <c r="BH34" s="16">
        <v>379.92993260000003</v>
      </c>
      <c r="BI34" s="10">
        <v>48340</v>
      </c>
      <c r="BJ34" s="5">
        <v>1183.9000000000001</v>
      </c>
      <c r="BK34" s="16">
        <v>150.78123630000002</v>
      </c>
      <c r="BL34" s="18">
        <v>48480</v>
      </c>
      <c r="BM34" s="5">
        <v>1187.3</v>
      </c>
      <c r="BN34" s="16">
        <v>152.52223430000001</v>
      </c>
      <c r="BO34" s="18">
        <v>126830</v>
      </c>
      <c r="BP34" s="5">
        <v>3089.8</v>
      </c>
      <c r="BQ34" s="16">
        <v>409.22658369999999</v>
      </c>
      <c r="BR34" s="18">
        <v>45630</v>
      </c>
      <c r="BS34" s="5">
        <v>1117.58</v>
      </c>
      <c r="BT34" s="16">
        <v>143.40245752000001</v>
      </c>
      <c r="BU34" s="18">
        <v>54760</v>
      </c>
      <c r="BV34" s="5">
        <v>1340.53</v>
      </c>
      <c r="BW34" s="16">
        <v>172.99139405000003</v>
      </c>
    </row>
    <row r="35" spans="1:75" x14ac:dyDescent="0.2">
      <c r="A35" s="21" t="s">
        <v>63</v>
      </c>
      <c r="B35" s="10">
        <v>40990</v>
      </c>
      <c r="C35" s="5">
        <v>1045.6187189</v>
      </c>
      <c r="D35" s="5">
        <v>198.09057240000001</v>
      </c>
      <c r="E35" s="18">
        <v>39970</v>
      </c>
      <c r="F35" s="5">
        <v>1019.154821</v>
      </c>
      <c r="G35" s="5">
        <v>191.343459</v>
      </c>
      <c r="H35" s="18">
        <v>40130</v>
      </c>
      <c r="I35" s="5">
        <v>1023.4</v>
      </c>
      <c r="J35" s="16">
        <v>192.1</v>
      </c>
      <c r="K35" s="18">
        <v>40620</v>
      </c>
      <c r="L35" s="5">
        <v>1036</v>
      </c>
      <c r="M35" s="5">
        <v>194.5</v>
      </c>
      <c r="N35" s="18">
        <v>41890</v>
      </c>
      <c r="O35" s="5">
        <v>1068</v>
      </c>
      <c r="P35" s="5">
        <v>200.6</v>
      </c>
      <c r="Q35" s="18">
        <v>40890</v>
      </c>
      <c r="R35" s="5">
        <v>1043.2</v>
      </c>
      <c r="S35" s="5">
        <v>195.9</v>
      </c>
      <c r="T35" s="18">
        <v>40600</v>
      </c>
      <c r="U35" s="5">
        <v>1035</v>
      </c>
      <c r="V35" s="5">
        <v>194.4</v>
      </c>
      <c r="W35" s="18">
        <v>39290</v>
      </c>
      <c r="X35" s="5">
        <v>1001.6</v>
      </c>
      <c r="Y35" s="5">
        <v>188.1</v>
      </c>
      <c r="Z35" s="18">
        <v>39390</v>
      </c>
      <c r="AA35" s="5">
        <v>1004.9</v>
      </c>
      <c r="AB35" s="16">
        <v>176.4</v>
      </c>
      <c r="AC35" s="21" t="s">
        <v>63</v>
      </c>
      <c r="AD35" s="10">
        <v>36350</v>
      </c>
      <c r="AE35" s="5">
        <v>927</v>
      </c>
      <c r="AF35" s="16">
        <v>145</v>
      </c>
      <c r="AG35" s="10">
        <v>37270</v>
      </c>
      <c r="AH35" s="5">
        <v>950.5</v>
      </c>
      <c r="AI35" s="16">
        <v>135.30000000000001</v>
      </c>
      <c r="AJ35" s="10">
        <v>36280</v>
      </c>
      <c r="AK35" s="5">
        <v>925</v>
      </c>
      <c r="AL35" s="16">
        <v>118.8</v>
      </c>
      <c r="AM35" s="10">
        <v>37020</v>
      </c>
      <c r="AN35" s="5">
        <v>944.2</v>
      </c>
      <c r="AO35" s="16">
        <v>121.5</v>
      </c>
      <c r="AP35" s="10">
        <v>35580</v>
      </c>
      <c r="AQ35" s="5">
        <v>907.5</v>
      </c>
      <c r="AR35" s="16">
        <v>117</v>
      </c>
      <c r="AS35" s="10">
        <v>36870</v>
      </c>
      <c r="AT35" s="5">
        <v>940</v>
      </c>
      <c r="AU35" s="16">
        <v>120.4</v>
      </c>
      <c r="AV35" s="10">
        <v>36660</v>
      </c>
      <c r="AW35" s="5">
        <v>935</v>
      </c>
      <c r="AX35" s="16">
        <v>119.8</v>
      </c>
      <c r="AY35" s="10">
        <v>38440</v>
      </c>
      <c r="AZ35" s="5">
        <v>980.3</v>
      </c>
      <c r="BA35" s="16">
        <v>125.7</v>
      </c>
      <c r="BB35" s="25">
        <v>47680</v>
      </c>
      <c r="BC35" s="26">
        <v>1215.8</v>
      </c>
      <c r="BD35" s="27">
        <v>158.19999999999999</v>
      </c>
      <c r="BE35" s="65" t="s">
        <v>63</v>
      </c>
      <c r="BF35" s="18">
        <v>50510</v>
      </c>
      <c r="BG35" s="5">
        <v>1287.42</v>
      </c>
      <c r="BH35" s="16">
        <v>166.87860802</v>
      </c>
      <c r="BI35" s="10">
        <v>110900</v>
      </c>
      <c r="BJ35" s="5">
        <v>2839.8</v>
      </c>
      <c r="BK35" s="16">
        <v>379.66537839999995</v>
      </c>
      <c r="BL35" s="18">
        <v>127240</v>
      </c>
      <c r="BM35" s="5">
        <v>3250</v>
      </c>
      <c r="BN35" s="16">
        <v>436.47243700000001</v>
      </c>
      <c r="BO35" s="18">
        <v>44940</v>
      </c>
      <c r="BP35" s="5">
        <v>1145.7</v>
      </c>
      <c r="BQ35" s="16">
        <v>149.53171230000001</v>
      </c>
      <c r="BR35" s="18">
        <v>78530</v>
      </c>
      <c r="BS35" s="5">
        <v>2012.11</v>
      </c>
      <c r="BT35" s="16">
        <v>268.17219691999998</v>
      </c>
      <c r="BU35" s="18">
        <v>47750</v>
      </c>
      <c r="BV35" s="5">
        <v>1217.25</v>
      </c>
      <c r="BW35" s="16">
        <v>158.56572069000001</v>
      </c>
    </row>
    <row r="36" spans="1:75" x14ac:dyDescent="0.2">
      <c r="A36" s="21" t="s">
        <v>64</v>
      </c>
      <c r="B36" s="10">
        <v>40420</v>
      </c>
      <c r="C36" s="5">
        <v>1071.4916812000001</v>
      </c>
      <c r="D36" s="5">
        <v>203.3703247</v>
      </c>
      <c r="E36" s="18">
        <v>40670</v>
      </c>
      <c r="F36" s="5">
        <v>1077.5033197</v>
      </c>
      <c r="G36" s="5">
        <v>203.17062669999999</v>
      </c>
      <c r="H36" s="18">
        <v>40840</v>
      </c>
      <c r="I36" s="5">
        <v>1081.9000000000001</v>
      </c>
      <c r="J36" s="16">
        <v>204</v>
      </c>
      <c r="K36" s="18">
        <v>40180</v>
      </c>
      <c r="L36" s="5">
        <v>1064.5999999999999</v>
      </c>
      <c r="M36" s="5">
        <v>200.8</v>
      </c>
      <c r="N36" s="18">
        <v>38850</v>
      </c>
      <c r="O36" s="5">
        <v>1029.3</v>
      </c>
      <c r="P36" s="5">
        <v>194.1</v>
      </c>
      <c r="Q36" s="18">
        <v>40820</v>
      </c>
      <c r="R36" s="5">
        <v>1081.2</v>
      </c>
      <c r="S36" s="5">
        <v>203.9</v>
      </c>
      <c r="T36" s="18">
        <v>40520</v>
      </c>
      <c r="U36" s="5">
        <v>1074.0999999999999</v>
      </c>
      <c r="V36" s="5">
        <v>202.6</v>
      </c>
      <c r="W36" s="18">
        <v>40970</v>
      </c>
      <c r="X36" s="5">
        <v>1085.0999999999999</v>
      </c>
      <c r="Y36" s="5">
        <v>204.6</v>
      </c>
      <c r="Z36" s="18">
        <v>36940</v>
      </c>
      <c r="AA36" s="5">
        <v>978.4</v>
      </c>
      <c r="AB36" s="16">
        <v>172.9</v>
      </c>
      <c r="AC36" s="21" t="s">
        <v>64</v>
      </c>
      <c r="AD36" s="10">
        <v>36310</v>
      </c>
      <c r="AE36" s="5">
        <v>962.6</v>
      </c>
      <c r="AF36" s="16">
        <v>151.4</v>
      </c>
      <c r="AG36" s="10">
        <v>36620</v>
      </c>
      <c r="AH36" s="5">
        <v>970.4</v>
      </c>
      <c r="AI36" s="16">
        <v>139.69999999999999</v>
      </c>
      <c r="AJ36" s="10">
        <v>34790</v>
      </c>
      <c r="AK36" s="5">
        <v>921.3</v>
      </c>
      <c r="AL36" s="16">
        <v>119.2</v>
      </c>
      <c r="AM36" s="10">
        <v>35480</v>
      </c>
      <c r="AN36" s="5">
        <v>940</v>
      </c>
      <c r="AO36" s="16">
        <v>122.1</v>
      </c>
      <c r="AP36" s="10">
        <v>35030</v>
      </c>
      <c r="AQ36" s="5">
        <v>928</v>
      </c>
      <c r="AR36" s="16">
        <v>119.8</v>
      </c>
      <c r="AS36" s="10">
        <v>36080</v>
      </c>
      <c r="AT36" s="5">
        <v>955.8</v>
      </c>
      <c r="AU36" s="16">
        <v>123.9</v>
      </c>
      <c r="AV36" s="10">
        <v>35260</v>
      </c>
      <c r="AW36" s="5">
        <v>934.2</v>
      </c>
      <c r="AX36" s="16">
        <v>121.1</v>
      </c>
      <c r="AY36" s="10">
        <v>36450</v>
      </c>
      <c r="AZ36" s="5">
        <v>965.9</v>
      </c>
      <c r="BA36" s="16">
        <v>125.3</v>
      </c>
      <c r="BB36" s="25">
        <v>43470</v>
      </c>
      <c r="BC36" s="26">
        <v>1151.5</v>
      </c>
      <c r="BD36" s="27">
        <v>151.1</v>
      </c>
      <c r="BE36" s="65" t="s">
        <v>64</v>
      </c>
      <c r="BF36" s="18">
        <v>45290</v>
      </c>
      <c r="BG36" s="5">
        <v>1199.83</v>
      </c>
      <c r="BH36" s="16">
        <v>156.47500415000002</v>
      </c>
      <c r="BI36" s="10">
        <v>55780</v>
      </c>
      <c r="BJ36" s="5">
        <v>1476.8</v>
      </c>
      <c r="BK36" s="16">
        <v>195.2090954</v>
      </c>
      <c r="BL36" s="18">
        <v>54220</v>
      </c>
      <c r="BM36" s="5">
        <v>1435.8</v>
      </c>
      <c r="BN36" s="16">
        <v>190.74057969999998</v>
      </c>
      <c r="BO36" s="18">
        <v>136240</v>
      </c>
      <c r="BP36" s="5">
        <v>3602.77</v>
      </c>
      <c r="BQ36" s="16">
        <v>490.11443133999995</v>
      </c>
      <c r="BR36" s="18">
        <v>87730</v>
      </c>
      <c r="BS36" s="5">
        <v>2327.44</v>
      </c>
      <c r="BT36" s="16">
        <v>314.26626812000001</v>
      </c>
      <c r="BU36" s="18">
        <v>44010</v>
      </c>
      <c r="BV36" s="5">
        <v>1166.19</v>
      </c>
      <c r="BW36" s="16">
        <v>153.48621978</v>
      </c>
    </row>
    <row r="37" spans="1:75" x14ac:dyDescent="0.2">
      <c r="A37" s="21" t="s">
        <v>65</v>
      </c>
      <c r="B37" s="10">
        <v>38200</v>
      </c>
      <c r="C37" s="5">
        <v>1050.6981458</v>
      </c>
      <c r="D37" s="5">
        <v>200.2612713</v>
      </c>
      <c r="E37" s="18">
        <v>39900</v>
      </c>
      <c r="F37" s="5">
        <v>1097.6529413000001</v>
      </c>
      <c r="G37" s="5">
        <v>207.837964</v>
      </c>
      <c r="H37" s="18">
        <v>39020</v>
      </c>
      <c r="I37" s="5">
        <v>1072.5</v>
      </c>
      <c r="J37" s="16">
        <v>203.1</v>
      </c>
      <c r="K37" s="18">
        <v>39670</v>
      </c>
      <c r="L37" s="5">
        <v>1090.8</v>
      </c>
      <c r="M37" s="5">
        <v>206.5</v>
      </c>
      <c r="N37" s="18">
        <v>38810</v>
      </c>
      <c r="O37" s="5">
        <v>1066.9000000000001</v>
      </c>
      <c r="P37" s="5">
        <v>202</v>
      </c>
      <c r="Q37" s="18">
        <v>38980</v>
      </c>
      <c r="R37" s="5">
        <v>1072.0999999999999</v>
      </c>
      <c r="S37" s="5">
        <v>203.1</v>
      </c>
      <c r="T37" s="18">
        <v>39690</v>
      </c>
      <c r="U37" s="5">
        <v>1091.8</v>
      </c>
      <c r="V37" s="5">
        <v>206.7</v>
      </c>
      <c r="W37" s="18">
        <v>38590</v>
      </c>
      <c r="X37" s="5">
        <v>1061.8</v>
      </c>
      <c r="Y37" s="5">
        <v>201.1</v>
      </c>
      <c r="Z37" s="18">
        <v>39240</v>
      </c>
      <c r="AA37" s="5">
        <v>1079</v>
      </c>
      <c r="AB37" s="16">
        <v>192.1</v>
      </c>
      <c r="AC37" s="21" t="s">
        <v>65</v>
      </c>
      <c r="AD37" s="10">
        <v>37680</v>
      </c>
      <c r="AE37" s="5">
        <v>1036.2</v>
      </c>
      <c r="AF37" s="16">
        <v>165.6</v>
      </c>
      <c r="AG37" s="10">
        <v>35930</v>
      </c>
      <c r="AH37" s="5">
        <v>988</v>
      </c>
      <c r="AI37" s="16">
        <v>143</v>
      </c>
      <c r="AJ37" s="10">
        <v>35430</v>
      </c>
      <c r="AK37" s="5">
        <v>974.7</v>
      </c>
      <c r="AL37" s="16">
        <v>127.7</v>
      </c>
      <c r="AM37" s="10">
        <v>36320</v>
      </c>
      <c r="AN37" s="5">
        <v>998.3</v>
      </c>
      <c r="AO37" s="16">
        <v>130.80000000000001</v>
      </c>
      <c r="AP37" s="10">
        <v>34990</v>
      </c>
      <c r="AQ37" s="5">
        <v>962.4</v>
      </c>
      <c r="AR37" s="16">
        <v>126.1</v>
      </c>
      <c r="AS37" s="10">
        <v>34400</v>
      </c>
      <c r="AT37" s="5">
        <v>946</v>
      </c>
      <c r="AU37" s="16">
        <v>123.6</v>
      </c>
      <c r="AV37" s="10">
        <v>34780</v>
      </c>
      <c r="AW37" s="5">
        <v>956.6</v>
      </c>
      <c r="AX37" s="16">
        <v>125.2</v>
      </c>
      <c r="AY37" s="10">
        <v>35710</v>
      </c>
      <c r="AZ37" s="5">
        <v>982</v>
      </c>
      <c r="BA37" s="16">
        <v>128.80000000000001</v>
      </c>
      <c r="BB37" s="25">
        <v>40460</v>
      </c>
      <c r="BC37" s="26">
        <v>1112.5</v>
      </c>
      <c r="BD37" s="27">
        <v>147.19999999999999</v>
      </c>
      <c r="BE37" s="65" t="s">
        <v>65</v>
      </c>
      <c r="BF37" s="18">
        <v>42820</v>
      </c>
      <c r="BG37" s="5">
        <v>1177.1500000000001</v>
      </c>
      <c r="BH37" s="16">
        <v>154.57341550999999</v>
      </c>
      <c r="BI37" s="10">
        <v>47100</v>
      </c>
      <c r="BJ37" s="5">
        <v>1294.8</v>
      </c>
      <c r="BK37" s="16">
        <v>171.65376469999998</v>
      </c>
      <c r="BL37" s="18">
        <v>44510</v>
      </c>
      <c r="BM37" s="5">
        <v>1223.7</v>
      </c>
      <c r="BN37" s="16">
        <v>162.93173830000001</v>
      </c>
      <c r="BO37" s="18">
        <v>53480</v>
      </c>
      <c r="BP37" s="5">
        <v>1468.89</v>
      </c>
      <c r="BQ37" s="16">
        <v>197.69615346</v>
      </c>
      <c r="BR37" s="18">
        <v>93760</v>
      </c>
      <c r="BS37" s="5">
        <v>2601.0100000000002</v>
      </c>
      <c r="BT37" s="16">
        <v>356.20505437000003</v>
      </c>
      <c r="BU37" s="18">
        <v>78680</v>
      </c>
      <c r="BV37" s="5">
        <v>2170.83</v>
      </c>
      <c r="BW37" s="16">
        <v>295.26048573000003</v>
      </c>
    </row>
    <row r="38" spans="1:75" x14ac:dyDescent="0.2">
      <c r="A38" s="21" t="s">
        <v>66</v>
      </c>
      <c r="B38" s="10">
        <v>41020</v>
      </c>
      <c r="C38" s="5">
        <v>1168.3989749</v>
      </c>
      <c r="D38" s="5">
        <v>223.2687061</v>
      </c>
      <c r="E38" s="18">
        <v>38680</v>
      </c>
      <c r="F38" s="5">
        <v>1102.5725801999999</v>
      </c>
      <c r="G38" s="5">
        <v>209.5404284</v>
      </c>
      <c r="H38" s="18">
        <v>41610</v>
      </c>
      <c r="I38" s="5">
        <v>1185.7</v>
      </c>
      <c r="J38" s="16">
        <v>225.4</v>
      </c>
      <c r="K38" s="18">
        <v>39960</v>
      </c>
      <c r="L38" s="5">
        <v>1138.9000000000001</v>
      </c>
      <c r="M38" s="5">
        <v>216.5</v>
      </c>
      <c r="N38" s="18">
        <v>40070</v>
      </c>
      <c r="O38" s="5">
        <v>1141.7</v>
      </c>
      <c r="P38" s="5">
        <v>217</v>
      </c>
      <c r="Q38" s="18">
        <v>39160</v>
      </c>
      <c r="R38" s="5">
        <v>1115.5</v>
      </c>
      <c r="S38" s="5">
        <v>212</v>
      </c>
      <c r="T38" s="18">
        <v>39580</v>
      </c>
      <c r="U38" s="5">
        <v>1128</v>
      </c>
      <c r="V38" s="5">
        <v>214.4</v>
      </c>
      <c r="W38" s="18">
        <v>39840</v>
      </c>
      <c r="X38" s="5">
        <v>1135.0999999999999</v>
      </c>
      <c r="Y38" s="5">
        <v>215.7</v>
      </c>
      <c r="Z38" s="18">
        <v>38660</v>
      </c>
      <c r="AA38" s="5">
        <v>1102.2</v>
      </c>
      <c r="AB38" s="16">
        <v>197.4</v>
      </c>
      <c r="AC38" s="21" t="s">
        <v>66</v>
      </c>
      <c r="AD38" s="10">
        <v>37800</v>
      </c>
      <c r="AE38" s="5">
        <v>1077.2</v>
      </c>
      <c r="AF38" s="16">
        <v>172.8</v>
      </c>
      <c r="AG38" s="10">
        <v>37100</v>
      </c>
      <c r="AH38" s="5">
        <v>1056.5999999999999</v>
      </c>
      <c r="AI38" s="16">
        <v>154.6</v>
      </c>
      <c r="AJ38" s="10">
        <v>35260</v>
      </c>
      <c r="AK38" s="5">
        <v>1005.1</v>
      </c>
      <c r="AL38" s="16">
        <v>133.19999999999999</v>
      </c>
      <c r="AM38" s="10">
        <v>37740</v>
      </c>
      <c r="AN38" s="5">
        <v>1075.9000000000001</v>
      </c>
      <c r="AO38" s="16">
        <v>142.6</v>
      </c>
      <c r="AP38" s="10">
        <v>33900</v>
      </c>
      <c r="AQ38" s="5">
        <v>966.3</v>
      </c>
      <c r="AR38" s="16">
        <v>127.7</v>
      </c>
      <c r="AS38" s="10">
        <v>34950</v>
      </c>
      <c r="AT38" s="5">
        <v>995.7</v>
      </c>
      <c r="AU38" s="16">
        <v>131.69999999999999</v>
      </c>
      <c r="AV38" s="10">
        <v>34350</v>
      </c>
      <c r="AW38" s="5">
        <v>979.1</v>
      </c>
      <c r="AX38" s="16">
        <v>129.5</v>
      </c>
      <c r="AY38" s="10">
        <v>35090</v>
      </c>
      <c r="AZ38" s="5">
        <v>999.9</v>
      </c>
      <c r="BA38" s="16">
        <v>132.19999999999999</v>
      </c>
      <c r="BB38" s="25">
        <v>38850</v>
      </c>
      <c r="BC38" s="26">
        <v>1107.3</v>
      </c>
      <c r="BD38" s="27">
        <v>147.69999999999999</v>
      </c>
      <c r="BE38" s="65" t="s">
        <v>66</v>
      </c>
      <c r="BF38" s="18">
        <v>39500</v>
      </c>
      <c r="BG38" s="5">
        <v>1125.6600000000001</v>
      </c>
      <c r="BH38" s="16">
        <v>149.17943671</v>
      </c>
      <c r="BI38" s="10">
        <v>42950</v>
      </c>
      <c r="BJ38" s="5">
        <v>1224</v>
      </c>
      <c r="BK38" s="16">
        <v>163.11968059999998</v>
      </c>
      <c r="BL38" s="18">
        <v>40210</v>
      </c>
      <c r="BM38" s="5">
        <v>1145.7</v>
      </c>
      <c r="BN38" s="16">
        <v>153.37608900000001</v>
      </c>
      <c r="BO38" s="18">
        <v>39300</v>
      </c>
      <c r="BP38" s="5">
        <v>1119.3699999999999</v>
      </c>
      <c r="BQ38" s="16">
        <v>150.38384961000003</v>
      </c>
      <c r="BR38" s="18">
        <v>81130</v>
      </c>
      <c r="BS38" s="5">
        <v>2304.66</v>
      </c>
      <c r="BT38" s="16">
        <v>316.67028031000001</v>
      </c>
      <c r="BU38" s="18">
        <v>88270</v>
      </c>
      <c r="BV38" s="5">
        <v>2518.16</v>
      </c>
      <c r="BW38" s="16">
        <v>346.70392261000001</v>
      </c>
    </row>
    <row r="39" spans="1:75" x14ac:dyDescent="0.2">
      <c r="A39" s="21" t="s">
        <v>67</v>
      </c>
      <c r="B39" s="10">
        <v>38560</v>
      </c>
      <c r="C39" s="5">
        <v>1137.5700394</v>
      </c>
      <c r="D39" s="5">
        <v>217.9958427</v>
      </c>
      <c r="E39" s="18">
        <v>41610</v>
      </c>
      <c r="F39" s="5">
        <v>1228.0428627000001</v>
      </c>
      <c r="G39" s="5">
        <v>234.24052040000001</v>
      </c>
      <c r="H39" s="18">
        <v>40300</v>
      </c>
      <c r="I39" s="5">
        <v>1189.2</v>
      </c>
      <c r="J39" s="16">
        <v>226.8</v>
      </c>
      <c r="K39" s="18">
        <v>41680</v>
      </c>
      <c r="L39" s="5">
        <v>1230.0999999999999</v>
      </c>
      <c r="M39" s="5">
        <v>234.6</v>
      </c>
      <c r="N39" s="18">
        <v>42410</v>
      </c>
      <c r="O39" s="5">
        <v>1251.4000000000001</v>
      </c>
      <c r="P39" s="5">
        <v>238.7</v>
      </c>
      <c r="Q39" s="18">
        <v>39150</v>
      </c>
      <c r="R39" s="5">
        <v>1155.0999999999999</v>
      </c>
      <c r="S39" s="5">
        <v>220.3</v>
      </c>
      <c r="T39" s="18">
        <v>41960</v>
      </c>
      <c r="U39" s="5">
        <v>1237.7</v>
      </c>
      <c r="V39" s="5">
        <v>236.1</v>
      </c>
      <c r="W39" s="18">
        <v>42230</v>
      </c>
      <c r="X39" s="5">
        <v>1246.2</v>
      </c>
      <c r="Y39" s="5">
        <v>237.7</v>
      </c>
      <c r="Z39" s="18">
        <v>41240</v>
      </c>
      <c r="AA39" s="5">
        <v>1217</v>
      </c>
      <c r="AB39" s="16">
        <v>219.3</v>
      </c>
      <c r="AC39" s="21" t="s">
        <v>67</v>
      </c>
      <c r="AD39" s="10">
        <v>38860</v>
      </c>
      <c r="AE39" s="5">
        <v>1146.5999999999999</v>
      </c>
      <c r="AF39" s="16">
        <v>185.9</v>
      </c>
      <c r="AG39" s="10">
        <v>36230</v>
      </c>
      <c r="AH39" s="5">
        <v>1069.5</v>
      </c>
      <c r="AI39" s="16">
        <v>158.19999999999999</v>
      </c>
      <c r="AJ39" s="10">
        <v>39890</v>
      </c>
      <c r="AK39" s="5">
        <v>1176.9000000000001</v>
      </c>
      <c r="AL39" s="16">
        <v>156.80000000000001</v>
      </c>
      <c r="AM39" s="10">
        <v>34000</v>
      </c>
      <c r="AN39" s="5">
        <v>1003.9</v>
      </c>
      <c r="AO39" s="16">
        <v>134.19999999999999</v>
      </c>
      <c r="AP39" s="10">
        <v>35420</v>
      </c>
      <c r="AQ39" s="5">
        <v>1044.8</v>
      </c>
      <c r="AR39" s="16">
        <v>139.30000000000001</v>
      </c>
      <c r="AS39" s="10">
        <v>34680</v>
      </c>
      <c r="AT39" s="5">
        <v>1023.2</v>
      </c>
      <c r="AU39" s="16">
        <v>136.5</v>
      </c>
      <c r="AV39" s="10">
        <v>34270</v>
      </c>
      <c r="AW39" s="5">
        <v>1011.3</v>
      </c>
      <c r="AX39" s="16">
        <v>135</v>
      </c>
      <c r="AY39" s="10">
        <v>35380</v>
      </c>
      <c r="AZ39" s="5">
        <v>1044.0999999999999</v>
      </c>
      <c r="BA39" s="16">
        <v>139.5</v>
      </c>
      <c r="BB39" s="25">
        <v>37790</v>
      </c>
      <c r="BC39" s="26">
        <v>1115.0999999999999</v>
      </c>
      <c r="BD39" s="27">
        <v>150</v>
      </c>
      <c r="BE39" s="65" t="s">
        <v>67</v>
      </c>
      <c r="BF39" s="18">
        <v>38230</v>
      </c>
      <c r="BG39" s="5">
        <v>1127.8900000000001</v>
      </c>
      <c r="BH39" s="16">
        <v>150.60491943</v>
      </c>
      <c r="BI39" s="10">
        <v>41010</v>
      </c>
      <c r="BJ39" s="5">
        <v>1209.7</v>
      </c>
      <c r="BK39" s="16">
        <v>162.34314780000003</v>
      </c>
      <c r="BL39" s="18">
        <v>37840</v>
      </c>
      <c r="BM39" s="5">
        <v>1116.3</v>
      </c>
      <c r="BN39" s="16">
        <v>150.40396899999999</v>
      </c>
      <c r="BO39" s="18">
        <v>35670</v>
      </c>
      <c r="BP39" s="5">
        <v>1052.1600000000001</v>
      </c>
      <c r="BQ39" s="16">
        <v>141.99453783999999</v>
      </c>
      <c r="BR39" s="18">
        <v>54310</v>
      </c>
      <c r="BS39" s="5">
        <v>1602.65</v>
      </c>
      <c r="BT39" s="16">
        <v>220.04915094999998</v>
      </c>
      <c r="BU39" s="18">
        <v>46080</v>
      </c>
      <c r="BV39" s="5">
        <v>1359.32</v>
      </c>
      <c r="BW39" s="16">
        <v>185.18004065</v>
      </c>
    </row>
    <row r="40" spans="1:75" x14ac:dyDescent="0.2">
      <c r="A40" s="21" t="s">
        <v>68</v>
      </c>
      <c r="B40" s="10">
        <v>38210</v>
      </c>
      <c r="C40" s="5">
        <v>1165.6139949999999</v>
      </c>
      <c r="D40" s="5">
        <v>223.78917769999998</v>
      </c>
      <c r="E40" s="18">
        <v>39280</v>
      </c>
      <c r="F40" s="5">
        <v>1198.2459506</v>
      </c>
      <c r="G40" s="5">
        <v>229.2682408</v>
      </c>
      <c r="H40" s="18">
        <v>39990</v>
      </c>
      <c r="I40" s="5">
        <v>1219.4000000000001</v>
      </c>
      <c r="J40" s="16">
        <v>233.3</v>
      </c>
      <c r="K40" s="18">
        <v>39800</v>
      </c>
      <c r="L40" s="5">
        <v>1213.9000000000001</v>
      </c>
      <c r="M40" s="5">
        <v>232.3</v>
      </c>
      <c r="N40" s="18">
        <v>40910</v>
      </c>
      <c r="O40" s="5">
        <v>1247.4000000000001</v>
      </c>
      <c r="P40" s="5">
        <v>238.7</v>
      </c>
      <c r="Q40" s="18">
        <v>40390</v>
      </c>
      <c r="R40" s="5">
        <v>1232.5</v>
      </c>
      <c r="S40" s="5">
        <v>235.9</v>
      </c>
      <c r="T40" s="18">
        <v>38960</v>
      </c>
      <c r="U40" s="5">
        <v>1188</v>
      </c>
      <c r="V40" s="5">
        <v>227.3</v>
      </c>
      <c r="W40" s="18">
        <v>40250</v>
      </c>
      <c r="X40" s="5">
        <v>1227.4000000000001</v>
      </c>
      <c r="Y40" s="5">
        <v>234.8</v>
      </c>
      <c r="Z40" s="18">
        <v>39670</v>
      </c>
      <c r="AA40" s="5">
        <v>1209.8</v>
      </c>
      <c r="AB40" s="16">
        <v>219.1</v>
      </c>
      <c r="AC40" s="21" t="s">
        <v>68</v>
      </c>
      <c r="AD40" s="10">
        <v>37800</v>
      </c>
      <c r="AE40" s="5">
        <v>1152.5999999999999</v>
      </c>
      <c r="AF40" s="16">
        <v>188.5</v>
      </c>
      <c r="AG40" s="10">
        <v>37100</v>
      </c>
      <c r="AH40" s="5">
        <v>1131.4000000000001</v>
      </c>
      <c r="AI40" s="16">
        <v>168.5</v>
      </c>
      <c r="AJ40" s="10">
        <v>35690</v>
      </c>
      <c r="AK40" s="5">
        <v>1088.7</v>
      </c>
      <c r="AL40" s="16">
        <v>146.30000000000001</v>
      </c>
      <c r="AM40" s="10">
        <v>36020</v>
      </c>
      <c r="AN40" s="5">
        <v>1098.3</v>
      </c>
      <c r="AO40" s="16">
        <v>147.80000000000001</v>
      </c>
      <c r="AP40" s="10">
        <v>35370</v>
      </c>
      <c r="AQ40" s="5">
        <v>1078.7</v>
      </c>
      <c r="AR40" s="16">
        <v>145.4</v>
      </c>
      <c r="AS40" s="10">
        <v>36630</v>
      </c>
      <c r="AT40" s="5">
        <v>1116.9000000000001</v>
      </c>
      <c r="AU40" s="16">
        <v>150.30000000000001</v>
      </c>
      <c r="AV40" s="10">
        <v>34520</v>
      </c>
      <c r="AW40" s="5">
        <v>1052.9000000000001</v>
      </c>
      <c r="AX40" s="16">
        <v>141.69999999999999</v>
      </c>
      <c r="AY40" s="10">
        <v>34630</v>
      </c>
      <c r="AZ40" s="5">
        <v>1056.2</v>
      </c>
      <c r="BA40" s="16">
        <v>142.19999999999999</v>
      </c>
      <c r="BB40" s="25">
        <v>36670</v>
      </c>
      <c r="BC40" s="26">
        <v>1118.4000000000001</v>
      </c>
      <c r="BD40" s="27">
        <v>151.5</v>
      </c>
      <c r="BE40" s="65" t="s">
        <v>68</v>
      </c>
      <c r="BF40" s="18">
        <v>37290</v>
      </c>
      <c r="BG40" s="5">
        <v>1137.1300000000001</v>
      </c>
      <c r="BH40" s="16">
        <v>152.93380225000001</v>
      </c>
      <c r="BI40" s="10">
        <v>38560</v>
      </c>
      <c r="BJ40" s="5">
        <v>1175.9000000000001</v>
      </c>
      <c r="BK40" s="16">
        <v>158.86224419999999</v>
      </c>
      <c r="BL40" s="18">
        <v>37120</v>
      </c>
      <c r="BM40" s="5">
        <v>1132.0999999999999</v>
      </c>
      <c r="BN40" s="16">
        <v>153.37454109999999</v>
      </c>
      <c r="BO40" s="18">
        <v>33650</v>
      </c>
      <c r="BP40" s="5">
        <v>1026.04</v>
      </c>
      <c r="BQ40" s="16">
        <v>139.19495529</v>
      </c>
      <c r="BR40" s="18">
        <v>42780</v>
      </c>
      <c r="BS40" s="5">
        <v>1304.07</v>
      </c>
      <c r="BT40" s="16">
        <v>179.13512064</v>
      </c>
      <c r="BU40" s="18">
        <v>115500</v>
      </c>
      <c r="BV40" s="5">
        <v>3500.62</v>
      </c>
      <c r="BW40" s="16">
        <v>491.87412875999996</v>
      </c>
    </row>
    <row r="41" spans="1:75" x14ac:dyDescent="0.2">
      <c r="A41" s="21" t="s">
        <v>69</v>
      </c>
      <c r="B41" s="10">
        <v>38120</v>
      </c>
      <c r="C41" s="5">
        <v>1200.9014165000001</v>
      </c>
      <c r="D41" s="5">
        <v>231.1577115</v>
      </c>
      <c r="E41" s="18">
        <v>37460</v>
      </c>
      <c r="F41" s="5">
        <v>1180.1320541</v>
      </c>
      <c r="G41" s="5">
        <v>226.51181880000001</v>
      </c>
      <c r="H41" s="18">
        <v>37700</v>
      </c>
      <c r="I41" s="5">
        <v>1187.2</v>
      </c>
      <c r="J41" s="16">
        <v>227.9</v>
      </c>
      <c r="K41" s="18">
        <v>38230</v>
      </c>
      <c r="L41" s="5">
        <v>1204.7</v>
      </c>
      <c r="M41" s="5">
        <v>231.3</v>
      </c>
      <c r="N41" s="18">
        <v>39960</v>
      </c>
      <c r="O41" s="5">
        <v>1259.2</v>
      </c>
      <c r="P41" s="5">
        <v>241.7</v>
      </c>
      <c r="Q41" s="18">
        <v>40530</v>
      </c>
      <c r="R41" s="5">
        <v>1276.7</v>
      </c>
      <c r="S41" s="5">
        <v>245.1</v>
      </c>
      <c r="T41" s="18">
        <v>37850</v>
      </c>
      <c r="U41" s="5">
        <v>1192.5</v>
      </c>
      <c r="V41" s="5">
        <v>228.9</v>
      </c>
      <c r="W41" s="18">
        <v>40660</v>
      </c>
      <c r="X41" s="5">
        <v>1280.5</v>
      </c>
      <c r="Y41" s="5">
        <v>245.8</v>
      </c>
      <c r="Z41" s="18">
        <v>41050</v>
      </c>
      <c r="AA41" s="5">
        <v>1292.8</v>
      </c>
      <c r="AB41" s="16">
        <v>235.3</v>
      </c>
      <c r="AC41" s="21" t="s">
        <v>69</v>
      </c>
      <c r="AD41" s="10">
        <v>40380</v>
      </c>
      <c r="AE41" s="5">
        <v>1272.3</v>
      </c>
      <c r="AF41" s="16">
        <v>209.2</v>
      </c>
      <c r="AG41" s="10">
        <v>37570</v>
      </c>
      <c r="AH41" s="5">
        <v>1183.7</v>
      </c>
      <c r="AI41" s="16">
        <v>177.5</v>
      </c>
      <c r="AJ41" s="10">
        <v>35920</v>
      </c>
      <c r="AK41" s="5">
        <v>1131.4000000000001</v>
      </c>
      <c r="AL41" s="16">
        <v>154.1</v>
      </c>
      <c r="AM41" s="10">
        <v>35690</v>
      </c>
      <c r="AN41" s="5">
        <v>1123.5999999999999</v>
      </c>
      <c r="AO41" s="16">
        <v>152.4</v>
      </c>
      <c r="AP41" s="10">
        <v>34600</v>
      </c>
      <c r="AQ41" s="5">
        <v>1089.5</v>
      </c>
      <c r="AR41" s="16">
        <v>147.4</v>
      </c>
      <c r="AS41" s="10">
        <v>34590</v>
      </c>
      <c r="AT41" s="5">
        <v>1089.8</v>
      </c>
      <c r="AU41" s="16">
        <v>147.6</v>
      </c>
      <c r="AV41" s="10">
        <v>34890</v>
      </c>
      <c r="AW41" s="5">
        <v>1099</v>
      </c>
      <c r="AX41" s="16">
        <v>149.1</v>
      </c>
      <c r="AY41" s="10">
        <v>35670</v>
      </c>
      <c r="AZ41" s="5">
        <v>1123.5999999999999</v>
      </c>
      <c r="BA41" s="16">
        <v>152.69999999999999</v>
      </c>
      <c r="BB41" s="25">
        <v>36280</v>
      </c>
      <c r="BC41" s="26">
        <v>1142.9000000000001</v>
      </c>
      <c r="BD41" s="27">
        <v>156</v>
      </c>
      <c r="BE41" s="65" t="s">
        <v>69</v>
      </c>
      <c r="BF41" s="18">
        <v>36330</v>
      </c>
      <c r="BG41" s="5">
        <v>1144.1400000000001</v>
      </c>
      <c r="BH41" s="16">
        <v>154.91824805000002</v>
      </c>
      <c r="BI41" s="10">
        <v>36640</v>
      </c>
      <c r="BJ41" s="5">
        <v>1154</v>
      </c>
      <c r="BK41" s="16">
        <v>156.86784880000002</v>
      </c>
      <c r="BL41" s="18">
        <v>36640</v>
      </c>
      <c r="BM41" s="5">
        <v>1154</v>
      </c>
      <c r="BN41" s="16">
        <v>157.29390190000001</v>
      </c>
      <c r="BO41" s="18">
        <v>32550</v>
      </c>
      <c r="BP41" s="5">
        <v>1025.1400000000001</v>
      </c>
      <c r="BQ41" s="16">
        <v>139.97710407</v>
      </c>
      <c r="BR41" s="18">
        <v>38330</v>
      </c>
      <c r="BS41" s="5">
        <v>1207.26</v>
      </c>
      <c r="BT41" s="16">
        <v>166.54140107000001</v>
      </c>
      <c r="BU41" s="18">
        <v>49810</v>
      </c>
      <c r="BV41" s="5">
        <v>1568.33</v>
      </c>
      <c r="BW41" s="16">
        <v>218.13996327999999</v>
      </c>
    </row>
    <row r="42" spans="1:75" x14ac:dyDescent="0.2">
      <c r="A42" s="21" t="s">
        <v>70</v>
      </c>
      <c r="B42" s="10">
        <v>37900</v>
      </c>
      <c r="C42" s="5">
        <v>1231.5089733</v>
      </c>
      <c r="D42" s="5">
        <v>237.61662619999998</v>
      </c>
      <c r="E42" s="18">
        <v>37720</v>
      </c>
      <c r="F42" s="5">
        <v>1226.2282542999999</v>
      </c>
      <c r="G42" s="5">
        <v>236.04285759999999</v>
      </c>
      <c r="H42" s="18">
        <v>36520</v>
      </c>
      <c r="I42" s="5">
        <v>1187.4000000000001</v>
      </c>
      <c r="J42" s="16">
        <v>228.6</v>
      </c>
      <c r="K42" s="18">
        <v>38510</v>
      </c>
      <c r="L42" s="5">
        <v>1252</v>
      </c>
      <c r="M42" s="5">
        <v>241</v>
      </c>
      <c r="N42" s="18">
        <v>40260</v>
      </c>
      <c r="O42" s="5">
        <v>1308.7</v>
      </c>
      <c r="P42" s="5">
        <v>251.9</v>
      </c>
      <c r="Q42" s="18">
        <v>41730</v>
      </c>
      <c r="R42" s="5">
        <v>1356.1</v>
      </c>
      <c r="S42" s="5">
        <v>261</v>
      </c>
      <c r="T42" s="18">
        <v>40820</v>
      </c>
      <c r="U42" s="5">
        <v>1326.7</v>
      </c>
      <c r="V42" s="5">
        <v>255.4</v>
      </c>
      <c r="W42" s="18">
        <v>40840</v>
      </c>
      <c r="X42" s="5">
        <v>1327.1</v>
      </c>
      <c r="Y42" s="5">
        <v>255.5</v>
      </c>
      <c r="Z42" s="18">
        <v>38240</v>
      </c>
      <c r="AA42" s="5">
        <v>1242.4000000000001</v>
      </c>
      <c r="AB42" s="16">
        <v>227.2</v>
      </c>
      <c r="AC42" s="21" t="s">
        <v>70</v>
      </c>
      <c r="AD42" s="10">
        <v>37100</v>
      </c>
      <c r="AE42" s="5">
        <v>1205.8</v>
      </c>
      <c r="AF42" s="16">
        <v>199.9</v>
      </c>
      <c r="AG42" s="10">
        <v>37280</v>
      </c>
      <c r="AH42" s="5">
        <v>1211.7</v>
      </c>
      <c r="AI42" s="16">
        <v>183.5</v>
      </c>
      <c r="AJ42" s="10">
        <v>35080</v>
      </c>
      <c r="AK42" s="5">
        <v>1139.8</v>
      </c>
      <c r="AL42" s="16">
        <v>156</v>
      </c>
      <c r="AM42" s="10">
        <v>36940</v>
      </c>
      <c r="AN42" s="5">
        <v>1200.7</v>
      </c>
      <c r="AO42" s="16">
        <v>163.80000000000001</v>
      </c>
      <c r="AP42" s="10">
        <v>35680</v>
      </c>
      <c r="AQ42" s="5">
        <v>1159.8</v>
      </c>
      <c r="AR42" s="16">
        <v>158.1</v>
      </c>
      <c r="AS42" s="10">
        <v>34600</v>
      </c>
      <c r="AT42" s="5">
        <v>1124.7</v>
      </c>
      <c r="AU42" s="16">
        <v>153.69999999999999</v>
      </c>
      <c r="AV42" s="10">
        <v>34470</v>
      </c>
      <c r="AW42" s="5">
        <v>1120.4000000000001</v>
      </c>
      <c r="AX42" s="16">
        <v>153.1</v>
      </c>
      <c r="AY42" s="10">
        <v>35490</v>
      </c>
      <c r="AZ42" s="5">
        <v>1153.5999999999999</v>
      </c>
      <c r="BA42" s="16">
        <v>157.69999999999999</v>
      </c>
      <c r="BB42" s="25">
        <v>36590</v>
      </c>
      <c r="BC42" s="26">
        <v>1189.4000000000001</v>
      </c>
      <c r="BD42" s="27">
        <v>163.30000000000001</v>
      </c>
      <c r="BE42" s="65" t="s">
        <v>70</v>
      </c>
      <c r="BF42" s="18">
        <v>36080</v>
      </c>
      <c r="BG42" s="5">
        <v>1172.6400000000001</v>
      </c>
      <c r="BH42" s="16">
        <v>159.88822705999999</v>
      </c>
      <c r="BI42" s="10">
        <v>36110</v>
      </c>
      <c r="BJ42" s="5">
        <v>1173.5999999999999</v>
      </c>
      <c r="BK42" s="16">
        <v>160.5851366</v>
      </c>
      <c r="BL42" s="18">
        <v>34490</v>
      </c>
      <c r="BM42" s="5">
        <v>1120.7</v>
      </c>
      <c r="BN42" s="16">
        <v>153.86396590000001</v>
      </c>
      <c r="BO42" s="18">
        <v>33360</v>
      </c>
      <c r="BP42" s="5">
        <v>1084.57</v>
      </c>
      <c r="BQ42" s="16">
        <v>148.66396243</v>
      </c>
      <c r="BR42" s="18">
        <v>35740</v>
      </c>
      <c r="BS42" s="5">
        <v>1161.3699999999999</v>
      </c>
      <c r="BT42" s="16">
        <v>160.9575983</v>
      </c>
      <c r="BU42" s="18">
        <v>47980</v>
      </c>
      <c r="BV42" s="5">
        <v>1557.12</v>
      </c>
      <c r="BW42" s="16">
        <v>217.84641299</v>
      </c>
    </row>
    <row r="43" spans="1:75" x14ac:dyDescent="0.2">
      <c r="A43" s="21" t="s">
        <v>71</v>
      </c>
      <c r="B43" s="10">
        <v>37580</v>
      </c>
      <c r="C43" s="5">
        <v>1259.7325595999998</v>
      </c>
      <c r="D43" s="5">
        <v>243.61905999999999</v>
      </c>
      <c r="E43" s="18">
        <v>37430</v>
      </c>
      <c r="F43" s="5">
        <v>1253.5083074000001</v>
      </c>
      <c r="G43" s="5">
        <v>241.9301643</v>
      </c>
      <c r="H43" s="18">
        <v>39950</v>
      </c>
      <c r="I43" s="5">
        <v>1338.5</v>
      </c>
      <c r="J43" s="16">
        <v>258.3</v>
      </c>
      <c r="K43" s="18">
        <v>38380</v>
      </c>
      <c r="L43" s="5">
        <v>1286.0999999999999</v>
      </c>
      <c r="M43" s="5">
        <v>248.2</v>
      </c>
      <c r="N43" s="18">
        <v>38930</v>
      </c>
      <c r="O43" s="5">
        <v>1303.9000000000001</v>
      </c>
      <c r="P43" s="5">
        <v>251.7</v>
      </c>
      <c r="Q43" s="18">
        <v>40010</v>
      </c>
      <c r="R43" s="5">
        <v>1340.7</v>
      </c>
      <c r="S43" s="5">
        <v>258.8</v>
      </c>
      <c r="T43" s="18">
        <v>41790</v>
      </c>
      <c r="U43" s="5">
        <v>1400.2</v>
      </c>
      <c r="V43" s="5">
        <v>270.3</v>
      </c>
      <c r="W43" s="18">
        <v>38920</v>
      </c>
      <c r="X43" s="5">
        <v>1303.5999999999999</v>
      </c>
      <c r="Y43" s="5">
        <v>251.6</v>
      </c>
      <c r="Z43" s="18">
        <v>39230</v>
      </c>
      <c r="AA43" s="5">
        <v>1314</v>
      </c>
      <c r="AB43" s="16">
        <v>241.4</v>
      </c>
      <c r="AC43" s="21" t="s">
        <v>71</v>
      </c>
      <c r="AD43" s="10">
        <v>36270</v>
      </c>
      <c r="AE43" s="5">
        <v>1215</v>
      </c>
      <c r="AF43" s="16">
        <v>203.3</v>
      </c>
      <c r="AG43" s="10">
        <v>37090</v>
      </c>
      <c r="AH43" s="5">
        <v>1242.5999999999999</v>
      </c>
      <c r="AI43" s="16">
        <v>188.9</v>
      </c>
      <c r="AJ43" s="10">
        <v>35630</v>
      </c>
      <c r="AK43" s="5">
        <v>1194</v>
      </c>
      <c r="AL43" s="16">
        <v>164.5</v>
      </c>
      <c r="AM43" s="10">
        <v>34650</v>
      </c>
      <c r="AN43" s="5">
        <v>1161.0999999999999</v>
      </c>
      <c r="AO43" s="16">
        <v>159.80000000000001</v>
      </c>
      <c r="AP43" s="10">
        <v>34850</v>
      </c>
      <c r="AQ43" s="5">
        <v>1167.7</v>
      </c>
      <c r="AR43" s="16">
        <v>160.4</v>
      </c>
      <c r="AS43" s="10">
        <v>35270</v>
      </c>
      <c r="AT43" s="5">
        <v>1181.2</v>
      </c>
      <c r="AU43" s="16">
        <v>162.69999999999999</v>
      </c>
      <c r="AV43" s="10">
        <v>34770</v>
      </c>
      <c r="AW43" s="5">
        <v>1164.9000000000001</v>
      </c>
      <c r="AX43" s="16">
        <v>160.4</v>
      </c>
      <c r="AY43" s="10">
        <v>35430</v>
      </c>
      <c r="AZ43" s="5">
        <v>1187.2</v>
      </c>
      <c r="BA43" s="16">
        <v>163.69999999999999</v>
      </c>
      <c r="BB43" s="25">
        <v>36380</v>
      </c>
      <c r="BC43" s="26">
        <v>1218.9000000000001</v>
      </c>
      <c r="BD43" s="27">
        <v>168.4</v>
      </c>
      <c r="BE43" s="65" t="s">
        <v>71</v>
      </c>
      <c r="BF43" s="18">
        <v>35490</v>
      </c>
      <c r="BG43" s="5">
        <v>1188.9100000000001</v>
      </c>
      <c r="BH43" s="16">
        <v>162.99895193</v>
      </c>
      <c r="BI43" s="10">
        <v>35180</v>
      </c>
      <c r="BJ43" s="5">
        <v>1178.5</v>
      </c>
      <c r="BK43" s="16">
        <v>162.3195523</v>
      </c>
      <c r="BL43" s="18">
        <v>34250</v>
      </c>
      <c r="BM43" s="5">
        <v>1147.5</v>
      </c>
      <c r="BN43" s="16">
        <v>158.52976669999998</v>
      </c>
      <c r="BO43" s="18">
        <v>31770</v>
      </c>
      <c r="BP43" s="5">
        <v>1064.32</v>
      </c>
      <c r="BQ43" s="16">
        <v>147.01491644000001</v>
      </c>
      <c r="BR43" s="18">
        <v>34550</v>
      </c>
      <c r="BS43" s="5">
        <v>1157.3699999999999</v>
      </c>
      <c r="BT43" s="16">
        <v>161.25496615</v>
      </c>
      <c r="BU43" s="18">
        <v>41300</v>
      </c>
      <c r="BV43" s="5">
        <v>1383.62</v>
      </c>
      <c r="BW43" s="16">
        <v>193.84886674000001</v>
      </c>
    </row>
    <row r="44" spans="1:75" x14ac:dyDescent="0.2">
      <c r="A44" s="21" t="s">
        <v>72</v>
      </c>
      <c r="B44" s="10">
        <v>34940</v>
      </c>
      <c r="C44" s="5">
        <v>1205.6633807999999</v>
      </c>
      <c r="D44" s="5">
        <v>233.61291259999999</v>
      </c>
      <c r="E44" s="18">
        <v>38180</v>
      </c>
      <c r="F44" s="5">
        <v>1317.3685535</v>
      </c>
      <c r="G44" s="5">
        <v>254.89779849999999</v>
      </c>
      <c r="H44" s="18">
        <v>37700</v>
      </c>
      <c r="I44" s="5">
        <v>1300.8</v>
      </c>
      <c r="J44" s="16">
        <v>251.7</v>
      </c>
      <c r="K44" s="18">
        <v>36760</v>
      </c>
      <c r="L44" s="5">
        <v>1268.9000000000001</v>
      </c>
      <c r="M44" s="5">
        <v>245.5</v>
      </c>
      <c r="N44" s="18">
        <v>38470</v>
      </c>
      <c r="O44" s="5">
        <v>1327.7</v>
      </c>
      <c r="P44" s="5">
        <v>256.89999999999998</v>
      </c>
      <c r="Q44" s="18">
        <v>40320</v>
      </c>
      <c r="R44" s="5">
        <v>1392</v>
      </c>
      <c r="S44" s="5">
        <v>269.39999999999998</v>
      </c>
      <c r="T44" s="18">
        <v>39880</v>
      </c>
      <c r="U44" s="5">
        <v>1376.1</v>
      </c>
      <c r="V44" s="5">
        <v>266.3</v>
      </c>
      <c r="W44" s="18">
        <v>41010</v>
      </c>
      <c r="X44" s="5">
        <v>1415.8</v>
      </c>
      <c r="Y44" s="5">
        <v>274</v>
      </c>
      <c r="Z44" s="18">
        <v>40730</v>
      </c>
      <c r="AA44" s="5">
        <v>1405.7</v>
      </c>
      <c r="AB44" s="16">
        <v>259.39999999999998</v>
      </c>
      <c r="AC44" s="21" t="s">
        <v>72</v>
      </c>
      <c r="AD44" s="10">
        <v>36910</v>
      </c>
      <c r="AE44" s="5">
        <v>1273.5</v>
      </c>
      <c r="AF44" s="16">
        <v>214.7</v>
      </c>
      <c r="AG44" s="10">
        <v>37140</v>
      </c>
      <c r="AH44" s="5">
        <v>1281</v>
      </c>
      <c r="AI44" s="16">
        <v>196.4</v>
      </c>
      <c r="AJ44" s="10">
        <v>35830</v>
      </c>
      <c r="AK44" s="5">
        <v>1236.2</v>
      </c>
      <c r="AL44" s="16">
        <v>171.8</v>
      </c>
      <c r="AM44" s="10">
        <v>36070</v>
      </c>
      <c r="AN44" s="5">
        <v>1244.4000000000001</v>
      </c>
      <c r="AO44" s="16">
        <v>172.2</v>
      </c>
      <c r="AP44" s="10">
        <v>35520</v>
      </c>
      <c r="AQ44" s="5">
        <v>1225.5999999999999</v>
      </c>
      <c r="AR44" s="16">
        <v>169.1</v>
      </c>
      <c r="AS44" s="10">
        <v>34740</v>
      </c>
      <c r="AT44" s="5">
        <v>1198.5999999999999</v>
      </c>
      <c r="AU44" s="16">
        <v>165.9</v>
      </c>
      <c r="AV44" s="10">
        <v>35160</v>
      </c>
      <c r="AW44" s="5">
        <v>1213.3</v>
      </c>
      <c r="AX44" s="16">
        <v>168.3</v>
      </c>
      <c r="AY44" s="10">
        <v>35930</v>
      </c>
      <c r="AZ44" s="5">
        <v>1239.9000000000001</v>
      </c>
      <c r="BA44" s="16">
        <v>171.9</v>
      </c>
      <c r="BB44" s="25">
        <v>36890</v>
      </c>
      <c r="BC44" s="26">
        <v>1272.8</v>
      </c>
      <c r="BD44" s="27">
        <v>176.9</v>
      </c>
      <c r="BE44" s="65" t="s">
        <v>72</v>
      </c>
      <c r="BF44" s="18">
        <v>35800</v>
      </c>
      <c r="BG44" s="5">
        <v>1235.08</v>
      </c>
      <c r="BH44" s="16">
        <v>170.36766958000001</v>
      </c>
      <c r="BI44" s="10">
        <v>34680</v>
      </c>
      <c r="BJ44" s="5">
        <v>1196.3</v>
      </c>
      <c r="BK44" s="16">
        <v>165.6478396</v>
      </c>
      <c r="BL44" s="18">
        <v>33590</v>
      </c>
      <c r="BM44" s="5">
        <v>1158.5999999999999</v>
      </c>
      <c r="BN44" s="16">
        <v>160.9375679</v>
      </c>
      <c r="BO44" s="18">
        <v>31020</v>
      </c>
      <c r="BP44" s="5">
        <v>1070.1600000000001</v>
      </c>
      <c r="BQ44" s="16">
        <v>148.72636187999998</v>
      </c>
      <c r="BR44" s="18">
        <v>34590</v>
      </c>
      <c r="BS44" s="5">
        <v>1193.45</v>
      </c>
      <c r="BT44" s="16">
        <v>166.77087381000001</v>
      </c>
      <c r="BU44" s="18">
        <v>38570</v>
      </c>
      <c r="BV44" s="5">
        <v>1330.41</v>
      </c>
      <c r="BW44" s="16">
        <v>187.19473268000002</v>
      </c>
    </row>
    <row r="45" spans="1:75" x14ac:dyDescent="0.2">
      <c r="A45" s="21" t="s">
        <v>73</v>
      </c>
      <c r="B45" s="10">
        <v>34760</v>
      </c>
      <c r="C45" s="5">
        <v>1233.6454685000001</v>
      </c>
      <c r="D45" s="5">
        <v>239.40840539999999</v>
      </c>
      <c r="E45" s="18">
        <v>33900</v>
      </c>
      <c r="F45" s="5">
        <v>1204.0255155</v>
      </c>
      <c r="G45" s="5">
        <v>233.53985569999998</v>
      </c>
      <c r="H45" s="18">
        <v>38880</v>
      </c>
      <c r="I45" s="5">
        <v>1380.6</v>
      </c>
      <c r="J45" s="16">
        <v>267.8</v>
      </c>
      <c r="K45" s="18">
        <v>38920</v>
      </c>
      <c r="L45" s="5">
        <v>1381.6</v>
      </c>
      <c r="M45" s="5">
        <v>268</v>
      </c>
      <c r="N45" s="18">
        <v>39130</v>
      </c>
      <c r="O45" s="5">
        <v>1389.3</v>
      </c>
      <c r="P45" s="5">
        <v>269.5</v>
      </c>
      <c r="Q45" s="18">
        <v>40490</v>
      </c>
      <c r="R45" s="5">
        <v>1437.4</v>
      </c>
      <c r="S45" s="5">
        <v>278.8</v>
      </c>
      <c r="T45" s="18">
        <v>40280</v>
      </c>
      <c r="U45" s="5">
        <v>1429.8</v>
      </c>
      <c r="V45" s="5">
        <v>277.3</v>
      </c>
      <c r="W45" s="18">
        <v>40060</v>
      </c>
      <c r="X45" s="5">
        <v>1422</v>
      </c>
      <c r="Y45" s="5">
        <v>275.8</v>
      </c>
      <c r="Z45" s="18">
        <v>38470</v>
      </c>
      <c r="AA45" s="5">
        <v>1366.1</v>
      </c>
      <c r="AB45" s="16">
        <v>253</v>
      </c>
      <c r="AC45" s="21" t="s">
        <v>73</v>
      </c>
      <c r="AD45" s="10">
        <v>37060</v>
      </c>
      <c r="AE45" s="5">
        <v>1315.7</v>
      </c>
      <c r="AF45" s="16">
        <v>222.4</v>
      </c>
      <c r="AG45" s="10">
        <v>38650</v>
      </c>
      <c r="AH45" s="5">
        <v>1372.3</v>
      </c>
      <c r="AI45" s="16">
        <v>212.1</v>
      </c>
      <c r="AJ45" s="10">
        <v>36130</v>
      </c>
      <c r="AK45" s="5">
        <v>1281.7</v>
      </c>
      <c r="AL45" s="16">
        <v>179.2</v>
      </c>
      <c r="AM45" s="10">
        <v>36220</v>
      </c>
      <c r="AN45" s="5">
        <v>1285.5</v>
      </c>
      <c r="AO45" s="16">
        <v>180.2</v>
      </c>
      <c r="AP45" s="10">
        <v>34790</v>
      </c>
      <c r="AQ45" s="5">
        <v>1234.8</v>
      </c>
      <c r="AR45" s="16">
        <v>172.5</v>
      </c>
      <c r="AS45" s="10">
        <v>34070</v>
      </c>
      <c r="AT45" s="5">
        <v>1209.3</v>
      </c>
      <c r="AU45" s="16">
        <v>167.9</v>
      </c>
      <c r="AV45" s="10">
        <v>35340</v>
      </c>
      <c r="AW45" s="5">
        <v>1254.5999999999999</v>
      </c>
      <c r="AX45" s="16">
        <v>175.1</v>
      </c>
      <c r="AY45" s="10">
        <v>36200</v>
      </c>
      <c r="AZ45" s="5">
        <v>1285</v>
      </c>
      <c r="BA45" s="16">
        <v>179.3</v>
      </c>
      <c r="BB45" s="25">
        <v>36790</v>
      </c>
      <c r="BC45" s="26">
        <v>1306.2</v>
      </c>
      <c r="BD45" s="27">
        <v>182.6</v>
      </c>
      <c r="BE45" s="65" t="s">
        <v>73</v>
      </c>
      <c r="BF45" s="18">
        <v>36240</v>
      </c>
      <c r="BG45" s="5">
        <v>1286.3499999999999</v>
      </c>
      <c r="BH45" s="16">
        <v>178.37063209999999</v>
      </c>
      <c r="BI45" s="10">
        <v>34480</v>
      </c>
      <c r="BJ45" s="5">
        <v>1224.2</v>
      </c>
      <c r="BK45" s="16">
        <v>170.322968</v>
      </c>
      <c r="BL45" s="18">
        <v>33170</v>
      </c>
      <c r="BM45" s="5">
        <v>1177.5999999999999</v>
      </c>
      <c r="BN45" s="16">
        <v>164.42296450000001</v>
      </c>
      <c r="BO45" s="18">
        <v>30770</v>
      </c>
      <c r="BP45" s="5">
        <v>1092.51</v>
      </c>
      <c r="BQ45" s="16">
        <v>152.51709783999999</v>
      </c>
      <c r="BR45" s="18">
        <v>32730</v>
      </c>
      <c r="BS45" s="5">
        <v>1161.94</v>
      </c>
      <c r="BT45" s="16">
        <v>163.26396762000002</v>
      </c>
      <c r="BU45" s="18">
        <v>36570</v>
      </c>
      <c r="BV45" s="5">
        <v>1298.21</v>
      </c>
      <c r="BW45" s="16">
        <v>183.49358430000001</v>
      </c>
    </row>
    <row r="46" spans="1:75" x14ac:dyDescent="0.2">
      <c r="A46" s="21" t="s">
        <v>74</v>
      </c>
      <c r="B46" s="10">
        <v>32370</v>
      </c>
      <c r="C46" s="5">
        <v>1181.1757054000002</v>
      </c>
      <c r="D46" s="5">
        <v>229.7162266</v>
      </c>
      <c r="E46" s="18">
        <v>35780</v>
      </c>
      <c r="F46" s="5">
        <v>1305.729881</v>
      </c>
      <c r="G46" s="5">
        <v>253.80519889999999</v>
      </c>
      <c r="H46" s="18">
        <v>37550</v>
      </c>
      <c r="I46" s="5">
        <v>1370.4</v>
      </c>
      <c r="J46" s="16">
        <v>266.39999999999998</v>
      </c>
      <c r="K46" s="18">
        <v>36300</v>
      </c>
      <c r="L46" s="5">
        <v>1325.3</v>
      </c>
      <c r="M46" s="5">
        <v>257.60000000000002</v>
      </c>
      <c r="N46" s="18">
        <v>38130</v>
      </c>
      <c r="O46" s="5">
        <v>1392.3</v>
      </c>
      <c r="P46" s="5">
        <v>270.7</v>
      </c>
      <c r="Q46" s="18">
        <v>39850</v>
      </c>
      <c r="R46" s="5">
        <v>1454.7</v>
      </c>
      <c r="S46" s="5">
        <v>282.8</v>
      </c>
      <c r="T46" s="18">
        <v>39620</v>
      </c>
      <c r="U46" s="5">
        <v>1446.3</v>
      </c>
      <c r="V46" s="5">
        <v>281.10000000000002</v>
      </c>
      <c r="W46" s="18">
        <v>40510</v>
      </c>
      <c r="X46" s="5">
        <v>1478.5</v>
      </c>
      <c r="Y46" s="5">
        <v>287.39999999999998</v>
      </c>
      <c r="Z46" s="18">
        <v>39000</v>
      </c>
      <c r="AA46" s="5">
        <v>1423.8</v>
      </c>
      <c r="AB46" s="16">
        <v>264.7</v>
      </c>
      <c r="AC46" s="21" t="s">
        <v>74</v>
      </c>
      <c r="AD46" s="10">
        <v>36050</v>
      </c>
      <c r="AE46" s="5">
        <v>1315.6</v>
      </c>
      <c r="AF46" s="16">
        <v>224.3</v>
      </c>
      <c r="AG46" s="10">
        <v>36700</v>
      </c>
      <c r="AH46" s="5">
        <v>1339.4</v>
      </c>
      <c r="AI46" s="16">
        <v>208.6</v>
      </c>
      <c r="AJ46" s="10">
        <v>35810</v>
      </c>
      <c r="AK46" s="5">
        <v>1306.8</v>
      </c>
      <c r="AL46" s="16">
        <v>184.2</v>
      </c>
      <c r="AM46" s="10">
        <v>33690</v>
      </c>
      <c r="AN46" s="5">
        <v>1229.3</v>
      </c>
      <c r="AO46" s="16">
        <v>172.7</v>
      </c>
      <c r="AP46" s="10">
        <v>35790</v>
      </c>
      <c r="AQ46" s="5">
        <v>1306.3</v>
      </c>
      <c r="AR46" s="16">
        <v>182.7</v>
      </c>
      <c r="AS46" s="10">
        <v>36300</v>
      </c>
      <c r="AT46" s="5">
        <v>1325</v>
      </c>
      <c r="AU46" s="16">
        <v>185.5</v>
      </c>
      <c r="AV46" s="10">
        <v>35160</v>
      </c>
      <c r="AW46" s="5">
        <v>1283.5</v>
      </c>
      <c r="AX46" s="16">
        <v>180.3</v>
      </c>
      <c r="AY46" s="10">
        <v>35870</v>
      </c>
      <c r="AZ46" s="5">
        <v>1309.3</v>
      </c>
      <c r="BA46" s="16">
        <v>183.8</v>
      </c>
      <c r="BB46" s="25">
        <v>36510</v>
      </c>
      <c r="BC46" s="26">
        <v>1332.7</v>
      </c>
      <c r="BD46" s="27">
        <v>187.4</v>
      </c>
      <c r="BE46" s="65" t="s">
        <v>74</v>
      </c>
      <c r="BF46" s="18">
        <v>36360</v>
      </c>
      <c r="BG46" s="5">
        <v>1326.95</v>
      </c>
      <c r="BH46" s="16">
        <v>185.00185096999999</v>
      </c>
      <c r="BI46" s="10">
        <v>35110</v>
      </c>
      <c r="BJ46" s="5">
        <v>1281.9000000000001</v>
      </c>
      <c r="BK46" s="16">
        <v>179.13490100000001</v>
      </c>
      <c r="BL46" s="18">
        <v>33540</v>
      </c>
      <c r="BM46" s="5">
        <v>1224.0999999999999</v>
      </c>
      <c r="BN46" s="16">
        <v>171.70605069999999</v>
      </c>
      <c r="BO46" s="18">
        <v>30480</v>
      </c>
      <c r="BP46" s="5">
        <v>1112.52</v>
      </c>
      <c r="BQ46" s="16">
        <v>156.25719763999999</v>
      </c>
      <c r="BR46" s="18">
        <v>31260</v>
      </c>
      <c r="BS46" s="5">
        <v>1141.07</v>
      </c>
      <c r="BT46" s="16">
        <v>161.21829596000001</v>
      </c>
      <c r="BU46" s="18">
        <v>35300</v>
      </c>
      <c r="BV46" s="5">
        <v>1288.29</v>
      </c>
      <c r="BW46" s="16">
        <v>182.80416828</v>
      </c>
    </row>
    <row r="47" spans="1:75" x14ac:dyDescent="0.2">
      <c r="A47" s="21" t="s">
        <v>75</v>
      </c>
      <c r="B47" s="10">
        <v>38000</v>
      </c>
      <c r="C47" s="5">
        <v>1427.6570242999999</v>
      </c>
      <c r="D47" s="5">
        <v>278.0489796</v>
      </c>
      <c r="E47" s="18">
        <v>40940</v>
      </c>
      <c r="F47" s="5">
        <v>1538.0803352999999</v>
      </c>
      <c r="G47" s="5">
        <v>299.6445003</v>
      </c>
      <c r="H47" s="18">
        <v>43000</v>
      </c>
      <c r="I47" s="5">
        <v>1614.9</v>
      </c>
      <c r="J47" s="16">
        <v>314.60000000000002</v>
      </c>
      <c r="K47" s="18">
        <v>45670</v>
      </c>
      <c r="L47" s="5">
        <v>1715.7</v>
      </c>
      <c r="M47" s="5">
        <v>334.3</v>
      </c>
      <c r="N47" s="18">
        <v>49060</v>
      </c>
      <c r="O47" s="5">
        <v>1842.8</v>
      </c>
      <c r="P47" s="5">
        <v>359</v>
      </c>
      <c r="Q47" s="18">
        <v>47760</v>
      </c>
      <c r="R47" s="5">
        <v>1795.1</v>
      </c>
      <c r="S47" s="5">
        <v>349.7</v>
      </c>
      <c r="T47" s="18">
        <v>47720</v>
      </c>
      <c r="U47" s="5">
        <v>1793</v>
      </c>
      <c r="V47" s="5">
        <v>349.3</v>
      </c>
      <c r="W47" s="18">
        <v>51350</v>
      </c>
      <c r="X47" s="5">
        <v>1929.9</v>
      </c>
      <c r="Y47" s="5">
        <v>376</v>
      </c>
      <c r="Z47" s="18">
        <v>42340</v>
      </c>
      <c r="AA47" s="5">
        <v>1588.9</v>
      </c>
      <c r="AB47" s="16">
        <v>296.39999999999998</v>
      </c>
      <c r="AC47" s="21" t="s">
        <v>75</v>
      </c>
      <c r="AD47" s="10">
        <v>38130</v>
      </c>
      <c r="AE47" s="5">
        <v>1429.8</v>
      </c>
      <c r="AF47" s="16">
        <v>246.1</v>
      </c>
      <c r="AG47" s="10">
        <v>35470</v>
      </c>
      <c r="AH47" s="5">
        <v>1330.1</v>
      </c>
      <c r="AI47" s="16">
        <v>207.9</v>
      </c>
      <c r="AJ47" s="10">
        <v>38460</v>
      </c>
      <c r="AK47" s="5">
        <v>1442.2</v>
      </c>
      <c r="AL47" s="16">
        <v>203.8</v>
      </c>
      <c r="AM47" s="10">
        <v>36150</v>
      </c>
      <c r="AN47" s="5">
        <v>1355.6</v>
      </c>
      <c r="AO47" s="16">
        <v>191.8</v>
      </c>
      <c r="AP47" s="10">
        <v>37280</v>
      </c>
      <c r="AQ47" s="5">
        <v>1397.3</v>
      </c>
      <c r="AR47" s="16">
        <v>197.1</v>
      </c>
      <c r="AS47" s="10">
        <v>35270</v>
      </c>
      <c r="AT47" s="5">
        <v>1322.7</v>
      </c>
      <c r="AU47" s="16">
        <v>186.3</v>
      </c>
      <c r="AV47" s="10">
        <v>35240</v>
      </c>
      <c r="AW47" s="5">
        <v>1321.6</v>
      </c>
      <c r="AX47" s="16">
        <v>186.7</v>
      </c>
      <c r="AY47" s="10">
        <v>36240</v>
      </c>
      <c r="AZ47" s="5">
        <v>1359.3</v>
      </c>
      <c r="BA47" s="16">
        <v>192</v>
      </c>
      <c r="BB47" s="25">
        <v>37260</v>
      </c>
      <c r="BC47" s="26">
        <v>1397.4</v>
      </c>
      <c r="BD47" s="27">
        <v>197.7</v>
      </c>
      <c r="BE47" s="65" t="s">
        <v>75</v>
      </c>
      <c r="BF47" s="18">
        <v>36500</v>
      </c>
      <c r="BG47" s="5">
        <v>1368.65</v>
      </c>
      <c r="BH47" s="16">
        <v>191.84241528999999</v>
      </c>
      <c r="BI47" s="10">
        <v>35240</v>
      </c>
      <c r="BJ47" s="5">
        <v>1321.5</v>
      </c>
      <c r="BK47" s="16">
        <v>185.5151089</v>
      </c>
      <c r="BL47" s="18">
        <v>33300</v>
      </c>
      <c r="BM47" s="5">
        <v>1248.7</v>
      </c>
      <c r="BN47" s="16">
        <v>176.0433687</v>
      </c>
      <c r="BO47" s="18">
        <v>30600</v>
      </c>
      <c r="BP47" s="5">
        <v>1147.3599999999999</v>
      </c>
      <c r="BQ47" s="16">
        <v>161.94268314999999</v>
      </c>
      <c r="BR47" s="18">
        <v>30670</v>
      </c>
      <c r="BS47" s="5">
        <v>1150.1400000000001</v>
      </c>
      <c r="BT47" s="16">
        <v>163.23054446</v>
      </c>
      <c r="BU47" s="18">
        <v>35650</v>
      </c>
      <c r="BV47" s="5">
        <v>1337.28</v>
      </c>
      <c r="BW47" s="16">
        <v>190.26096305000002</v>
      </c>
    </row>
    <row r="48" spans="1:75" x14ac:dyDescent="0.2">
      <c r="A48" s="21" t="s">
        <v>76</v>
      </c>
      <c r="B48" s="10">
        <v>33660</v>
      </c>
      <c r="C48" s="5">
        <v>1294.7610779000001</v>
      </c>
      <c r="D48" s="5">
        <v>254.56663589999999</v>
      </c>
      <c r="E48" s="18">
        <v>37550</v>
      </c>
      <c r="F48" s="5">
        <v>1444.6650084</v>
      </c>
      <c r="G48" s="5">
        <v>284.07175710000001</v>
      </c>
      <c r="H48" s="18">
        <v>38230</v>
      </c>
      <c r="I48" s="5">
        <v>1471</v>
      </c>
      <c r="J48" s="16">
        <v>289.3</v>
      </c>
      <c r="K48" s="18">
        <v>39420</v>
      </c>
      <c r="L48" s="5">
        <v>1516.7</v>
      </c>
      <c r="M48" s="5">
        <v>298.3</v>
      </c>
      <c r="N48" s="18">
        <v>42920</v>
      </c>
      <c r="O48" s="5">
        <v>1650.8</v>
      </c>
      <c r="P48" s="5">
        <v>324.60000000000002</v>
      </c>
      <c r="Q48" s="18">
        <v>42960</v>
      </c>
      <c r="R48" s="5">
        <v>1652.3</v>
      </c>
      <c r="S48" s="5">
        <v>324.8</v>
      </c>
      <c r="T48" s="18">
        <v>44670</v>
      </c>
      <c r="U48" s="5">
        <v>1718.3</v>
      </c>
      <c r="V48" s="5">
        <v>337.9</v>
      </c>
      <c r="W48" s="18">
        <v>47180</v>
      </c>
      <c r="X48" s="5">
        <v>1815.6</v>
      </c>
      <c r="Y48" s="5">
        <v>357.1</v>
      </c>
      <c r="Z48" s="18">
        <v>40200</v>
      </c>
      <c r="AA48" s="5">
        <v>1547.7</v>
      </c>
      <c r="AB48" s="16">
        <v>290.8</v>
      </c>
      <c r="AC48" s="21" t="s">
        <v>76</v>
      </c>
      <c r="AD48" s="10">
        <v>37550</v>
      </c>
      <c r="AE48" s="5">
        <v>1445.6</v>
      </c>
      <c r="AF48" s="16">
        <v>249.5</v>
      </c>
      <c r="AG48" s="10">
        <v>37260</v>
      </c>
      <c r="AH48" s="5">
        <v>1434.9</v>
      </c>
      <c r="AI48" s="16">
        <v>225.7</v>
      </c>
      <c r="AJ48" s="10">
        <v>32170</v>
      </c>
      <c r="AK48" s="5">
        <v>1238.8</v>
      </c>
      <c r="AL48" s="16">
        <v>176</v>
      </c>
      <c r="AM48" s="10">
        <v>36490</v>
      </c>
      <c r="AN48" s="5">
        <v>1405.1</v>
      </c>
      <c r="AO48" s="16">
        <v>199.1</v>
      </c>
      <c r="AP48" s="10">
        <v>36730</v>
      </c>
      <c r="AQ48" s="5">
        <v>1414.2</v>
      </c>
      <c r="AR48" s="16">
        <v>200.8</v>
      </c>
      <c r="AS48" s="10">
        <v>34550</v>
      </c>
      <c r="AT48" s="5">
        <v>1330</v>
      </c>
      <c r="AU48" s="16">
        <v>188.8</v>
      </c>
      <c r="AV48" s="10">
        <v>35170</v>
      </c>
      <c r="AW48" s="5">
        <v>1353.8</v>
      </c>
      <c r="AX48" s="16">
        <v>192.4</v>
      </c>
      <c r="AY48" s="10">
        <v>36320</v>
      </c>
      <c r="AZ48" s="5">
        <v>1398.2</v>
      </c>
      <c r="BA48" s="16">
        <v>198.6</v>
      </c>
      <c r="BB48" s="25">
        <v>37050</v>
      </c>
      <c r="BC48" s="26">
        <v>1426.5</v>
      </c>
      <c r="BD48" s="27">
        <v>202.8</v>
      </c>
      <c r="BE48" s="65" t="s">
        <v>76</v>
      </c>
      <c r="BF48" s="18">
        <v>36510</v>
      </c>
      <c r="BG48" s="5">
        <v>1405.54</v>
      </c>
      <c r="BH48" s="16">
        <v>198.07976500000001</v>
      </c>
      <c r="BI48" s="10">
        <v>35450</v>
      </c>
      <c r="BJ48" s="5">
        <v>1364.7</v>
      </c>
      <c r="BK48" s="16">
        <v>192.5724601</v>
      </c>
      <c r="BL48" s="18">
        <v>33400</v>
      </c>
      <c r="BM48" s="5">
        <v>1286</v>
      </c>
      <c r="BN48" s="16">
        <v>182.23284990000002</v>
      </c>
      <c r="BO48" s="18">
        <v>30140</v>
      </c>
      <c r="BP48" s="5">
        <v>1160.28</v>
      </c>
      <c r="BQ48" s="16">
        <v>164.70605765000002</v>
      </c>
      <c r="BR48" s="18">
        <v>29900</v>
      </c>
      <c r="BS48" s="5">
        <v>1151.1600000000001</v>
      </c>
      <c r="BT48" s="16">
        <v>164.18111789</v>
      </c>
      <c r="BU48" s="18">
        <v>33800</v>
      </c>
      <c r="BV48" s="5">
        <v>1301.0899999999999</v>
      </c>
      <c r="BW48" s="16">
        <v>186.12178887000002</v>
      </c>
    </row>
    <row r="49" spans="1:79" x14ac:dyDescent="0.2">
      <c r="A49" s="21" t="s">
        <v>77</v>
      </c>
      <c r="B49" s="10">
        <v>30810</v>
      </c>
      <c r="C49" s="5">
        <v>1217.4966248000001</v>
      </c>
      <c r="D49" s="5">
        <v>243.70298840000001</v>
      </c>
      <c r="E49" s="18">
        <v>31270</v>
      </c>
      <c r="F49" s="5">
        <v>1235.4038184999999</v>
      </c>
      <c r="G49" s="5">
        <v>247.24566180000002</v>
      </c>
      <c r="H49" s="18">
        <v>31990</v>
      </c>
      <c r="I49" s="5">
        <v>1264.3</v>
      </c>
      <c r="J49" s="16">
        <v>253.1</v>
      </c>
      <c r="K49" s="18">
        <v>37440</v>
      </c>
      <c r="L49" s="5">
        <v>1479.2</v>
      </c>
      <c r="M49" s="5">
        <v>296.10000000000002</v>
      </c>
      <c r="N49" s="18">
        <v>36820</v>
      </c>
      <c r="O49" s="5">
        <v>1455.5</v>
      </c>
      <c r="P49" s="5">
        <v>291.39999999999998</v>
      </c>
      <c r="Q49" s="18">
        <v>38090</v>
      </c>
      <c r="R49" s="5">
        <v>1504.3</v>
      </c>
      <c r="S49" s="5">
        <v>301</v>
      </c>
      <c r="T49" s="18">
        <v>40020</v>
      </c>
      <c r="U49" s="5">
        <v>1581.1</v>
      </c>
      <c r="V49" s="5">
        <v>316.5</v>
      </c>
      <c r="W49" s="18">
        <v>40150</v>
      </c>
      <c r="X49" s="5">
        <v>1586.2</v>
      </c>
      <c r="Y49" s="5">
        <v>317.5</v>
      </c>
      <c r="Z49" s="18">
        <v>46700</v>
      </c>
      <c r="AA49" s="5">
        <v>1847.5</v>
      </c>
      <c r="AB49" s="16">
        <v>351.2</v>
      </c>
      <c r="AC49" s="21" t="s">
        <v>77</v>
      </c>
      <c r="AD49" s="10">
        <v>39630</v>
      </c>
      <c r="AE49" s="5">
        <v>1566.4</v>
      </c>
      <c r="AF49" s="16">
        <v>271.8</v>
      </c>
      <c r="AG49" s="10">
        <v>37670</v>
      </c>
      <c r="AH49" s="5">
        <v>1488.9</v>
      </c>
      <c r="AI49" s="16">
        <v>235.7</v>
      </c>
      <c r="AJ49" s="10">
        <v>37770</v>
      </c>
      <c r="AK49" s="5">
        <v>1492.2</v>
      </c>
      <c r="AL49" s="16">
        <v>213.5</v>
      </c>
      <c r="AM49" s="10">
        <v>35670</v>
      </c>
      <c r="AN49" s="5">
        <v>1410</v>
      </c>
      <c r="AO49" s="16">
        <v>201.7</v>
      </c>
      <c r="AP49" s="10">
        <v>36150</v>
      </c>
      <c r="AQ49" s="5">
        <v>1427.4</v>
      </c>
      <c r="AR49" s="16">
        <v>204.2</v>
      </c>
      <c r="AS49" s="10">
        <v>37350</v>
      </c>
      <c r="AT49" s="5">
        <v>1475.5</v>
      </c>
      <c r="AU49" s="16">
        <v>210.4</v>
      </c>
      <c r="AV49" s="10">
        <v>35810</v>
      </c>
      <c r="AW49" s="5">
        <v>1414.8</v>
      </c>
      <c r="AX49" s="16">
        <v>202</v>
      </c>
      <c r="AY49" s="10">
        <v>36710</v>
      </c>
      <c r="AZ49" s="5">
        <v>1450.3</v>
      </c>
      <c r="BA49" s="16">
        <v>207.1</v>
      </c>
      <c r="BB49" s="25">
        <v>37670</v>
      </c>
      <c r="BC49" s="26">
        <v>1488.4</v>
      </c>
      <c r="BD49" s="27">
        <v>212.7</v>
      </c>
      <c r="BE49" s="65" t="s">
        <v>77</v>
      </c>
      <c r="BF49" s="18">
        <v>37140</v>
      </c>
      <c r="BG49" s="5">
        <v>1467.33</v>
      </c>
      <c r="BH49" s="16">
        <v>207.85935599999999</v>
      </c>
      <c r="BI49" s="10">
        <v>36120</v>
      </c>
      <c r="BJ49" s="5">
        <v>1427.3</v>
      </c>
      <c r="BK49" s="16">
        <v>202.45793709999998</v>
      </c>
      <c r="BL49" s="18">
        <v>34810</v>
      </c>
      <c r="BM49" s="5">
        <v>1375</v>
      </c>
      <c r="BN49" s="16">
        <v>195.72106259999998</v>
      </c>
      <c r="BO49" s="18">
        <v>30550</v>
      </c>
      <c r="BP49" s="5">
        <v>1206.72</v>
      </c>
      <c r="BQ49" s="16">
        <v>172.11630486000001</v>
      </c>
      <c r="BR49" s="18">
        <v>30370</v>
      </c>
      <c r="BS49" s="5">
        <v>1199.57</v>
      </c>
      <c r="BT49" s="16">
        <v>171.80415099000001</v>
      </c>
      <c r="BU49" s="18">
        <v>32370</v>
      </c>
      <c r="BV49" s="5">
        <v>1278.5</v>
      </c>
      <c r="BW49" s="16">
        <v>183.81978175</v>
      </c>
    </row>
    <row r="50" spans="1:79" x14ac:dyDescent="0.2">
      <c r="A50" s="21" t="s">
        <v>78</v>
      </c>
      <c r="B50" s="10">
        <v>26380</v>
      </c>
      <c r="C50" s="5">
        <v>1068.0260714999999</v>
      </c>
      <c r="D50" s="5">
        <v>217.1166356</v>
      </c>
      <c r="E50" s="18">
        <v>28290</v>
      </c>
      <c r="F50" s="5">
        <v>1145.4330974000002</v>
      </c>
      <c r="G50" s="5">
        <v>232.8647656</v>
      </c>
      <c r="H50" s="18">
        <v>31280</v>
      </c>
      <c r="I50" s="5">
        <v>1267</v>
      </c>
      <c r="J50" s="16">
        <v>257.60000000000002</v>
      </c>
      <c r="K50" s="18">
        <v>33180</v>
      </c>
      <c r="L50" s="5">
        <v>1344</v>
      </c>
      <c r="M50" s="5">
        <v>273.3</v>
      </c>
      <c r="N50" s="18">
        <v>36230</v>
      </c>
      <c r="O50" s="5">
        <v>1467.3</v>
      </c>
      <c r="P50" s="5">
        <v>298.39999999999998</v>
      </c>
      <c r="Q50" s="18">
        <v>36270</v>
      </c>
      <c r="R50" s="5">
        <v>1468.1</v>
      </c>
      <c r="S50" s="5">
        <v>298.39999999999998</v>
      </c>
      <c r="T50" s="18">
        <v>38380</v>
      </c>
      <c r="U50" s="5">
        <v>1554</v>
      </c>
      <c r="V50" s="5">
        <v>315.89999999999998</v>
      </c>
      <c r="W50" s="18">
        <v>36560</v>
      </c>
      <c r="X50" s="5">
        <v>1480.7</v>
      </c>
      <c r="Y50" s="5">
        <v>301.10000000000002</v>
      </c>
      <c r="Z50" s="18">
        <v>41100</v>
      </c>
      <c r="AA50" s="5">
        <v>1663.8</v>
      </c>
      <c r="AB50" s="16">
        <v>320.5</v>
      </c>
      <c r="AC50" s="21" t="s">
        <v>78</v>
      </c>
      <c r="AD50" s="10">
        <v>37800</v>
      </c>
      <c r="AE50" s="5">
        <v>1531.3</v>
      </c>
      <c r="AF50" s="16">
        <v>267.10000000000002</v>
      </c>
      <c r="AG50" s="10">
        <v>35260</v>
      </c>
      <c r="AH50" s="5">
        <v>1427.3</v>
      </c>
      <c r="AI50" s="16">
        <v>226.9</v>
      </c>
      <c r="AJ50" s="10">
        <v>33890</v>
      </c>
      <c r="AK50" s="5">
        <v>1373.3</v>
      </c>
      <c r="AL50" s="16">
        <v>197.4</v>
      </c>
      <c r="AM50" s="10">
        <v>33380</v>
      </c>
      <c r="AN50" s="5">
        <v>1351.7</v>
      </c>
      <c r="AO50" s="16">
        <v>194</v>
      </c>
      <c r="AP50" s="10">
        <v>34420</v>
      </c>
      <c r="AQ50" s="5">
        <v>1394.5</v>
      </c>
      <c r="AR50" s="16">
        <v>200.4</v>
      </c>
      <c r="AS50" s="10">
        <v>37060</v>
      </c>
      <c r="AT50" s="5">
        <v>1501.3</v>
      </c>
      <c r="AU50" s="16">
        <v>215.3</v>
      </c>
      <c r="AV50" s="10">
        <v>35440</v>
      </c>
      <c r="AW50" s="5">
        <v>1435.3</v>
      </c>
      <c r="AX50" s="16">
        <v>206</v>
      </c>
      <c r="AY50" s="10">
        <v>36490</v>
      </c>
      <c r="AZ50" s="5">
        <v>1477.9</v>
      </c>
      <c r="BA50" s="16">
        <v>212</v>
      </c>
      <c r="BB50" s="25">
        <v>37200</v>
      </c>
      <c r="BC50" s="26">
        <v>1506.5</v>
      </c>
      <c r="BD50" s="27">
        <v>216.3</v>
      </c>
      <c r="BE50" s="65" t="s">
        <v>78</v>
      </c>
      <c r="BF50" s="18">
        <v>37080</v>
      </c>
      <c r="BG50" s="5">
        <v>1501.61</v>
      </c>
      <c r="BH50" s="16">
        <v>213.7714335</v>
      </c>
      <c r="BI50" s="10">
        <v>36370</v>
      </c>
      <c r="BJ50" s="5">
        <v>1473.1</v>
      </c>
      <c r="BK50" s="16">
        <v>209.80740940000001</v>
      </c>
      <c r="BL50" s="18">
        <v>35470</v>
      </c>
      <c r="BM50" s="5">
        <v>1436.5</v>
      </c>
      <c r="BN50" s="16">
        <v>205.15564369999998</v>
      </c>
      <c r="BO50" s="18">
        <v>31120</v>
      </c>
      <c r="BP50" s="5">
        <v>1260.21</v>
      </c>
      <c r="BQ50" s="16">
        <v>180.49047308999999</v>
      </c>
      <c r="BR50" s="18">
        <v>29850</v>
      </c>
      <c r="BS50" s="5">
        <v>1208.78</v>
      </c>
      <c r="BT50" s="16">
        <v>173.92524159000001</v>
      </c>
      <c r="BU50" s="18">
        <v>32100</v>
      </c>
      <c r="BV50" s="5">
        <v>1300.06</v>
      </c>
      <c r="BW50" s="16">
        <v>187.50326472</v>
      </c>
    </row>
    <row r="51" spans="1:79" x14ac:dyDescent="0.2">
      <c r="A51" s="21" t="s">
        <v>79</v>
      </c>
      <c r="B51" s="10">
        <v>24990</v>
      </c>
      <c r="C51" s="5">
        <v>1036.6269242000001</v>
      </c>
      <c r="D51" s="5">
        <v>213.8845924</v>
      </c>
      <c r="E51" s="18">
        <v>28910</v>
      </c>
      <c r="F51" s="5">
        <v>1199.8315302999999</v>
      </c>
      <c r="G51" s="5">
        <v>247.63610449999999</v>
      </c>
      <c r="H51" s="18">
        <v>31290</v>
      </c>
      <c r="I51" s="5">
        <v>1298.4000000000001</v>
      </c>
      <c r="J51" s="16">
        <v>267.89999999999998</v>
      </c>
      <c r="K51" s="18">
        <v>30200</v>
      </c>
      <c r="L51" s="5">
        <v>1253.0999999999999</v>
      </c>
      <c r="M51" s="5">
        <v>258.60000000000002</v>
      </c>
      <c r="N51" s="18">
        <v>32170</v>
      </c>
      <c r="O51" s="5">
        <v>1335.2</v>
      </c>
      <c r="P51" s="5">
        <v>275.60000000000002</v>
      </c>
      <c r="Q51" s="18">
        <v>33780</v>
      </c>
      <c r="R51" s="5">
        <v>1401.8</v>
      </c>
      <c r="S51" s="5">
        <v>289.3</v>
      </c>
      <c r="T51" s="18">
        <v>36620</v>
      </c>
      <c r="U51" s="5">
        <v>1519.4</v>
      </c>
      <c r="V51" s="5">
        <v>313.5</v>
      </c>
      <c r="W51" s="18">
        <v>35940</v>
      </c>
      <c r="X51" s="5">
        <v>1491.4</v>
      </c>
      <c r="Y51" s="5">
        <v>307.8</v>
      </c>
      <c r="Z51" s="18">
        <v>35960</v>
      </c>
      <c r="AA51" s="5">
        <v>1492.5</v>
      </c>
      <c r="AB51" s="16">
        <v>292.60000000000002</v>
      </c>
      <c r="AC51" s="21" t="s">
        <v>79</v>
      </c>
      <c r="AD51" s="10">
        <v>34990</v>
      </c>
      <c r="AE51" s="5">
        <v>1452.4</v>
      </c>
      <c r="AF51" s="16">
        <v>254.8</v>
      </c>
      <c r="AG51" s="10">
        <v>35580</v>
      </c>
      <c r="AH51" s="5">
        <v>1477.3</v>
      </c>
      <c r="AI51" s="16">
        <v>236.3</v>
      </c>
      <c r="AJ51" s="10">
        <v>34930</v>
      </c>
      <c r="AK51" s="5">
        <v>1449.5</v>
      </c>
      <c r="AL51" s="16">
        <v>209.4</v>
      </c>
      <c r="AM51" s="10">
        <v>35430</v>
      </c>
      <c r="AN51" s="5">
        <v>1470.2</v>
      </c>
      <c r="AO51" s="16">
        <v>212.7</v>
      </c>
      <c r="AP51" s="10">
        <v>34000</v>
      </c>
      <c r="AQ51" s="5">
        <v>1410.7</v>
      </c>
      <c r="AR51" s="16">
        <v>203.7</v>
      </c>
      <c r="AS51" s="10">
        <v>38860</v>
      </c>
      <c r="AT51" s="5">
        <v>1613</v>
      </c>
      <c r="AU51" s="16">
        <v>232.6</v>
      </c>
      <c r="AV51" s="10">
        <v>35170</v>
      </c>
      <c r="AW51" s="5">
        <v>1459.7</v>
      </c>
      <c r="AX51" s="16">
        <v>210.8</v>
      </c>
      <c r="AY51" s="10">
        <v>36060</v>
      </c>
      <c r="AZ51" s="5">
        <v>1496.9</v>
      </c>
      <c r="BA51" s="16">
        <v>215.9</v>
      </c>
      <c r="BB51" s="25">
        <v>37530</v>
      </c>
      <c r="BC51" s="26">
        <v>1557.8</v>
      </c>
      <c r="BD51" s="27">
        <v>224.9</v>
      </c>
      <c r="BE51" s="65" t="s">
        <v>79</v>
      </c>
      <c r="BF51" s="18">
        <v>37180</v>
      </c>
      <c r="BG51" s="5">
        <v>1543.32</v>
      </c>
      <c r="BH51" s="16">
        <v>220.62255381999998</v>
      </c>
      <c r="BI51" s="10">
        <v>36900</v>
      </c>
      <c r="BJ51" s="5">
        <v>1531.4</v>
      </c>
      <c r="BK51" s="16">
        <v>219.06522909999998</v>
      </c>
      <c r="BL51" s="18">
        <v>36020</v>
      </c>
      <c r="BM51" s="5">
        <v>1495</v>
      </c>
      <c r="BN51" s="16">
        <v>214.47682840000002</v>
      </c>
      <c r="BO51" s="18">
        <v>31990</v>
      </c>
      <c r="BP51" s="5">
        <v>1327.58</v>
      </c>
      <c r="BQ51" s="16">
        <v>190.76060256</v>
      </c>
      <c r="BR51" s="18">
        <v>29360</v>
      </c>
      <c r="BS51" s="5">
        <v>1218.6300000000001</v>
      </c>
      <c r="BT51" s="16">
        <v>176.01615819</v>
      </c>
      <c r="BU51" s="18">
        <v>31210</v>
      </c>
      <c r="BV51" s="5">
        <v>1295.2</v>
      </c>
      <c r="BW51" s="16">
        <v>187.57537189999999</v>
      </c>
    </row>
    <row r="52" spans="1:79" x14ac:dyDescent="0.2">
      <c r="A52" s="21" t="s">
        <v>80</v>
      </c>
      <c r="B52" s="10">
        <v>24330</v>
      </c>
      <c r="C52" s="5">
        <v>1033.7748107999998</v>
      </c>
      <c r="D52" s="5">
        <v>216.3327898</v>
      </c>
      <c r="E52" s="18">
        <v>25460</v>
      </c>
      <c r="F52" s="5">
        <v>1081.7233232000001</v>
      </c>
      <c r="G52" s="5">
        <v>226.3588996</v>
      </c>
      <c r="H52" s="18">
        <v>26390</v>
      </c>
      <c r="I52" s="5">
        <v>1121.7</v>
      </c>
      <c r="J52" s="16">
        <v>234.8</v>
      </c>
      <c r="K52" s="18">
        <v>30160</v>
      </c>
      <c r="L52" s="5">
        <v>1282.2</v>
      </c>
      <c r="M52" s="5">
        <v>268.39999999999998</v>
      </c>
      <c r="N52" s="18">
        <v>29310</v>
      </c>
      <c r="O52" s="5">
        <v>1245.3</v>
      </c>
      <c r="P52" s="5">
        <v>260.60000000000002</v>
      </c>
      <c r="Q52" s="18">
        <v>32660</v>
      </c>
      <c r="R52" s="5">
        <v>1388.1</v>
      </c>
      <c r="S52" s="5">
        <v>290.5</v>
      </c>
      <c r="T52" s="18">
        <v>32760</v>
      </c>
      <c r="U52" s="5">
        <v>1392.2</v>
      </c>
      <c r="V52" s="5">
        <v>291.39999999999998</v>
      </c>
      <c r="W52" s="18">
        <v>36550</v>
      </c>
      <c r="X52" s="5">
        <v>1553.7</v>
      </c>
      <c r="Y52" s="5">
        <v>325.2</v>
      </c>
      <c r="Z52" s="18">
        <v>37010</v>
      </c>
      <c r="AA52" s="5">
        <v>1572.4</v>
      </c>
      <c r="AB52" s="16">
        <v>313.10000000000002</v>
      </c>
      <c r="AC52" s="21" t="s">
        <v>80</v>
      </c>
      <c r="AD52" s="10">
        <v>34960</v>
      </c>
      <c r="AE52" s="5">
        <v>1485.7</v>
      </c>
      <c r="AF52" s="16">
        <v>261.39999999999998</v>
      </c>
      <c r="AG52" s="10">
        <v>33620</v>
      </c>
      <c r="AH52" s="5">
        <v>1428.5</v>
      </c>
      <c r="AI52" s="16">
        <v>229.9</v>
      </c>
      <c r="AJ52" s="10">
        <v>36220</v>
      </c>
      <c r="AK52" s="5">
        <v>1539.3</v>
      </c>
      <c r="AL52" s="16">
        <v>223.5</v>
      </c>
      <c r="AM52" s="10">
        <v>34780</v>
      </c>
      <c r="AN52" s="5">
        <v>1478.4</v>
      </c>
      <c r="AO52" s="16">
        <v>214.7</v>
      </c>
      <c r="AP52" s="10">
        <v>35700</v>
      </c>
      <c r="AQ52" s="5">
        <v>1516.9</v>
      </c>
      <c r="AR52" s="16">
        <v>219.8</v>
      </c>
      <c r="AS52" s="10">
        <v>35630</v>
      </c>
      <c r="AT52" s="5">
        <v>1514.2</v>
      </c>
      <c r="AU52" s="16">
        <v>219.4</v>
      </c>
      <c r="AV52" s="10">
        <v>35170</v>
      </c>
      <c r="AW52" s="5">
        <v>1494.8</v>
      </c>
      <c r="AX52" s="16">
        <v>216.7</v>
      </c>
      <c r="AY52" s="10">
        <v>35850</v>
      </c>
      <c r="AZ52" s="5">
        <v>1523.7</v>
      </c>
      <c r="BA52" s="16">
        <v>220.8</v>
      </c>
      <c r="BB52" s="25">
        <v>37150</v>
      </c>
      <c r="BC52" s="26">
        <v>1578.7</v>
      </c>
      <c r="BD52" s="27">
        <v>228.9</v>
      </c>
      <c r="BE52" s="65" t="s">
        <v>80</v>
      </c>
      <c r="BF52" s="18">
        <v>37090</v>
      </c>
      <c r="BG52" s="5">
        <v>1576.38</v>
      </c>
      <c r="BH52" s="16">
        <v>226.46104975</v>
      </c>
      <c r="BI52" s="10">
        <v>36580</v>
      </c>
      <c r="BJ52" s="5">
        <v>1555</v>
      </c>
      <c r="BK52" s="16">
        <v>223.55948090000001</v>
      </c>
      <c r="BL52" s="18">
        <v>36190</v>
      </c>
      <c r="BM52" s="5">
        <v>1538.1</v>
      </c>
      <c r="BN52" s="16">
        <v>221.61309940000001</v>
      </c>
      <c r="BO52" s="18">
        <v>32270</v>
      </c>
      <c r="BP52" s="5">
        <v>1371.51</v>
      </c>
      <c r="BQ52" s="16">
        <v>197.72930787999999</v>
      </c>
      <c r="BR52" s="18">
        <v>29390</v>
      </c>
      <c r="BS52" s="5">
        <v>1249.17</v>
      </c>
      <c r="BT52" s="16">
        <v>181.07534902</v>
      </c>
      <c r="BU52" s="18">
        <v>30790</v>
      </c>
      <c r="BV52" s="5">
        <v>1308.5899999999999</v>
      </c>
      <c r="BW52" s="16">
        <v>190.22281584999999</v>
      </c>
    </row>
    <row r="53" spans="1:79" x14ac:dyDescent="0.2">
      <c r="A53" s="21" t="s">
        <v>81</v>
      </c>
      <c r="B53" s="10">
        <v>21760</v>
      </c>
      <c r="C53" s="5">
        <v>946.19796410000004</v>
      </c>
      <c r="D53" s="5">
        <v>200.61184750000001</v>
      </c>
      <c r="E53" s="18">
        <v>23180</v>
      </c>
      <c r="F53" s="5">
        <v>1008.2162402</v>
      </c>
      <c r="G53" s="5">
        <v>213.79796140000002</v>
      </c>
      <c r="H53" s="18">
        <v>25430</v>
      </c>
      <c r="I53" s="5">
        <v>1106.4000000000001</v>
      </c>
      <c r="J53" s="16">
        <v>234.7</v>
      </c>
      <c r="K53" s="18">
        <v>27490</v>
      </c>
      <c r="L53" s="5">
        <v>1195.7</v>
      </c>
      <c r="M53" s="5">
        <v>253.6</v>
      </c>
      <c r="N53" s="18">
        <v>29150</v>
      </c>
      <c r="O53" s="5">
        <v>1267.9000000000001</v>
      </c>
      <c r="P53" s="5">
        <v>268.89999999999998</v>
      </c>
      <c r="Q53" s="18">
        <v>31090</v>
      </c>
      <c r="R53" s="5">
        <v>1352.1</v>
      </c>
      <c r="S53" s="5">
        <v>286.7</v>
      </c>
      <c r="T53" s="18">
        <v>31430</v>
      </c>
      <c r="U53" s="5">
        <v>1367</v>
      </c>
      <c r="V53" s="5">
        <v>289.89999999999998</v>
      </c>
      <c r="W53" s="18">
        <v>34580</v>
      </c>
      <c r="X53" s="5">
        <v>1504.6</v>
      </c>
      <c r="Y53" s="5">
        <v>319.10000000000002</v>
      </c>
      <c r="Z53" s="18">
        <v>35100</v>
      </c>
      <c r="AA53" s="5">
        <v>1527</v>
      </c>
      <c r="AB53" s="16">
        <v>308.7</v>
      </c>
      <c r="AC53" s="21" t="s">
        <v>81</v>
      </c>
      <c r="AD53" s="10">
        <v>35710</v>
      </c>
      <c r="AE53" s="5">
        <v>1554.1</v>
      </c>
      <c r="AF53" s="16">
        <v>275.8</v>
      </c>
      <c r="AG53" s="10">
        <v>35680</v>
      </c>
      <c r="AH53" s="5">
        <v>1552.8</v>
      </c>
      <c r="AI53" s="16">
        <v>250.3</v>
      </c>
      <c r="AJ53" s="10">
        <v>35210</v>
      </c>
      <c r="AK53" s="5">
        <v>1532.4</v>
      </c>
      <c r="AL53" s="16">
        <v>224</v>
      </c>
      <c r="AM53" s="10">
        <v>34650</v>
      </c>
      <c r="AN53" s="5">
        <v>1508.3</v>
      </c>
      <c r="AO53" s="16">
        <v>219.4</v>
      </c>
      <c r="AP53" s="10">
        <v>35300</v>
      </c>
      <c r="AQ53" s="5">
        <v>1536</v>
      </c>
      <c r="AR53" s="16">
        <v>223.6</v>
      </c>
      <c r="AS53" s="10">
        <v>35330</v>
      </c>
      <c r="AT53" s="5">
        <v>1537.2</v>
      </c>
      <c r="AU53" s="16">
        <v>223.2</v>
      </c>
      <c r="AV53" s="10">
        <v>35750</v>
      </c>
      <c r="AW53" s="5">
        <v>1555.7</v>
      </c>
      <c r="AX53" s="16">
        <v>226.4</v>
      </c>
      <c r="AY53" s="10">
        <v>36680</v>
      </c>
      <c r="AZ53" s="5">
        <v>1596.2</v>
      </c>
      <c r="BA53" s="16">
        <v>232.1</v>
      </c>
      <c r="BB53" s="25">
        <v>38260</v>
      </c>
      <c r="BC53" s="26">
        <v>1664.6</v>
      </c>
      <c r="BD53" s="27">
        <v>242.1</v>
      </c>
      <c r="BE53" s="65" t="s">
        <v>81</v>
      </c>
      <c r="BF53" s="18">
        <v>38550</v>
      </c>
      <c r="BG53" s="5">
        <v>1677.27</v>
      </c>
      <c r="BH53" s="16">
        <v>241.98779944999998</v>
      </c>
      <c r="BI53" s="10">
        <v>38200</v>
      </c>
      <c r="BJ53" s="5">
        <v>1662.2</v>
      </c>
      <c r="BK53" s="16">
        <v>239.84220159999998</v>
      </c>
      <c r="BL53" s="18">
        <v>37150</v>
      </c>
      <c r="BM53" s="5">
        <v>1616.2</v>
      </c>
      <c r="BN53" s="16">
        <v>233.76892950000001</v>
      </c>
      <c r="BO53" s="18">
        <v>33630</v>
      </c>
      <c r="BP53" s="5">
        <v>1463.28</v>
      </c>
      <c r="BQ53" s="16">
        <v>211.77677191000001</v>
      </c>
      <c r="BR53" s="18">
        <v>30330</v>
      </c>
      <c r="BS53" s="5">
        <v>1319.61</v>
      </c>
      <c r="BT53" s="16">
        <v>191.76985669000001</v>
      </c>
      <c r="BU53" s="18">
        <v>31580</v>
      </c>
      <c r="BV53" s="5">
        <v>1373.79</v>
      </c>
      <c r="BW53" s="16">
        <v>200.29287421000001</v>
      </c>
    </row>
    <row r="54" spans="1:79" x14ac:dyDescent="0.2">
      <c r="A54" s="21" t="s">
        <v>82</v>
      </c>
      <c r="B54" s="10">
        <v>20740</v>
      </c>
      <c r="C54" s="5">
        <v>923.17389839999998</v>
      </c>
      <c r="D54" s="5">
        <v>198.24806569999998</v>
      </c>
      <c r="E54" s="18">
        <v>22840</v>
      </c>
      <c r="F54" s="5">
        <v>1016.5520372999999</v>
      </c>
      <c r="G54" s="5">
        <v>218.2914117</v>
      </c>
      <c r="H54" s="18">
        <v>23810</v>
      </c>
      <c r="I54" s="5">
        <v>1060</v>
      </c>
      <c r="J54" s="16">
        <v>227.6</v>
      </c>
      <c r="K54" s="18">
        <v>26010</v>
      </c>
      <c r="L54" s="5">
        <v>1157.4000000000001</v>
      </c>
      <c r="M54" s="5">
        <v>248.5</v>
      </c>
      <c r="N54" s="18">
        <v>28630</v>
      </c>
      <c r="O54" s="5">
        <v>1273.9000000000001</v>
      </c>
      <c r="P54" s="5">
        <v>273.5</v>
      </c>
      <c r="Q54" s="18">
        <v>29930</v>
      </c>
      <c r="R54" s="5">
        <v>1332.4</v>
      </c>
      <c r="S54" s="5">
        <v>286.2</v>
      </c>
      <c r="T54" s="18">
        <v>32930</v>
      </c>
      <c r="U54" s="5">
        <v>1466</v>
      </c>
      <c r="V54" s="5">
        <v>314.8</v>
      </c>
      <c r="W54" s="18">
        <v>32620</v>
      </c>
      <c r="X54" s="5">
        <v>1452.2</v>
      </c>
      <c r="Y54" s="5">
        <v>311.89999999999998</v>
      </c>
      <c r="Z54" s="18">
        <v>34010</v>
      </c>
      <c r="AA54" s="5">
        <v>1514.1</v>
      </c>
      <c r="AB54" s="16">
        <v>310.60000000000002</v>
      </c>
      <c r="AC54" s="21" t="s">
        <v>82</v>
      </c>
      <c r="AD54" s="10">
        <v>33730</v>
      </c>
      <c r="AE54" s="5">
        <v>1501.8</v>
      </c>
      <c r="AF54" s="16">
        <v>268.39999999999998</v>
      </c>
      <c r="AG54" s="10">
        <v>35310</v>
      </c>
      <c r="AH54" s="5">
        <v>1572.1</v>
      </c>
      <c r="AI54" s="16">
        <v>256.2</v>
      </c>
      <c r="AJ54" s="10">
        <v>32490</v>
      </c>
      <c r="AK54" s="5">
        <v>1446</v>
      </c>
      <c r="AL54" s="16">
        <v>212.9</v>
      </c>
      <c r="AM54" s="10">
        <v>32740</v>
      </c>
      <c r="AN54" s="5">
        <v>1456.5</v>
      </c>
      <c r="AO54" s="16">
        <v>214.5</v>
      </c>
      <c r="AP54" s="10">
        <v>34200</v>
      </c>
      <c r="AQ54" s="5">
        <v>1522</v>
      </c>
      <c r="AR54" s="16">
        <v>223.6</v>
      </c>
      <c r="AS54" s="10">
        <v>34380</v>
      </c>
      <c r="AT54" s="5">
        <v>1529.4</v>
      </c>
      <c r="AU54" s="16">
        <v>224.8</v>
      </c>
      <c r="AV54" s="10">
        <v>35580</v>
      </c>
      <c r="AW54" s="5">
        <v>1583.7</v>
      </c>
      <c r="AX54" s="16">
        <v>232.9</v>
      </c>
      <c r="AY54" s="10">
        <v>36480</v>
      </c>
      <c r="AZ54" s="5">
        <v>1623.7</v>
      </c>
      <c r="BA54" s="16">
        <v>238.7</v>
      </c>
      <c r="BB54" s="25">
        <v>38010</v>
      </c>
      <c r="BC54" s="26">
        <v>1691.9</v>
      </c>
      <c r="BD54" s="27">
        <v>248.8</v>
      </c>
      <c r="BE54" s="65" t="s">
        <v>82</v>
      </c>
      <c r="BF54" s="18">
        <v>38030</v>
      </c>
      <c r="BG54" s="5">
        <v>1692.71</v>
      </c>
      <c r="BH54" s="16">
        <v>247.12205084000001</v>
      </c>
      <c r="BI54" s="10">
        <v>37950</v>
      </c>
      <c r="BJ54" s="5">
        <v>1688.8</v>
      </c>
      <c r="BK54" s="16">
        <v>246.47457850000001</v>
      </c>
      <c r="BL54" s="18">
        <v>37450</v>
      </c>
      <c r="BM54" s="5">
        <v>1666.5</v>
      </c>
      <c r="BN54" s="16">
        <v>243.78628219999999</v>
      </c>
      <c r="BO54" s="18">
        <v>34160</v>
      </c>
      <c r="BP54" s="5">
        <v>1520.12</v>
      </c>
      <c r="BQ54" s="16">
        <v>222.32377263000001</v>
      </c>
      <c r="BR54" s="18">
        <v>30880</v>
      </c>
      <c r="BS54" s="5">
        <v>1374.3</v>
      </c>
      <c r="BT54" s="16">
        <v>201.69107334999998</v>
      </c>
      <c r="BU54" s="18">
        <v>30780</v>
      </c>
      <c r="BV54" s="5">
        <v>1369.69</v>
      </c>
      <c r="BW54" s="16">
        <v>201.54405974000002</v>
      </c>
    </row>
    <row r="55" spans="1:79" x14ac:dyDescent="0.2">
      <c r="A55" s="21" t="s">
        <v>83</v>
      </c>
      <c r="B55" s="10">
        <v>21260</v>
      </c>
      <c r="C55" s="5">
        <v>966.8738141</v>
      </c>
      <c r="D55" s="5">
        <v>209.9983201</v>
      </c>
      <c r="E55" s="18">
        <v>20970</v>
      </c>
      <c r="F55" s="5">
        <v>954.26653399999998</v>
      </c>
      <c r="G55" s="5">
        <v>207.33185780000002</v>
      </c>
      <c r="H55" s="18">
        <v>23890</v>
      </c>
      <c r="I55" s="5">
        <v>1086.7</v>
      </c>
      <c r="J55" s="16">
        <v>236.1</v>
      </c>
      <c r="K55" s="18">
        <v>24960</v>
      </c>
      <c r="L55" s="5">
        <v>1136.0999999999999</v>
      </c>
      <c r="M55" s="5">
        <v>246.9</v>
      </c>
      <c r="N55" s="18">
        <v>29100</v>
      </c>
      <c r="O55" s="5">
        <v>1323.8</v>
      </c>
      <c r="P55" s="5">
        <v>287.60000000000002</v>
      </c>
      <c r="Q55" s="18">
        <v>29530</v>
      </c>
      <c r="R55" s="5">
        <v>1344.3</v>
      </c>
      <c r="S55" s="5">
        <v>292.10000000000002</v>
      </c>
      <c r="T55" s="18">
        <v>29770</v>
      </c>
      <c r="U55" s="5">
        <v>1354.5</v>
      </c>
      <c r="V55" s="5">
        <v>294.3</v>
      </c>
      <c r="W55" s="18">
        <v>32130</v>
      </c>
      <c r="X55" s="5">
        <v>1461.5</v>
      </c>
      <c r="Y55" s="5">
        <v>317.5</v>
      </c>
      <c r="Z55" s="18">
        <v>33110</v>
      </c>
      <c r="AA55" s="5">
        <v>1506.9</v>
      </c>
      <c r="AB55" s="16">
        <v>313.2</v>
      </c>
      <c r="AC55" s="21" t="s">
        <v>83</v>
      </c>
      <c r="AD55" s="10">
        <v>32050</v>
      </c>
      <c r="AE55" s="5">
        <v>1458.4</v>
      </c>
      <c r="AF55" s="16">
        <v>263</v>
      </c>
      <c r="AG55" s="10">
        <v>33430</v>
      </c>
      <c r="AH55" s="5">
        <v>1521.8</v>
      </c>
      <c r="AI55" s="16">
        <v>251.2</v>
      </c>
      <c r="AJ55" s="10">
        <v>31800</v>
      </c>
      <c r="AK55" s="5">
        <v>1447</v>
      </c>
      <c r="AL55" s="16">
        <v>216.3</v>
      </c>
      <c r="AM55" s="10">
        <v>33470</v>
      </c>
      <c r="AN55" s="5">
        <v>1523</v>
      </c>
      <c r="AO55" s="16">
        <v>227.5</v>
      </c>
      <c r="AP55" s="10">
        <v>33350</v>
      </c>
      <c r="AQ55" s="5">
        <v>1517.6</v>
      </c>
      <c r="AR55" s="16">
        <v>226.5</v>
      </c>
      <c r="AS55" s="10">
        <v>37390</v>
      </c>
      <c r="AT55" s="5">
        <v>1702.1</v>
      </c>
      <c r="AU55" s="16">
        <v>253.9</v>
      </c>
      <c r="AV55" s="10">
        <v>34780</v>
      </c>
      <c r="AW55" s="5">
        <v>1582.8</v>
      </c>
      <c r="AX55" s="16">
        <v>236.4</v>
      </c>
      <c r="AY55" s="10">
        <v>35780</v>
      </c>
      <c r="AZ55" s="5">
        <v>1628.2</v>
      </c>
      <c r="BA55" s="16">
        <v>243.1</v>
      </c>
      <c r="BB55" s="25">
        <v>37100</v>
      </c>
      <c r="BC55" s="26">
        <v>1688</v>
      </c>
      <c r="BD55" s="27">
        <v>252.3</v>
      </c>
      <c r="BE55" s="65" t="s">
        <v>83</v>
      </c>
      <c r="BF55" s="18">
        <v>37950</v>
      </c>
      <c r="BG55" s="5">
        <v>1726.57</v>
      </c>
      <c r="BH55" s="16">
        <v>256.51251883000003</v>
      </c>
      <c r="BI55" s="10">
        <v>37300</v>
      </c>
      <c r="BJ55" s="5">
        <v>1697.4</v>
      </c>
      <c r="BK55" s="16">
        <v>252.1479994</v>
      </c>
      <c r="BL55" s="18">
        <v>37600</v>
      </c>
      <c r="BM55" s="5">
        <v>1710.8</v>
      </c>
      <c r="BN55" s="16">
        <v>254.45295569999999</v>
      </c>
      <c r="BO55" s="18">
        <v>34630</v>
      </c>
      <c r="BP55" s="5">
        <v>1575.78</v>
      </c>
      <c r="BQ55" s="16">
        <v>234.31757425999999</v>
      </c>
      <c r="BR55" s="18">
        <v>31200</v>
      </c>
      <c r="BS55" s="5">
        <v>1419.52</v>
      </c>
      <c r="BT55" s="16">
        <v>211.59507105</v>
      </c>
      <c r="BU55" s="18">
        <v>30760</v>
      </c>
      <c r="BV55" s="5">
        <v>1399.63</v>
      </c>
      <c r="BW55" s="16">
        <v>208.96192311000001</v>
      </c>
      <c r="CA55" s="2" t="s">
        <v>312</v>
      </c>
    </row>
    <row r="56" spans="1:79" x14ac:dyDescent="0.2">
      <c r="A56" s="21" t="s">
        <v>84</v>
      </c>
      <c r="B56" s="10">
        <v>18260</v>
      </c>
      <c r="C56" s="5">
        <v>849.0689132</v>
      </c>
      <c r="D56" s="5">
        <v>186.5158208</v>
      </c>
      <c r="E56" s="18">
        <v>19900</v>
      </c>
      <c r="F56" s="5">
        <v>925.27508499999999</v>
      </c>
      <c r="G56" s="5">
        <v>203.2297212</v>
      </c>
      <c r="H56" s="18">
        <v>21050</v>
      </c>
      <c r="I56" s="5">
        <v>979</v>
      </c>
      <c r="J56" s="16">
        <v>215.1</v>
      </c>
      <c r="K56" s="18">
        <v>24540</v>
      </c>
      <c r="L56" s="5">
        <v>1140.7</v>
      </c>
      <c r="M56" s="5">
        <v>250.6</v>
      </c>
      <c r="N56" s="18">
        <v>27560</v>
      </c>
      <c r="O56" s="5">
        <v>1281</v>
      </c>
      <c r="P56" s="5">
        <v>281.3</v>
      </c>
      <c r="Q56" s="18">
        <v>27060</v>
      </c>
      <c r="R56" s="5">
        <v>1257.9000000000001</v>
      </c>
      <c r="S56" s="5">
        <v>276.3</v>
      </c>
      <c r="T56" s="18">
        <v>28480</v>
      </c>
      <c r="U56" s="5">
        <v>1324.1</v>
      </c>
      <c r="V56" s="5">
        <v>290.89999999999998</v>
      </c>
      <c r="W56" s="18">
        <v>31390</v>
      </c>
      <c r="X56" s="5">
        <v>1459.8</v>
      </c>
      <c r="Y56" s="5">
        <v>320.7</v>
      </c>
      <c r="Z56" s="18">
        <v>31610</v>
      </c>
      <c r="AA56" s="5">
        <v>1469.8</v>
      </c>
      <c r="AB56" s="16">
        <v>309.3</v>
      </c>
      <c r="AC56" s="21" t="s">
        <v>84</v>
      </c>
      <c r="AD56" s="10">
        <v>31270</v>
      </c>
      <c r="AE56" s="5">
        <v>1454</v>
      </c>
      <c r="AF56" s="16">
        <v>265</v>
      </c>
      <c r="AG56" s="10">
        <v>32530</v>
      </c>
      <c r="AH56" s="5">
        <v>1513.1</v>
      </c>
      <c r="AI56" s="16">
        <v>252.3</v>
      </c>
      <c r="AJ56" s="10">
        <v>30780</v>
      </c>
      <c r="AK56" s="5">
        <v>1431.1</v>
      </c>
      <c r="AL56" s="16">
        <v>216.6</v>
      </c>
      <c r="AM56" s="10">
        <v>32200</v>
      </c>
      <c r="AN56" s="5">
        <v>1497.6</v>
      </c>
      <c r="AO56" s="16">
        <v>226.6</v>
      </c>
      <c r="AP56" s="10">
        <v>31890</v>
      </c>
      <c r="AQ56" s="5">
        <v>1483</v>
      </c>
      <c r="AR56" s="16">
        <v>224.2</v>
      </c>
      <c r="AS56" s="10">
        <v>35350</v>
      </c>
      <c r="AT56" s="5">
        <v>1644.1</v>
      </c>
      <c r="AU56" s="16">
        <v>248.5</v>
      </c>
      <c r="AV56" s="10">
        <v>34330</v>
      </c>
      <c r="AW56" s="5">
        <v>1596.4</v>
      </c>
      <c r="AX56" s="16">
        <v>241.9</v>
      </c>
      <c r="AY56" s="10">
        <v>35510</v>
      </c>
      <c r="AZ56" s="5">
        <v>1651.6</v>
      </c>
      <c r="BA56" s="16">
        <v>250.2</v>
      </c>
      <c r="BB56" s="25">
        <v>36850</v>
      </c>
      <c r="BC56" s="26">
        <v>1713.8</v>
      </c>
      <c r="BD56" s="27">
        <v>259.8</v>
      </c>
      <c r="BE56" s="65" t="s">
        <v>84</v>
      </c>
      <c r="BF56" s="18">
        <v>37910</v>
      </c>
      <c r="BG56" s="5">
        <v>1762.92</v>
      </c>
      <c r="BH56" s="16">
        <v>266.28193558999999</v>
      </c>
      <c r="BI56" s="10">
        <v>37740</v>
      </c>
      <c r="BJ56" s="5">
        <v>1755</v>
      </c>
      <c r="BK56" s="16">
        <v>265.07391990000002</v>
      </c>
      <c r="BL56" s="18">
        <v>37950</v>
      </c>
      <c r="BM56" s="5">
        <v>1764.8</v>
      </c>
      <c r="BN56" s="16">
        <v>266.75496290000001</v>
      </c>
      <c r="BO56" s="18">
        <v>35800</v>
      </c>
      <c r="BP56" s="5">
        <v>1664.76</v>
      </c>
      <c r="BQ56" s="16">
        <v>251.57784037000002</v>
      </c>
      <c r="BR56" s="18">
        <v>31540</v>
      </c>
      <c r="BS56" s="5">
        <v>1466.61</v>
      </c>
      <c r="BT56" s="16">
        <v>221.84190871999999</v>
      </c>
      <c r="BU56" s="18">
        <v>31270</v>
      </c>
      <c r="BV56" s="5">
        <v>1454.13</v>
      </c>
      <c r="BW56" s="16">
        <v>220.17043108000001</v>
      </c>
    </row>
    <row r="57" spans="1:79" x14ac:dyDescent="0.2">
      <c r="A57" s="21" t="s">
        <v>85</v>
      </c>
      <c r="B57" s="10">
        <v>16370</v>
      </c>
      <c r="C57" s="5">
        <v>777.80379870000002</v>
      </c>
      <c r="D57" s="5">
        <v>172.69403800000001</v>
      </c>
      <c r="E57" s="18">
        <v>19430</v>
      </c>
      <c r="F57" s="5">
        <v>923.31740479999996</v>
      </c>
      <c r="G57" s="5">
        <v>205.01884419999999</v>
      </c>
      <c r="H57" s="18">
        <v>21400</v>
      </c>
      <c r="I57" s="5">
        <v>1016.3</v>
      </c>
      <c r="J57" s="16">
        <v>225.6</v>
      </c>
      <c r="K57" s="18">
        <v>22470</v>
      </c>
      <c r="L57" s="5">
        <v>1067.2</v>
      </c>
      <c r="M57" s="5">
        <v>236.9</v>
      </c>
      <c r="N57" s="18">
        <v>21960</v>
      </c>
      <c r="O57" s="5">
        <v>1043.5</v>
      </c>
      <c r="P57" s="5">
        <v>231.7</v>
      </c>
      <c r="Q57" s="18">
        <v>27510</v>
      </c>
      <c r="R57" s="5">
        <v>1306.5</v>
      </c>
      <c r="S57" s="5">
        <v>290</v>
      </c>
      <c r="T57" s="18">
        <v>28410</v>
      </c>
      <c r="U57" s="5">
        <v>1349.7</v>
      </c>
      <c r="V57" s="5">
        <v>299.7</v>
      </c>
      <c r="W57" s="18">
        <v>30750</v>
      </c>
      <c r="X57" s="5">
        <v>1461.2</v>
      </c>
      <c r="Y57" s="5">
        <v>324.39999999999998</v>
      </c>
      <c r="Z57" s="18">
        <v>30840</v>
      </c>
      <c r="AA57" s="5">
        <v>1465.3</v>
      </c>
      <c r="AB57" s="16">
        <v>312.10000000000002</v>
      </c>
      <c r="AC57" s="21" t="s">
        <v>85</v>
      </c>
      <c r="AD57" s="10">
        <v>39500</v>
      </c>
      <c r="AE57" s="5">
        <v>1879.1</v>
      </c>
      <c r="AF57" s="16">
        <v>345.9</v>
      </c>
      <c r="AG57" s="10">
        <v>36170</v>
      </c>
      <c r="AH57" s="5">
        <v>1721</v>
      </c>
      <c r="AI57" s="16">
        <v>290.39999999999998</v>
      </c>
      <c r="AJ57" s="10">
        <v>40230</v>
      </c>
      <c r="AK57" s="5">
        <v>1913.3</v>
      </c>
      <c r="AL57" s="16">
        <v>293.39999999999998</v>
      </c>
      <c r="AM57" s="10">
        <v>36430</v>
      </c>
      <c r="AN57" s="5">
        <v>1732.9</v>
      </c>
      <c r="AO57" s="16">
        <v>265.7</v>
      </c>
      <c r="AP57" s="10">
        <v>39160</v>
      </c>
      <c r="AQ57" s="5">
        <v>1862.9</v>
      </c>
      <c r="AR57" s="16">
        <v>285.60000000000002</v>
      </c>
      <c r="AS57" s="10">
        <v>40680</v>
      </c>
      <c r="AT57" s="5">
        <v>1935.4</v>
      </c>
      <c r="AU57" s="16">
        <v>296.8</v>
      </c>
      <c r="AV57" s="10">
        <v>40790</v>
      </c>
      <c r="AW57" s="5">
        <v>1940</v>
      </c>
      <c r="AX57" s="16">
        <v>297.89999999999998</v>
      </c>
      <c r="AY57" s="10">
        <v>42620</v>
      </c>
      <c r="AZ57" s="5">
        <v>2027.6</v>
      </c>
      <c r="BA57" s="16">
        <v>311.3</v>
      </c>
      <c r="BB57" s="25">
        <v>44430</v>
      </c>
      <c r="BC57" s="26">
        <v>2113.8000000000002</v>
      </c>
      <c r="BD57" s="27">
        <v>325.10000000000002</v>
      </c>
      <c r="BE57" s="65" t="s">
        <v>85</v>
      </c>
      <c r="BF57" s="18">
        <v>45050</v>
      </c>
      <c r="BG57" s="5">
        <v>2142.73</v>
      </c>
      <c r="BH57" s="16">
        <v>329.10222385000003</v>
      </c>
      <c r="BI57" s="10">
        <v>45600</v>
      </c>
      <c r="BJ57" s="5">
        <v>2169.1</v>
      </c>
      <c r="BK57" s="16">
        <v>332.91420499999998</v>
      </c>
      <c r="BL57" s="18">
        <v>44860</v>
      </c>
      <c r="BM57" s="5">
        <v>2133.4</v>
      </c>
      <c r="BN57" s="16">
        <v>327.64746780000002</v>
      </c>
      <c r="BO57" s="18">
        <v>42260</v>
      </c>
      <c r="BP57" s="5">
        <v>2009.71</v>
      </c>
      <c r="BQ57" s="16">
        <v>308.61066419000002</v>
      </c>
      <c r="BR57" s="18">
        <v>38040</v>
      </c>
      <c r="BS57" s="5">
        <v>1809.05</v>
      </c>
      <c r="BT57" s="16">
        <v>277.90203851999996</v>
      </c>
      <c r="BU57" s="18">
        <v>36700</v>
      </c>
      <c r="BV57" s="5">
        <v>1744.94</v>
      </c>
      <c r="BW57" s="16">
        <v>268.05407651000002</v>
      </c>
    </row>
    <row r="58" spans="1:79" x14ac:dyDescent="0.2">
      <c r="A58" s="21" t="s">
        <v>86</v>
      </c>
      <c r="B58" s="10">
        <v>15940</v>
      </c>
      <c r="C58" s="5">
        <v>772.93959920000009</v>
      </c>
      <c r="D58" s="5">
        <v>173.29630740000002</v>
      </c>
      <c r="E58" s="18">
        <v>17160</v>
      </c>
      <c r="F58" s="5">
        <v>832.16431</v>
      </c>
      <c r="G58" s="5">
        <v>186.5803051</v>
      </c>
      <c r="H58" s="18">
        <v>18780</v>
      </c>
      <c r="I58" s="5">
        <v>910.3</v>
      </c>
      <c r="J58" s="16">
        <v>204.1</v>
      </c>
      <c r="K58" s="18">
        <v>21670</v>
      </c>
      <c r="L58" s="5">
        <v>1051</v>
      </c>
      <c r="M58" s="5">
        <v>235.7</v>
      </c>
      <c r="N58" s="18">
        <v>23100</v>
      </c>
      <c r="O58" s="5">
        <v>1120.2</v>
      </c>
      <c r="P58" s="5">
        <v>251.2</v>
      </c>
      <c r="Q58" s="18">
        <v>25570</v>
      </c>
      <c r="R58" s="5">
        <v>1240.0999999999999</v>
      </c>
      <c r="S58" s="5">
        <v>278.10000000000002</v>
      </c>
      <c r="T58" s="18">
        <v>28220</v>
      </c>
      <c r="U58" s="5">
        <v>1368.9</v>
      </c>
      <c r="V58" s="5">
        <v>307</v>
      </c>
      <c r="W58" s="18">
        <v>27980</v>
      </c>
      <c r="X58" s="5">
        <v>1356.9</v>
      </c>
      <c r="Y58" s="5">
        <v>304.2</v>
      </c>
      <c r="Z58" s="18">
        <v>28840</v>
      </c>
      <c r="AA58" s="5">
        <v>1399.1</v>
      </c>
      <c r="AB58" s="16">
        <v>301.39999999999998</v>
      </c>
      <c r="AC58" s="21" t="s">
        <v>86</v>
      </c>
      <c r="AD58" s="10">
        <v>34170</v>
      </c>
      <c r="AE58" s="5">
        <v>1656</v>
      </c>
      <c r="AF58" s="16">
        <v>308.39999999999998</v>
      </c>
      <c r="AG58" s="10">
        <v>30970</v>
      </c>
      <c r="AH58" s="5">
        <v>1501.8</v>
      </c>
      <c r="AI58" s="16">
        <v>256.7</v>
      </c>
      <c r="AJ58" s="10">
        <v>33720</v>
      </c>
      <c r="AK58" s="5">
        <v>1635.1</v>
      </c>
      <c r="AL58" s="16">
        <v>254.4</v>
      </c>
      <c r="AM58" s="10">
        <v>33940</v>
      </c>
      <c r="AN58" s="5">
        <v>1645.5</v>
      </c>
      <c r="AO58" s="16">
        <v>256</v>
      </c>
      <c r="AP58" s="10">
        <v>32470</v>
      </c>
      <c r="AQ58" s="5">
        <v>1574.4</v>
      </c>
      <c r="AR58" s="16">
        <v>244.9</v>
      </c>
      <c r="AS58" s="10">
        <v>33570</v>
      </c>
      <c r="AT58" s="5">
        <v>1628</v>
      </c>
      <c r="AU58" s="16">
        <v>253.5</v>
      </c>
      <c r="AV58" s="10">
        <v>35730</v>
      </c>
      <c r="AW58" s="5">
        <v>1732.2</v>
      </c>
      <c r="AX58" s="16">
        <v>269.8</v>
      </c>
      <c r="AY58" s="10">
        <v>37150</v>
      </c>
      <c r="AZ58" s="5">
        <v>1801</v>
      </c>
      <c r="BA58" s="16">
        <v>280.7</v>
      </c>
      <c r="BB58" s="25">
        <v>37990</v>
      </c>
      <c r="BC58" s="26">
        <v>1842.1</v>
      </c>
      <c r="BD58" s="27">
        <v>287.39999999999998</v>
      </c>
      <c r="BE58" s="65" t="s">
        <v>86</v>
      </c>
      <c r="BF58" s="18">
        <v>39370</v>
      </c>
      <c r="BG58" s="5">
        <v>1908.58</v>
      </c>
      <c r="BH58" s="16">
        <v>297.78514668000003</v>
      </c>
      <c r="BI58" s="10">
        <v>40420</v>
      </c>
      <c r="BJ58" s="5">
        <v>1959.4</v>
      </c>
      <c r="BK58" s="16">
        <v>305.6896261</v>
      </c>
      <c r="BL58" s="18">
        <v>40630</v>
      </c>
      <c r="BM58" s="5">
        <v>1969.7</v>
      </c>
      <c r="BN58" s="16">
        <v>307.26253969999999</v>
      </c>
      <c r="BO58" s="18">
        <v>39860</v>
      </c>
      <c r="BP58" s="5">
        <v>1932.16</v>
      </c>
      <c r="BQ58" s="16">
        <v>301.41001611000002</v>
      </c>
      <c r="BR58" s="18">
        <v>36100</v>
      </c>
      <c r="BS58" s="5">
        <v>1750.11</v>
      </c>
      <c r="BT58" s="16">
        <v>273.00706495999998</v>
      </c>
      <c r="BU58" s="18">
        <v>34820</v>
      </c>
      <c r="BV58" s="5">
        <v>1688.22</v>
      </c>
      <c r="BW58" s="16">
        <v>263.38105759000001</v>
      </c>
    </row>
    <row r="59" spans="1:79" x14ac:dyDescent="0.2">
      <c r="A59" s="21" t="s">
        <v>87</v>
      </c>
      <c r="B59" s="10">
        <v>14400</v>
      </c>
      <c r="C59" s="5">
        <v>713.01430640000001</v>
      </c>
      <c r="D59" s="5">
        <v>161.39880309999998</v>
      </c>
      <c r="E59" s="18">
        <v>17820</v>
      </c>
      <c r="F59" s="5">
        <v>882.63450139999998</v>
      </c>
      <c r="G59" s="5">
        <v>199.85278590000001</v>
      </c>
      <c r="H59" s="18">
        <v>18880</v>
      </c>
      <c r="I59" s="5">
        <v>934.6</v>
      </c>
      <c r="J59" s="16">
        <v>211.6</v>
      </c>
      <c r="K59" s="18">
        <v>19610</v>
      </c>
      <c r="L59" s="5">
        <v>970.9</v>
      </c>
      <c r="M59" s="5">
        <v>219.8</v>
      </c>
      <c r="N59" s="18">
        <v>23330</v>
      </c>
      <c r="O59" s="5">
        <v>1155.3</v>
      </c>
      <c r="P59" s="5">
        <v>261.60000000000002</v>
      </c>
      <c r="Q59" s="18">
        <v>24950</v>
      </c>
      <c r="R59" s="5">
        <v>1235.5</v>
      </c>
      <c r="S59" s="5">
        <v>279.7</v>
      </c>
      <c r="T59" s="18">
        <v>26960</v>
      </c>
      <c r="U59" s="5">
        <v>1335</v>
      </c>
      <c r="V59" s="5">
        <v>302.2</v>
      </c>
      <c r="W59" s="18">
        <v>27480</v>
      </c>
      <c r="X59" s="5">
        <v>1360.6</v>
      </c>
      <c r="Y59" s="5">
        <v>308</v>
      </c>
      <c r="Z59" s="18">
        <v>30240</v>
      </c>
      <c r="AA59" s="5">
        <v>1498</v>
      </c>
      <c r="AB59" s="16">
        <v>326.2</v>
      </c>
      <c r="AC59" s="21" t="s">
        <v>87</v>
      </c>
      <c r="AD59" s="10">
        <v>30710</v>
      </c>
      <c r="AE59" s="5">
        <v>1520.6</v>
      </c>
      <c r="AF59" s="16">
        <v>288.10000000000002</v>
      </c>
      <c r="AG59" s="10">
        <v>29940</v>
      </c>
      <c r="AH59" s="5">
        <v>1482.1</v>
      </c>
      <c r="AI59" s="16">
        <v>258</v>
      </c>
      <c r="AJ59" s="10">
        <v>31700</v>
      </c>
      <c r="AK59" s="5">
        <v>1569.5</v>
      </c>
      <c r="AL59" s="16">
        <v>249.3</v>
      </c>
      <c r="AM59" s="10">
        <v>31850</v>
      </c>
      <c r="AN59" s="5">
        <v>1577.4</v>
      </c>
      <c r="AO59" s="16">
        <v>250.3</v>
      </c>
      <c r="AP59" s="10">
        <v>34150</v>
      </c>
      <c r="AQ59" s="5">
        <v>1690.6</v>
      </c>
      <c r="AR59" s="16">
        <v>268.10000000000002</v>
      </c>
      <c r="AS59" s="10">
        <v>32840</v>
      </c>
      <c r="AT59" s="5">
        <v>1626.9</v>
      </c>
      <c r="AU59" s="16">
        <v>258.39999999999998</v>
      </c>
      <c r="AV59" s="10">
        <v>33600</v>
      </c>
      <c r="AW59" s="5">
        <v>1663.6</v>
      </c>
      <c r="AX59" s="16">
        <v>264.10000000000002</v>
      </c>
      <c r="AY59" s="10">
        <v>34790</v>
      </c>
      <c r="AZ59" s="5">
        <v>1722.5</v>
      </c>
      <c r="BA59" s="16">
        <v>273.39999999999998</v>
      </c>
      <c r="BB59" s="25">
        <v>36360</v>
      </c>
      <c r="BC59" s="26">
        <v>1800.5</v>
      </c>
      <c r="BD59" s="27">
        <v>286.3</v>
      </c>
      <c r="BE59" s="65" t="s">
        <v>87</v>
      </c>
      <c r="BF59" s="18">
        <v>37250</v>
      </c>
      <c r="BG59" s="5">
        <v>1844.09</v>
      </c>
      <c r="BH59" s="16">
        <v>293.24205461000003</v>
      </c>
      <c r="BI59" s="10">
        <v>37710</v>
      </c>
      <c r="BJ59" s="5">
        <v>1867.2</v>
      </c>
      <c r="BK59" s="16">
        <v>296.90402929999999</v>
      </c>
      <c r="BL59" s="18">
        <v>38450</v>
      </c>
      <c r="BM59" s="5">
        <v>1903.8</v>
      </c>
      <c r="BN59" s="16">
        <v>302.70349110000001</v>
      </c>
      <c r="BO59" s="18">
        <v>37310</v>
      </c>
      <c r="BP59" s="5">
        <v>1847.21</v>
      </c>
      <c r="BQ59" s="16">
        <v>293.69752445999995</v>
      </c>
      <c r="BR59" s="18">
        <v>34190</v>
      </c>
      <c r="BS59" s="5">
        <v>1692.63</v>
      </c>
      <c r="BT59" s="16">
        <v>269.11071466999999</v>
      </c>
      <c r="BU59" s="18">
        <v>32340</v>
      </c>
      <c r="BV59" s="5">
        <v>1601.19</v>
      </c>
      <c r="BW59" s="16">
        <v>254.59846153000001</v>
      </c>
    </row>
    <row r="60" spans="1:79" x14ac:dyDescent="0.2">
      <c r="A60" s="21" t="s">
        <v>88</v>
      </c>
      <c r="B60" s="10">
        <v>15190</v>
      </c>
      <c r="C60" s="5">
        <v>766.5553877000001</v>
      </c>
      <c r="D60" s="5">
        <v>175.03390039999999</v>
      </c>
      <c r="E60" s="18">
        <v>16380</v>
      </c>
      <c r="F60" s="5">
        <v>826.98865799999999</v>
      </c>
      <c r="G60" s="5">
        <v>188.8768584</v>
      </c>
      <c r="H60" s="18">
        <v>16820</v>
      </c>
      <c r="I60" s="5">
        <v>849.5</v>
      </c>
      <c r="J60" s="16">
        <v>194.1</v>
      </c>
      <c r="K60" s="18">
        <v>20650</v>
      </c>
      <c r="L60" s="5">
        <v>1042.9000000000001</v>
      </c>
      <c r="M60" s="5">
        <v>238.2</v>
      </c>
      <c r="N60" s="18">
        <v>21070</v>
      </c>
      <c r="O60" s="5">
        <v>1064.0999999999999</v>
      </c>
      <c r="P60" s="5">
        <v>243</v>
      </c>
      <c r="Q60" s="18">
        <v>22810</v>
      </c>
      <c r="R60" s="5">
        <v>1152.3</v>
      </c>
      <c r="S60" s="5">
        <v>263.3</v>
      </c>
      <c r="T60" s="18">
        <v>24760</v>
      </c>
      <c r="U60" s="5">
        <v>1250.5</v>
      </c>
      <c r="V60" s="5">
        <v>285.60000000000002</v>
      </c>
      <c r="W60" s="18">
        <v>26550</v>
      </c>
      <c r="X60" s="5">
        <v>1341.2</v>
      </c>
      <c r="Y60" s="5">
        <v>306.39999999999998</v>
      </c>
      <c r="Z60" s="18">
        <v>27600</v>
      </c>
      <c r="AA60" s="5">
        <v>1393.6</v>
      </c>
      <c r="AB60" s="16">
        <v>306.39999999999998</v>
      </c>
      <c r="AC60" s="21" t="s">
        <v>88</v>
      </c>
      <c r="AD60" s="10">
        <v>29010</v>
      </c>
      <c r="AE60" s="5">
        <v>1464.6</v>
      </c>
      <c r="AF60" s="16">
        <v>281.60000000000002</v>
      </c>
      <c r="AG60" s="10">
        <v>29610</v>
      </c>
      <c r="AH60" s="5">
        <v>1495.2</v>
      </c>
      <c r="AI60" s="16">
        <v>264.5</v>
      </c>
      <c r="AJ60" s="10">
        <v>29190</v>
      </c>
      <c r="AK60" s="5">
        <v>1474.3</v>
      </c>
      <c r="AL60" s="16">
        <v>238.2</v>
      </c>
      <c r="AM60" s="10">
        <v>28270</v>
      </c>
      <c r="AN60" s="5">
        <v>1427.5</v>
      </c>
      <c r="AO60" s="16">
        <v>230.6</v>
      </c>
      <c r="AP60" s="10">
        <v>30440</v>
      </c>
      <c r="AQ60" s="5">
        <v>1537.3</v>
      </c>
      <c r="AR60" s="16">
        <v>248.4</v>
      </c>
      <c r="AS60" s="10">
        <v>31550</v>
      </c>
      <c r="AT60" s="5">
        <v>1592.8</v>
      </c>
      <c r="AU60" s="16">
        <v>257.2</v>
      </c>
      <c r="AV60" s="10">
        <v>32610</v>
      </c>
      <c r="AW60" s="5">
        <v>1647.1</v>
      </c>
      <c r="AX60" s="16">
        <v>265.89999999999998</v>
      </c>
      <c r="AY60" s="10">
        <v>33330</v>
      </c>
      <c r="AZ60" s="5">
        <v>1683</v>
      </c>
      <c r="BA60" s="16">
        <v>271.8</v>
      </c>
      <c r="BB60" s="25">
        <v>35170</v>
      </c>
      <c r="BC60" s="26">
        <v>1776</v>
      </c>
      <c r="BD60" s="27">
        <v>287.3</v>
      </c>
      <c r="BE60" s="65" t="s">
        <v>88</v>
      </c>
      <c r="BF60" s="18">
        <v>36020</v>
      </c>
      <c r="BG60" s="5">
        <v>1818.96</v>
      </c>
      <c r="BH60" s="16">
        <v>294.25020011999999</v>
      </c>
      <c r="BI60" s="10">
        <v>37180</v>
      </c>
      <c r="BJ60" s="5">
        <v>1877.2</v>
      </c>
      <c r="BK60" s="16">
        <v>303.65895519999998</v>
      </c>
      <c r="BL60" s="18">
        <v>38020</v>
      </c>
      <c r="BM60" s="5">
        <v>1919.9</v>
      </c>
      <c r="BN60" s="16">
        <v>310.53754269999996</v>
      </c>
      <c r="BO60" s="18">
        <v>37530</v>
      </c>
      <c r="BP60" s="5">
        <v>1894.97</v>
      </c>
      <c r="BQ60" s="16">
        <v>306.53730486000001</v>
      </c>
      <c r="BR60" s="18">
        <v>34140</v>
      </c>
      <c r="BS60" s="5">
        <v>1723.76</v>
      </c>
      <c r="BT60" s="16">
        <v>278.81797695999995</v>
      </c>
      <c r="BU60" s="18">
        <v>33030</v>
      </c>
      <c r="BV60" s="5">
        <v>1667.66</v>
      </c>
      <c r="BW60" s="16">
        <v>269.78038620000001</v>
      </c>
    </row>
    <row r="61" spans="1:79" x14ac:dyDescent="0.2">
      <c r="A61" s="21" t="s">
        <v>89</v>
      </c>
      <c r="B61" s="10">
        <v>13260</v>
      </c>
      <c r="C61" s="5">
        <v>682.8049608</v>
      </c>
      <c r="D61" s="5">
        <v>157.30027749999999</v>
      </c>
      <c r="E61" s="18">
        <v>15630</v>
      </c>
      <c r="F61" s="5">
        <v>805.33545689999994</v>
      </c>
      <c r="G61" s="5">
        <v>185.5788029</v>
      </c>
      <c r="H61" s="18">
        <v>18380</v>
      </c>
      <c r="I61" s="5">
        <v>946.5</v>
      </c>
      <c r="J61" s="16">
        <v>218.1</v>
      </c>
      <c r="K61" s="18">
        <v>18600</v>
      </c>
      <c r="L61" s="5">
        <v>958.1</v>
      </c>
      <c r="M61" s="5">
        <v>220.8</v>
      </c>
      <c r="N61" s="18">
        <v>19400</v>
      </c>
      <c r="O61" s="5">
        <v>999.4</v>
      </c>
      <c r="P61" s="5">
        <v>230.3</v>
      </c>
      <c r="Q61" s="18">
        <v>21940</v>
      </c>
      <c r="R61" s="5">
        <v>1130.3</v>
      </c>
      <c r="S61" s="5">
        <v>260.5</v>
      </c>
      <c r="T61" s="18">
        <v>23750</v>
      </c>
      <c r="U61" s="5">
        <v>1223.5999999999999</v>
      </c>
      <c r="V61" s="5">
        <v>281.89999999999998</v>
      </c>
      <c r="W61" s="18">
        <v>24640</v>
      </c>
      <c r="X61" s="5">
        <v>1268.9000000000001</v>
      </c>
      <c r="Y61" s="5">
        <v>292.3</v>
      </c>
      <c r="Z61" s="18">
        <v>26020</v>
      </c>
      <c r="AA61" s="5">
        <v>1340.2</v>
      </c>
      <c r="AB61" s="16">
        <v>297.60000000000002</v>
      </c>
      <c r="AC61" s="21" t="s">
        <v>89</v>
      </c>
      <c r="AD61" s="10">
        <v>25590</v>
      </c>
      <c r="AE61" s="5">
        <v>1318</v>
      </c>
      <c r="AF61" s="16">
        <v>257</v>
      </c>
      <c r="AG61" s="10">
        <v>26450</v>
      </c>
      <c r="AH61" s="5">
        <v>1362.3</v>
      </c>
      <c r="AI61" s="16">
        <v>244.7</v>
      </c>
      <c r="AJ61" s="10">
        <v>27660</v>
      </c>
      <c r="AK61" s="5">
        <v>1424.9</v>
      </c>
      <c r="AL61" s="16">
        <v>234.2</v>
      </c>
      <c r="AM61" s="10">
        <v>28190</v>
      </c>
      <c r="AN61" s="5">
        <v>1452.3</v>
      </c>
      <c r="AO61" s="16">
        <v>238.7</v>
      </c>
      <c r="AP61" s="10">
        <v>30770</v>
      </c>
      <c r="AQ61" s="5">
        <v>1585.1</v>
      </c>
      <c r="AR61" s="16">
        <v>260.5</v>
      </c>
      <c r="AS61" s="10">
        <v>29970</v>
      </c>
      <c r="AT61" s="5">
        <v>1543.5</v>
      </c>
      <c r="AU61" s="16">
        <v>253.6</v>
      </c>
      <c r="AV61" s="10">
        <v>31470</v>
      </c>
      <c r="AW61" s="5">
        <v>1620.8</v>
      </c>
      <c r="AX61" s="16">
        <v>266</v>
      </c>
      <c r="AY61" s="10">
        <v>32180</v>
      </c>
      <c r="AZ61" s="5">
        <v>1657.3</v>
      </c>
      <c r="BA61" s="16">
        <v>272.10000000000002</v>
      </c>
      <c r="BB61" s="25">
        <v>33630</v>
      </c>
      <c r="BC61" s="26">
        <v>1732.4</v>
      </c>
      <c r="BD61" s="27">
        <v>285</v>
      </c>
      <c r="BE61" s="65" t="s">
        <v>89</v>
      </c>
      <c r="BF61" s="18">
        <v>35680</v>
      </c>
      <c r="BG61" s="5">
        <v>1837.87</v>
      </c>
      <c r="BH61" s="16">
        <v>302.28985560000001</v>
      </c>
      <c r="BI61" s="10">
        <v>36120</v>
      </c>
      <c r="BJ61" s="5">
        <v>1860.7</v>
      </c>
      <c r="BK61" s="16">
        <v>306.06233019999996</v>
      </c>
      <c r="BL61" s="18">
        <v>36990</v>
      </c>
      <c r="BM61" s="5">
        <v>1905.2</v>
      </c>
      <c r="BN61" s="16">
        <v>313.33641789999996</v>
      </c>
      <c r="BO61" s="18">
        <v>36940</v>
      </c>
      <c r="BP61" s="5">
        <v>1902.57</v>
      </c>
      <c r="BQ61" s="16">
        <v>312.90395545999996</v>
      </c>
      <c r="BR61" s="18">
        <v>34120</v>
      </c>
      <c r="BS61" s="5">
        <v>1757.24</v>
      </c>
      <c r="BT61" s="16">
        <v>289.01269417000003</v>
      </c>
      <c r="BU61" s="18">
        <v>32770</v>
      </c>
      <c r="BV61" s="5">
        <v>1687.45</v>
      </c>
      <c r="BW61" s="16">
        <v>277.52572793000002</v>
      </c>
    </row>
    <row r="62" spans="1:79" x14ac:dyDescent="0.2">
      <c r="A62" s="21" t="s">
        <v>90</v>
      </c>
      <c r="B62" s="10">
        <v>14680</v>
      </c>
      <c r="C62" s="5">
        <v>771.04262679999999</v>
      </c>
      <c r="D62" s="5">
        <v>179.13566499999999</v>
      </c>
      <c r="E62" s="18">
        <v>15890</v>
      </c>
      <c r="F62" s="5">
        <v>833.79170550000003</v>
      </c>
      <c r="G62" s="5">
        <v>193.62776500000001</v>
      </c>
      <c r="H62" s="18">
        <v>16170</v>
      </c>
      <c r="I62" s="5">
        <v>848.9</v>
      </c>
      <c r="J62" s="16">
        <v>197.2</v>
      </c>
      <c r="K62" s="18">
        <v>17730</v>
      </c>
      <c r="L62" s="5">
        <v>930.9</v>
      </c>
      <c r="M62" s="5">
        <v>216.2</v>
      </c>
      <c r="N62" s="18">
        <v>18230</v>
      </c>
      <c r="O62" s="5">
        <v>957.2</v>
      </c>
      <c r="P62" s="5">
        <v>222.4</v>
      </c>
      <c r="Q62" s="18">
        <v>20520</v>
      </c>
      <c r="R62" s="5">
        <v>1077.5999999999999</v>
      </c>
      <c r="S62" s="5">
        <v>250.3</v>
      </c>
      <c r="T62" s="18">
        <v>22160</v>
      </c>
      <c r="U62" s="5">
        <v>1163.5</v>
      </c>
      <c r="V62" s="5">
        <v>270.2</v>
      </c>
      <c r="W62" s="18">
        <v>23850</v>
      </c>
      <c r="X62" s="5">
        <v>1252.0999999999999</v>
      </c>
      <c r="Y62" s="5">
        <v>290.8</v>
      </c>
      <c r="Z62" s="18">
        <v>24310</v>
      </c>
      <c r="AA62" s="5">
        <v>1276.5999999999999</v>
      </c>
      <c r="AB62" s="16">
        <v>286.10000000000002</v>
      </c>
      <c r="AC62" s="21" t="s">
        <v>90</v>
      </c>
      <c r="AD62" s="10">
        <v>26140</v>
      </c>
      <c r="AE62" s="5">
        <v>1372.4</v>
      </c>
      <c r="AF62" s="16">
        <v>271.2</v>
      </c>
      <c r="AG62" s="10">
        <v>26030</v>
      </c>
      <c r="AH62" s="5">
        <v>1366.6</v>
      </c>
      <c r="AI62" s="16">
        <v>249.1</v>
      </c>
      <c r="AJ62" s="10">
        <v>26510</v>
      </c>
      <c r="AK62" s="5">
        <v>1391.8</v>
      </c>
      <c r="AL62" s="16">
        <v>232.4</v>
      </c>
      <c r="AM62" s="10">
        <v>27850</v>
      </c>
      <c r="AN62" s="5">
        <v>1462.6</v>
      </c>
      <c r="AO62" s="16">
        <v>244.3</v>
      </c>
      <c r="AP62" s="10">
        <v>25650</v>
      </c>
      <c r="AQ62" s="5">
        <v>1347</v>
      </c>
      <c r="AR62" s="16">
        <v>225</v>
      </c>
      <c r="AS62" s="10">
        <v>30480</v>
      </c>
      <c r="AT62" s="5">
        <v>1600.7</v>
      </c>
      <c r="AU62" s="16">
        <v>267.3</v>
      </c>
      <c r="AV62" s="10">
        <v>30140</v>
      </c>
      <c r="AW62" s="5">
        <v>1582.4</v>
      </c>
      <c r="AX62" s="16">
        <v>263.8</v>
      </c>
      <c r="AY62" s="10">
        <v>31210</v>
      </c>
      <c r="AZ62" s="5">
        <v>1638.5</v>
      </c>
      <c r="BA62" s="16">
        <v>273.10000000000002</v>
      </c>
      <c r="BB62" s="25">
        <v>32360</v>
      </c>
      <c r="BC62" s="26">
        <v>1698.7</v>
      </c>
      <c r="BD62" s="27">
        <v>283.7</v>
      </c>
      <c r="BE62" s="65" t="s">
        <v>90</v>
      </c>
      <c r="BF62" s="18">
        <v>33910</v>
      </c>
      <c r="BG62" s="5">
        <v>1779.93</v>
      </c>
      <c r="BH62" s="16">
        <v>297.31844029000001</v>
      </c>
      <c r="BI62" s="10">
        <v>35950</v>
      </c>
      <c r="BJ62" s="5">
        <v>1887.4</v>
      </c>
      <c r="BK62" s="16">
        <v>315.26896519999997</v>
      </c>
      <c r="BL62" s="18">
        <v>36630</v>
      </c>
      <c r="BM62" s="5">
        <v>1923.1</v>
      </c>
      <c r="BN62" s="16">
        <v>321.20353010000002</v>
      </c>
      <c r="BO62" s="18">
        <v>36890</v>
      </c>
      <c r="BP62" s="5">
        <v>1936.65</v>
      </c>
      <c r="BQ62" s="16">
        <v>323.48478582999996</v>
      </c>
      <c r="BR62" s="18">
        <v>34560</v>
      </c>
      <c r="BS62" s="5">
        <v>1814.16</v>
      </c>
      <c r="BT62" s="16">
        <v>303.01019761999999</v>
      </c>
      <c r="BU62" s="18">
        <v>33490</v>
      </c>
      <c r="BV62" s="5">
        <v>1758.08</v>
      </c>
      <c r="BW62" s="16">
        <v>293.67639080000004</v>
      </c>
    </row>
    <row r="63" spans="1:79" x14ac:dyDescent="0.2">
      <c r="A63" s="21" t="s">
        <v>91</v>
      </c>
      <c r="B63" s="10">
        <v>13500</v>
      </c>
      <c r="C63" s="5">
        <v>722.53647699999999</v>
      </c>
      <c r="D63" s="5">
        <v>169.18047580000001</v>
      </c>
      <c r="E63" s="18">
        <v>15190</v>
      </c>
      <c r="F63" s="5">
        <v>812.96767720000003</v>
      </c>
      <c r="G63" s="5">
        <v>190.3546312</v>
      </c>
      <c r="H63" s="18">
        <v>15590</v>
      </c>
      <c r="I63" s="5">
        <v>833.9</v>
      </c>
      <c r="J63" s="16">
        <v>195.2</v>
      </c>
      <c r="K63" s="18">
        <v>16100</v>
      </c>
      <c r="L63" s="5">
        <v>861.6</v>
      </c>
      <c r="M63" s="5">
        <v>201.7</v>
      </c>
      <c r="N63" s="18">
        <v>18690</v>
      </c>
      <c r="O63" s="5">
        <v>999.9</v>
      </c>
      <c r="P63" s="5">
        <v>234.1</v>
      </c>
      <c r="Q63" s="18">
        <v>20740</v>
      </c>
      <c r="R63" s="5">
        <v>1109.5</v>
      </c>
      <c r="S63" s="5">
        <v>259.7</v>
      </c>
      <c r="T63" s="18">
        <v>21210</v>
      </c>
      <c r="U63" s="5">
        <v>1134.4000000000001</v>
      </c>
      <c r="V63" s="5">
        <v>265.60000000000002</v>
      </c>
      <c r="W63" s="18">
        <v>23890</v>
      </c>
      <c r="X63" s="5">
        <v>1278.2</v>
      </c>
      <c r="Y63" s="5">
        <v>299.3</v>
      </c>
      <c r="Z63" s="18">
        <v>25340</v>
      </c>
      <c r="AA63" s="5">
        <v>1355.6</v>
      </c>
      <c r="AB63" s="16">
        <v>306.39999999999998</v>
      </c>
      <c r="AC63" s="21" t="s">
        <v>91</v>
      </c>
      <c r="AD63" s="10">
        <v>22990</v>
      </c>
      <c r="AE63" s="5">
        <v>1230</v>
      </c>
      <c r="AF63" s="16">
        <v>246.1</v>
      </c>
      <c r="AG63" s="10">
        <v>23750</v>
      </c>
      <c r="AH63" s="5">
        <v>1271.2</v>
      </c>
      <c r="AI63" s="16">
        <v>234.9</v>
      </c>
      <c r="AJ63" s="10">
        <v>23800</v>
      </c>
      <c r="AK63" s="5">
        <v>1272.8</v>
      </c>
      <c r="AL63" s="16">
        <v>215.7</v>
      </c>
      <c r="AM63" s="10">
        <v>27140</v>
      </c>
      <c r="AN63" s="5">
        <v>1452.1</v>
      </c>
      <c r="AO63" s="16">
        <v>246.1</v>
      </c>
      <c r="AP63" s="10">
        <v>25190</v>
      </c>
      <c r="AQ63" s="5">
        <v>1348</v>
      </c>
      <c r="AR63" s="16">
        <v>228.5</v>
      </c>
      <c r="AS63" s="10">
        <v>28710</v>
      </c>
      <c r="AT63" s="5">
        <v>1535.6</v>
      </c>
      <c r="AU63" s="16">
        <v>260.2</v>
      </c>
      <c r="AV63" s="10">
        <v>29210</v>
      </c>
      <c r="AW63" s="5">
        <v>1562.6</v>
      </c>
      <c r="AX63" s="16">
        <v>264.39999999999998</v>
      </c>
      <c r="AY63" s="10">
        <v>30010</v>
      </c>
      <c r="AZ63" s="5">
        <v>1605.6</v>
      </c>
      <c r="BA63" s="16">
        <v>271.60000000000002</v>
      </c>
      <c r="BB63" s="25">
        <v>31510</v>
      </c>
      <c r="BC63" s="26">
        <v>1685.6</v>
      </c>
      <c r="BD63" s="27">
        <v>285.7</v>
      </c>
      <c r="BE63" s="65" t="s">
        <v>91</v>
      </c>
      <c r="BF63" s="18">
        <v>33100</v>
      </c>
      <c r="BG63" s="5">
        <v>1770.72</v>
      </c>
      <c r="BH63" s="16">
        <v>300.19899092999998</v>
      </c>
      <c r="BI63" s="10">
        <v>35070</v>
      </c>
      <c r="BJ63" s="5">
        <v>1876</v>
      </c>
      <c r="BK63" s="16">
        <v>318.0393085</v>
      </c>
      <c r="BL63" s="18">
        <v>35980</v>
      </c>
      <c r="BM63" s="5">
        <v>1924.8</v>
      </c>
      <c r="BN63" s="16">
        <v>326.27979719999996</v>
      </c>
      <c r="BO63" s="18">
        <v>36320</v>
      </c>
      <c r="BP63" s="5">
        <v>1942.92</v>
      </c>
      <c r="BQ63" s="16">
        <v>329.36668233</v>
      </c>
      <c r="BR63" s="18">
        <v>34260</v>
      </c>
      <c r="BS63" s="5">
        <v>1832.88</v>
      </c>
      <c r="BT63" s="16">
        <v>310.71752670000001</v>
      </c>
      <c r="BU63" s="18">
        <v>33510</v>
      </c>
      <c r="BV63" s="5">
        <v>1792.78</v>
      </c>
      <c r="BW63" s="16">
        <v>303.92679249999998</v>
      </c>
    </row>
    <row r="64" spans="1:79" x14ac:dyDescent="0.2">
      <c r="A64" s="21" t="s">
        <v>92</v>
      </c>
      <c r="B64" s="10">
        <v>12400</v>
      </c>
      <c r="C64" s="5">
        <v>676.03860629999997</v>
      </c>
      <c r="D64" s="5">
        <v>159.4791807</v>
      </c>
      <c r="E64" s="18">
        <v>13340</v>
      </c>
      <c r="F64" s="5">
        <v>727.15548810000007</v>
      </c>
      <c r="G64" s="5">
        <v>171.52710959999999</v>
      </c>
      <c r="H64" s="18">
        <v>15260</v>
      </c>
      <c r="I64" s="5">
        <v>831.8</v>
      </c>
      <c r="J64" s="16">
        <v>196.2</v>
      </c>
      <c r="K64" s="18">
        <v>14970</v>
      </c>
      <c r="L64" s="5">
        <v>816.1</v>
      </c>
      <c r="M64" s="5">
        <v>192.5</v>
      </c>
      <c r="N64" s="18">
        <v>18810</v>
      </c>
      <c r="O64" s="5">
        <v>1025.7</v>
      </c>
      <c r="P64" s="5">
        <v>242</v>
      </c>
      <c r="Q64" s="18">
        <v>19750</v>
      </c>
      <c r="R64" s="5">
        <v>1076.5</v>
      </c>
      <c r="S64" s="5">
        <v>253.9</v>
      </c>
      <c r="T64" s="18">
        <v>19650</v>
      </c>
      <c r="U64" s="5">
        <v>1070.8</v>
      </c>
      <c r="V64" s="5">
        <v>252.6</v>
      </c>
      <c r="W64" s="18">
        <v>23670</v>
      </c>
      <c r="X64" s="5">
        <v>1290.5999999999999</v>
      </c>
      <c r="Y64" s="5">
        <v>304.5</v>
      </c>
      <c r="Z64" s="18">
        <v>22860</v>
      </c>
      <c r="AA64" s="5">
        <v>1246.2</v>
      </c>
      <c r="AB64" s="16">
        <v>284.10000000000002</v>
      </c>
      <c r="AC64" s="21" t="s">
        <v>92</v>
      </c>
      <c r="AD64" s="10">
        <v>24170</v>
      </c>
      <c r="AE64" s="5">
        <v>1317.9</v>
      </c>
      <c r="AF64" s="16">
        <v>266.89999999999998</v>
      </c>
      <c r="AG64" s="10">
        <v>24880</v>
      </c>
      <c r="AH64" s="5">
        <v>1356.4</v>
      </c>
      <c r="AI64" s="16">
        <v>253.9</v>
      </c>
      <c r="AJ64" s="10">
        <v>22380</v>
      </c>
      <c r="AK64" s="5">
        <v>1220.0999999999999</v>
      </c>
      <c r="AL64" s="16">
        <v>209.8</v>
      </c>
      <c r="AM64" s="10">
        <v>25200</v>
      </c>
      <c r="AN64" s="5">
        <v>1373.7</v>
      </c>
      <c r="AO64" s="16">
        <v>236.1</v>
      </c>
      <c r="AP64" s="10">
        <v>28120</v>
      </c>
      <c r="AQ64" s="5">
        <v>1533.1</v>
      </c>
      <c r="AR64" s="16">
        <v>263.60000000000002</v>
      </c>
      <c r="AS64" s="10">
        <v>27870</v>
      </c>
      <c r="AT64" s="5">
        <v>1519</v>
      </c>
      <c r="AU64" s="16">
        <v>261.10000000000002</v>
      </c>
      <c r="AV64" s="10">
        <v>29120</v>
      </c>
      <c r="AW64" s="5">
        <v>1587.5</v>
      </c>
      <c r="AX64" s="16">
        <v>272.39999999999998</v>
      </c>
      <c r="AY64" s="10">
        <v>29560</v>
      </c>
      <c r="AZ64" s="5">
        <v>1611.4</v>
      </c>
      <c r="BA64" s="16">
        <v>276.39999999999998</v>
      </c>
      <c r="BB64" s="25">
        <v>31010</v>
      </c>
      <c r="BC64" s="26">
        <v>1690.5</v>
      </c>
      <c r="BD64" s="27">
        <v>290.7</v>
      </c>
      <c r="BE64" s="65" t="s">
        <v>92</v>
      </c>
      <c r="BF64" s="18">
        <v>32710</v>
      </c>
      <c r="BG64" s="5">
        <v>1783.01</v>
      </c>
      <c r="BH64" s="16">
        <v>306.56323620000001</v>
      </c>
      <c r="BI64" s="10">
        <v>34180</v>
      </c>
      <c r="BJ64" s="5">
        <v>1862.7</v>
      </c>
      <c r="BK64" s="16">
        <v>320.25878110000002</v>
      </c>
      <c r="BL64" s="18">
        <v>35810</v>
      </c>
      <c r="BM64" s="5">
        <v>1951.5</v>
      </c>
      <c r="BN64" s="16">
        <v>335.50210780000003</v>
      </c>
      <c r="BO64" s="18">
        <v>36690</v>
      </c>
      <c r="BP64" s="5">
        <v>1999.37</v>
      </c>
      <c r="BQ64" s="16">
        <v>343.73376527999994</v>
      </c>
      <c r="BR64" s="18">
        <v>34010</v>
      </c>
      <c r="BS64" s="5">
        <v>1853.47</v>
      </c>
      <c r="BT64" s="16">
        <v>318.63556420999998</v>
      </c>
      <c r="BU64" s="18">
        <v>33910</v>
      </c>
      <c r="BV64" s="5">
        <v>1848.21</v>
      </c>
      <c r="BW64" s="16">
        <v>317.74964385000004</v>
      </c>
    </row>
    <row r="65" spans="1:75" x14ac:dyDescent="0.2">
      <c r="A65" s="21" t="s">
        <v>93</v>
      </c>
      <c r="B65" s="10">
        <v>12410</v>
      </c>
      <c r="C65" s="5">
        <v>688.71134089999998</v>
      </c>
      <c r="D65" s="5">
        <v>163.61144069999997</v>
      </c>
      <c r="E65" s="18">
        <v>12930</v>
      </c>
      <c r="F65" s="5">
        <v>717.68923840000002</v>
      </c>
      <c r="G65" s="5">
        <v>170.48404930000001</v>
      </c>
      <c r="H65" s="18">
        <v>14590</v>
      </c>
      <c r="I65" s="5">
        <v>809.5</v>
      </c>
      <c r="J65" s="16">
        <v>192.3</v>
      </c>
      <c r="K65" s="18">
        <v>15110</v>
      </c>
      <c r="L65" s="5">
        <v>838.6</v>
      </c>
      <c r="M65" s="5">
        <v>199.2</v>
      </c>
      <c r="N65" s="18">
        <v>17170</v>
      </c>
      <c r="O65" s="5">
        <v>952.5</v>
      </c>
      <c r="P65" s="5">
        <v>226.2</v>
      </c>
      <c r="Q65" s="18">
        <v>18140</v>
      </c>
      <c r="R65" s="5">
        <v>1007.2</v>
      </c>
      <c r="S65" s="5">
        <v>239.3</v>
      </c>
      <c r="T65" s="18">
        <v>20540</v>
      </c>
      <c r="U65" s="5">
        <v>1140.2</v>
      </c>
      <c r="V65" s="5">
        <v>270.89999999999998</v>
      </c>
      <c r="W65" s="18">
        <v>21060</v>
      </c>
      <c r="X65" s="5">
        <v>1168.9000000000001</v>
      </c>
      <c r="Y65" s="5">
        <v>277.7</v>
      </c>
      <c r="Z65" s="18">
        <v>21960</v>
      </c>
      <c r="AA65" s="5">
        <v>1218.4000000000001</v>
      </c>
      <c r="AB65" s="16">
        <v>280</v>
      </c>
      <c r="AC65" s="21" t="s">
        <v>93</v>
      </c>
      <c r="AD65" s="10">
        <v>21070</v>
      </c>
      <c r="AE65" s="5">
        <v>1169.5</v>
      </c>
      <c r="AF65" s="16">
        <v>239.5</v>
      </c>
      <c r="AG65" s="10">
        <v>22540</v>
      </c>
      <c r="AH65" s="5">
        <v>1250.7</v>
      </c>
      <c r="AI65" s="16">
        <v>237</v>
      </c>
      <c r="AJ65" s="10">
        <v>23210</v>
      </c>
      <c r="AK65" s="5">
        <v>1288.2</v>
      </c>
      <c r="AL65" s="16">
        <v>224.4</v>
      </c>
      <c r="AM65" s="10">
        <v>24780</v>
      </c>
      <c r="AN65" s="5">
        <v>1375.1</v>
      </c>
      <c r="AO65" s="16">
        <v>239.5</v>
      </c>
      <c r="AP65" s="10">
        <v>26990</v>
      </c>
      <c r="AQ65" s="5">
        <v>1498.5</v>
      </c>
      <c r="AR65" s="16">
        <v>261.10000000000002</v>
      </c>
      <c r="AS65" s="10">
        <v>27580</v>
      </c>
      <c r="AT65" s="5">
        <v>1530.8</v>
      </c>
      <c r="AU65" s="16">
        <v>266.7</v>
      </c>
      <c r="AV65" s="10">
        <v>27730</v>
      </c>
      <c r="AW65" s="5">
        <v>1539</v>
      </c>
      <c r="AX65" s="16">
        <v>267.5</v>
      </c>
      <c r="AY65" s="10">
        <v>28750</v>
      </c>
      <c r="AZ65" s="5">
        <v>1595.3</v>
      </c>
      <c r="BA65" s="16">
        <v>277.2</v>
      </c>
      <c r="BB65" s="25">
        <v>29970</v>
      </c>
      <c r="BC65" s="26">
        <v>1663.4</v>
      </c>
      <c r="BD65" s="27">
        <v>289.8</v>
      </c>
      <c r="BE65" s="65" t="s">
        <v>93</v>
      </c>
      <c r="BF65" s="18">
        <v>31810</v>
      </c>
      <c r="BG65" s="5">
        <v>1765.22</v>
      </c>
      <c r="BH65" s="16">
        <v>307.53589716000005</v>
      </c>
      <c r="BI65" s="10">
        <v>33920</v>
      </c>
      <c r="BJ65" s="5">
        <v>1882.5</v>
      </c>
      <c r="BK65" s="16">
        <v>327.96091080000002</v>
      </c>
      <c r="BL65" s="18">
        <v>35360</v>
      </c>
      <c r="BM65" s="5">
        <v>1962.1</v>
      </c>
      <c r="BN65" s="16">
        <v>341.82300620000001</v>
      </c>
      <c r="BO65" s="18">
        <v>36820</v>
      </c>
      <c r="BP65" s="5">
        <v>2043.39</v>
      </c>
      <c r="BQ65" s="16">
        <v>356.00805133</v>
      </c>
      <c r="BR65" s="18">
        <v>34610</v>
      </c>
      <c r="BS65" s="5">
        <v>1920.47</v>
      </c>
      <c r="BT65" s="16">
        <v>334.58796187000002</v>
      </c>
      <c r="BU65" s="18">
        <v>33700</v>
      </c>
      <c r="BV65" s="5">
        <v>1870.17</v>
      </c>
      <c r="BW65" s="16">
        <v>325.82104560000005</v>
      </c>
    </row>
    <row r="66" spans="1:75" x14ac:dyDescent="0.2">
      <c r="A66" s="21" t="s">
        <v>94</v>
      </c>
      <c r="B66" s="10">
        <v>11680</v>
      </c>
      <c r="C66" s="5">
        <v>659.90902849999998</v>
      </c>
      <c r="D66" s="5">
        <v>157.850022</v>
      </c>
      <c r="E66" s="18">
        <v>11300</v>
      </c>
      <c r="F66" s="5">
        <v>638.62843050000004</v>
      </c>
      <c r="G66" s="5">
        <v>152.77838009999999</v>
      </c>
      <c r="H66" s="18">
        <v>12770</v>
      </c>
      <c r="I66" s="5">
        <v>722</v>
      </c>
      <c r="J66" s="16">
        <v>172.7</v>
      </c>
      <c r="K66" s="18">
        <v>14950</v>
      </c>
      <c r="L66" s="5">
        <v>844.6</v>
      </c>
      <c r="M66" s="5">
        <v>202</v>
      </c>
      <c r="N66" s="18">
        <v>15720</v>
      </c>
      <c r="O66" s="5">
        <v>888.2</v>
      </c>
      <c r="P66" s="5">
        <v>212.5</v>
      </c>
      <c r="Q66" s="18">
        <v>17190</v>
      </c>
      <c r="R66" s="5">
        <v>971.2</v>
      </c>
      <c r="S66" s="5">
        <v>232.3</v>
      </c>
      <c r="T66" s="18">
        <v>19810</v>
      </c>
      <c r="U66" s="5">
        <v>1119</v>
      </c>
      <c r="V66" s="5">
        <v>267.60000000000002</v>
      </c>
      <c r="W66" s="18">
        <v>21980</v>
      </c>
      <c r="X66" s="5">
        <v>1241.8</v>
      </c>
      <c r="Y66" s="5">
        <v>297</v>
      </c>
      <c r="Z66" s="18">
        <v>22110</v>
      </c>
      <c r="AA66" s="5">
        <v>1249.5</v>
      </c>
      <c r="AB66" s="16">
        <v>289.39999999999998</v>
      </c>
      <c r="AC66" s="21" t="s">
        <v>94</v>
      </c>
      <c r="AD66" s="10">
        <v>22110</v>
      </c>
      <c r="AE66" s="5">
        <v>1249</v>
      </c>
      <c r="AF66" s="16">
        <v>258.5</v>
      </c>
      <c r="AG66" s="10">
        <v>21340</v>
      </c>
      <c r="AH66" s="5">
        <v>1205.5</v>
      </c>
      <c r="AI66" s="16">
        <v>231.1</v>
      </c>
      <c r="AJ66" s="10">
        <v>23470</v>
      </c>
      <c r="AK66" s="5">
        <v>1326.2</v>
      </c>
      <c r="AL66" s="16">
        <v>234</v>
      </c>
      <c r="AM66" s="10">
        <v>23840</v>
      </c>
      <c r="AN66" s="5">
        <v>1346.7</v>
      </c>
      <c r="AO66" s="16">
        <v>237.6</v>
      </c>
      <c r="AP66" s="10">
        <v>26050</v>
      </c>
      <c r="AQ66" s="5">
        <v>1471.5</v>
      </c>
      <c r="AR66" s="16">
        <v>259.60000000000002</v>
      </c>
      <c r="AS66" s="10">
        <v>25490</v>
      </c>
      <c r="AT66" s="5">
        <v>1440.5</v>
      </c>
      <c r="AU66" s="16">
        <v>254.2</v>
      </c>
      <c r="AV66" s="10">
        <v>26950</v>
      </c>
      <c r="AW66" s="5">
        <v>1522.8</v>
      </c>
      <c r="AX66" s="16">
        <v>268.10000000000002</v>
      </c>
      <c r="AY66" s="10">
        <v>27990</v>
      </c>
      <c r="AZ66" s="5">
        <v>1581.3</v>
      </c>
      <c r="BA66" s="16">
        <v>278.3</v>
      </c>
      <c r="BB66" s="25">
        <v>29510</v>
      </c>
      <c r="BC66" s="26">
        <v>1667.2</v>
      </c>
      <c r="BD66" s="27">
        <v>294.2</v>
      </c>
      <c r="BE66" s="65" t="s">
        <v>94</v>
      </c>
      <c r="BF66" s="18">
        <v>30930</v>
      </c>
      <c r="BG66" s="5">
        <v>1747.23</v>
      </c>
      <c r="BH66" s="16">
        <v>308.29606461000003</v>
      </c>
      <c r="BI66" s="10">
        <v>32880</v>
      </c>
      <c r="BJ66" s="5">
        <v>1857.7</v>
      </c>
      <c r="BK66" s="16">
        <v>327.79102239999997</v>
      </c>
      <c r="BL66" s="18">
        <v>34410</v>
      </c>
      <c r="BM66" s="5">
        <v>1944.2</v>
      </c>
      <c r="BN66" s="16">
        <v>343.04444789999997</v>
      </c>
      <c r="BO66" s="18">
        <v>35500</v>
      </c>
      <c r="BP66" s="5">
        <v>2005.61</v>
      </c>
      <c r="BQ66" s="16">
        <v>353.87296323999999</v>
      </c>
      <c r="BR66" s="18">
        <v>34570</v>
      </c>
      <c r="BS66" s="5">
        <v>1952.98</v>
      </c>
      <c r="BT66" s="16">
        <v>344.60727667000003</v>
      </c>
      <c r="BU66" s="18">
        <v>33660</v>
      </c>
      <c r="BV66" s="5">
        <v>1901.64</v>
      </c>
      <c r="BW66" s="16">
        <v>335.55573743999997</v>
      </c>
    </row>
    <row r="67" spans="1:75" x14ac:dyDescent="0.2">
      <c r="A67" s="21" t="s">
        <v>95</v>
      </c>
      <c r="B67" s="10">
        <v>10650</v>
      </c>
      <c r="C67" s="5">
        <v>612.45423040000003</v>
      </c>
      <c r="D67" s="5">
        <v>147.47539619999998</v>
      </c>
      <c r="E67" s="18">
        <v>11620</v>
      </c>
      <c r="F67" s="5">
        <v>668.13347050000004</v>
      </c>
      <c r="G67" s="5">
        <v>160.87344569999999</v>
      </c>
      <c r="H67" s="18">
        <v>11870</v>
      </c>
      <c r="I67" s="5">
        <v>682.8</v>
      </c>
      <c r="J67" s="16">
        <v>164.4</v>
      </c>
      <c r="K67" s="18">
        <v>15400</v>
      </c>
      <c r="L67" s="5">
        <v>885.4</v>
      </c>
      <c r="M67" s="5">
        <v>213.2</v>
      </c>
      <c r="N67" s="18">
        <v>17550</v>
      </c>
      <c r="O67" s="5">
        <v>1008.9</v>
      </c>
      <c r="P67" s="5">
        <v>242.9</v>
      </c>
      <c r="Q67" s="18">
        <v>17140</v>
      </c>
      <c r="R67" s="5">
        <v>985.8</v>
      </c>
      <c r="S67" s="5">
        <v>237.4</v>
      </c>
      <c r="T67" s="18">
        <v>18830</v>
      </c>
      <c r="U67" s="5">
        <v>1083</v>
      </c>
      <c r="V67" s="5">
        <v>260.8</v>
      </c>
      <c r="W67" s="18">
        <v>21320</v>
      </c>
      <c r="X67" s="5">
        <v>1226.0999999999999</v>
      </c>
      <c r="Y67" s="5">
        <v>295.2</v>
      </c>
      <c r="Z67" s="18">
        <v>22720</v>
      </c>
      <c r="AA67" s="5">
        <v>1306.5999999999999</v>
      </c>
      <c r="AB67" s="16">
        <v>304.89999999999998</v>
      </c>
      <c r="AC67" s="21" t="s">
        <v>95</v>
      </c>
      <c r="AD67" s="10">
        <v>19500</v>
      </c>
      <c r="AE67" s="5">
        <v>1120.8</v>
      </c>
      <c r="AF67" s="16">
        <v>234.3</v>
      </c>
      <c r="AG67" s="10">
        <v>21030</v>
      </c>
      <c r="AH67" s="5">
        <v>1209.4000000000001</v>
      </c>
      <c r="AI67" s="16">
        <v>234.5</v>
      </c>
      <c r="AJ67" s="10">
        <v>21670</v>
      </c>
      <c r="AK67" s="5">
        <v>1246.5</v>
      </c>
      <c r="AL67" s="16">
        <v>222.7</v>
      </c>
      <c r="AM67" s="10">
        <v>23030</v>
      </c>
      <c r="AN67" s="5">
        <v>1323.9</v>
      </c>
      <c r="AO67" s="16">
        <v>236.4</v>
      </c>
      <c r="AP67" s="10">
        <v>24510</v>
      </c>
      <c r="AQ67" s="5">
        <v>1409.8</v>
      </c>
      <c r="AR67" s="16">
        <v>251.8</v>
      </c>
      <c r="AS67" s="10">
        <v>24070</v>
      </c>
      <c r="AT67" s="5">
        <v>1383.9</v>
      </c>
      <c r="AU67" s="16">
        <v>247.1</v>
      </c>
      <c r="AV67" s="10">
        <v>26170</v>
      </c>
      <c r="AW67" s="5">
        <v>1504.8</v>
      </c>
      <c r="AX67" s="16">
        <v>268</v>
      </c>
      <c r="AY67" s="10">
        <v>27270</v>
      </c>
      <c r="AZ67" s="5">
        <v>1568.2</v>
      </c>
      <c r="BA67" s="16">
        <v>279.5</v>
      </c>
      <c r="BB67" s="25">
        <v>28440</v>
      </c>
      <c r="BC67" s="26">
        <v>1635.4</v>
      </c>
      <c r="BD67" s="27">
        <v>292.10000000000002</v>
      </c>
      <c r="BE67" s="65" t="s">
        <v>95</v>
      </c>
      <c r="BF67" s="18">
        <v>29960</v>
      </c>
      <c r="BG67" s="5">
        <v>1722.67</v>
      </c>
      <c r="BH67" s="16">
        <v>307.66983668</v>
      </c>
      <c r="BI67" s="10">
        <v>31890</v>
      </c>
      <c r="BJ67" s="5">
        <v>1833.5</v>
      </c>
      <c r="BK67" s="16">
        <v>327.46637710000005</v>
      </c>
      <c r="BL67" s="18">
        <v>33400</v>
      </c>
      <c r="BM67" s="5">
        <v>1920.1</v>
      </c>
      <c r="BN67" s="16">
        <v>342.93341989999999</v>
      </c>
      <c r="BO67" s="18">
        <v>34760</v>
      </c>
      <c r="BP67" s="5">
        <v>1998.53</v>
      </c>
      <c r="BQ67" s="16">
        <v>356.94284122000005</v>
      </c>
      <c r="BR67" s="18">
        <v>34060</v>
      </c>
      <c r="BS67" s="5">
        <v>1958.22</v>
      </c>
      <c r="BT67" s="16">
        <v>349.73171360000003</v>
      </c>
      <c r="BU67" s="18">
        <v>33890</v>
      </c>
      <c r="BV67" s="5">
        <v>1948.46</v>
      </c>
      <c r="BW67" s="16">
        <v>348.00278298000001</v>
      </c>
    </row>
    <row r="68" spans="1:75" x14ac:dyDescent="0.2">
      <c r="A68" s="21" t="s">
        <v>96</v>
      </c>
      <c r="B68" s="10">
        <v>10160</v>
      </c>
      <c r="C68" s="5">
        <v>594.41336460000002</v>
      </c>
      <c r="D68" s="5">
        <v>144.03249109999999</v>
      </c>
      <c r="E68" s="18">
        <v>11970</v>
      </c>
      <c r="F68" s="5">
        <v>700.36303879999991</v>
      </c>
      <c r="G68" s="5">
        <v>169.712144</v>
      </c>
      <c r="H68" s="18">
        <v>14040</v>
      </c>
      <c r="I68" s="5">
        <v>821.3</v>
      </c>
      <c r="J68" s="16">
        <v>199</v>
      </c>
      <c r="K68" s="18">
        <v>14460</v>
      </c>
      <c r="L68" s="5">
        <v>845.7</v>
      </c>
      <c r="M68" s="5">
        <v>204.9</v>
      </c>
      <c r="N68" s="18">
        <v>16020</v>
      </c>
      <c r="O68" s="5">
        <v>937.4</v>
      </c>
      <c r="P68" s="5">
        <v>227.2</v>
      </c>
      <c r="Q68" s="18">
        <v>18890</v>
      </c>
      <c r="R68" s="5">
        <v>1105.8</v>
      </c>
      <c r="S68" s="5">
        <v>268</v>
      </c>
      <c r="T68" s="18">
        <v>18060</v>
      </c>
      <c r="U68" s="5">
        <v>1056.5</v>
      </c>
      <c r="V68" s="5">
        <v>256</v>
      </c>
      <c r="W68" s="18">
        <v>21490</v>
      </c>
      <c r="X68" s="5">
        <v>1257.0999999999999</v>
      </c>
      <c r="Y68" s="5">
        <v>304.60000000000002</v>
      </c>
      <c r="Z68" s="18">
        <v>20780</v>
      </c>
      <c r="AA68" s="5">
        <v>1215.5</v>
      </c>
      <c r="AB68" s="16">
        <v>285.60000000000002</v>
      </c>
      <c r="AC68" s="21" t="s">
        <v>96</v>
      </c>
      <c r="AD68" s="10">
        <v>19080</v>
      </c>
      <c r="AE68" s="5">
        <v>1115.9000000000001</v>
      </c>
      <c r="AF68" s="16">
        <v>235.7</v>
      </c>
      <c r="AG68" s="10">
        <v>20110</v>
      </c>
      <c r="AH68" s="5">
        <v>1176.4000000000001</v>
      </c>
      <c r="AI68" s="16">
        <v>230.5</v>
      </c>
      <c r="AJ68" s="10">
        <v>21200</v>
      </c>
      <c r="AK68" s="5">
        <v>1240</v>
      </c>
      <c r="AL68" s="16">
        <v>224</v>
      </c>
      <c r="AM68" s="10">
        <v>22940</v>
      </c>
      <c r="AN68" s="5">
        <v>1342</v>
      </c>
      <c r="AO68" s="16">
        <v>242.5</v>
      </c>
      <c r="AP68" s="10">
        <v>23650</v>
      </c>
      <c r="AQ68" s="5">
        <v>1383.1</v>
      </c>
      <c r="AR68" s="16">
        <v>249.8</v>
      </c>
      <c r="AS68" s="10">
        <v>24510</v>
      </c>
      <c r="AT68" s="5">
        <v>1433.8</v>
      </c>
      <c r="AU68" s="16">
        <v>259.10000000000002</v>
      </c>
      <c r="AV68" s="10">
        <v>25430</v>
      </c>
      <c r="AW68" s="5">
        <v>1487.8</v>
      </c>
      <c r="AX68" s="16">
        <v>268.2</v>
      </c>
      <c r="AY68" s="10">
        <v>26420</v>
      </c>
      <c r="AZ68" s="5">
        <v>1545.5</v>
      </c>
      <c r="BA68" s="16">
        <v>278.60000000000002</v>
      </c>
      <c r="BB68" s="25">
        <v>27620</v>
      </c>
      <c r="BC68" s="26">
        <v>1615.7</v>
      </c>
      <c r="BD68" s="27">
        <v>291.89999999999998</v>
      </c>
      <c r="BE68" s="65" t="s">
        <v>96</v>
      </c>
      <c r="BF68" s="18">
        <v>29480</v>
      </c>
      <c r="BG68" s="5">
        <v>1724.61</v>
      </c>
      <c r="BH68" s="16">
        <v>311.59492225999998</v>
      </c>
      <c r="BI68" s="10">
        <v>31410</v>
      </c>
      <c r="BJ68" s="5">
        <v>1837.7</v>
      </c>
      <c r="BK68" s="16">
        <v>332.03191510000005</v>
      </c>
      <c r="BL68" s="18">
        <v>32260</v>
      </c>
      <c r="BM68" s="5">
        <v>1886.9</v>
      </c>
      <c r="BN68" s="16">
        <v>340.91716150000002</v>
      </c>
      <c r="BO68" s="18">
        <v>34380</v>
      </c>
      <c r="BP68" s="5">
        <v>2011.42</v>
      </c>
      <c r="BQ68" s="16">
        <v>363.41993232999999</v>
      </c>
      <c r="BR68" s="18">
        <v>34060</v>
      </c>
      <c r="BS68" s="5">
        <v>1992.36</v>
      </c>
      <c r="BT68" s="16">
        <v>359.96913311999998</v>
      </c>
      <c r="BU68" s="18">
        <v>33810</v>
      </c>
      <c r="BV68" s="5">
        <v>1977.75</v>
      </c>
      <c r="BW68" s="16">
        <v>357.32689017000001</v>
      </c>
    </row>
    <row r="69" spans="1:75" x14ac:dyDescent="0.2">
      <c r="A69" s="21" t="s">
        <v>97</v>
      </c>
      <c r="B69" s="10">
        <v>16360</v>
      </c>
      <c r="C69" s="5">
        <v>975.74419999999998</v>
      </c>
      <c r="D69" s="5">
        <v>238.009747</v>
      </c>
      <c r="E69" s="18">
        <v>20150</v>
      </c>
      <c r="F69" s="5">
        <v>1201.8760682</v>
      </c>
      <c r="G69" s="5">
        <v>293.24648120000001</v>
      </c>
      <c r="H69" s="18">
        <v>22800</v>
      </c>
      <c r="I69" s="5">
        <v>1360</v>
      </c>
      <c r="J69" s="16">
        <v>331.8</v>
      </c>
      <c r="K69" s="18">
        <v>24660</v>
      </c>
      <c r="L69" s="5">
        <v>1471.3</v>
      </c>
      <c r="M69" s="5">
        <v>359</v>
      </c>
      <c r="N69" s="18">
        <v>24900</v>
      </c>
      <c r="O69" s="5">
        <v>1485.4</v>
      </c>
      <c r="P69" s="5">
        <v>362.4</v>
      </c>
      <c r="Q69" s="18">
        <v>25910</v>
      </c>
      <c r="R69" s="5">
        <v>1545.1</v>
      </c>
      <c r="S69" s="5">
        <v>376.9</v>
      </c>
      <c r="T69" s="18">
        <v>27370</v>
      </c>
      <c r="U69" s="5">
        <v>1632.1</v>
      </c>
      <c r="V69" s="5">
        <v>398.2</v>
      </c>
      <c r="W69" s="18">
        <v>28170</v>
      </c>
      <c r="X69" s="5">
        <v>1679.2</v>
      </c>
      <c r="Y69" s="5">
        <v>409.6</v>
      </c>
      <c r="Z69" s="18">
        <v>25350</v>
      </c>
      <c r="AA69" s="5">
        <v>1510.3</v>
      </c>
      <c r="AB69" s="16">
        <v>357.4</v>
      </c>
      <c r="AC69" s="21" t="s">
        <v>97</v>
      </c>
      <c r="AD69" s="10">
        <v>21390</v>
      </c>
      <c r="AE69" s="5">
        <v>1273.7</v>
      </c>
      <c r="AF69" s="16">
        <v>271.7</v>
      </c>
      <c r="AG69" s="10">
        <v>21450</v>
      </c>
      <c r="AH69" s="5">
        <v>1277</v>
      </c>
      <c r="AI69" s="16">
        <v>252.9</v>
      </c>
      <c r="AJ69" s="10">
        <v>22340</v>
      </c>
      <c r="AK69" s="5">
        <v>1330.1</v>
      </c>
      <c r="AL69" s="16">
        <v>243.1</v>
      </c>
      <c r="AM69" s="10">
        <v>22040</v>
      </c>
      <c r="AN69" s="5">
        <v>1311.5</v>
      </c>
      <c r="AO69" s="16">
        <v>239.6</v>
      </c>
      <c r="AP69" s="10">
        <v>21880</v>
      </c>
      <c r="AQ69" s="5">
        <v>1302.5</v>
      </c>
      <c r="AR69" s="16">
        <v>238</v>
      </c>
      <c r="AS69" s="10">
        <v>23180</v>
      </c>
      <c r="AT69" s="5">
        <v>1379.9</v>
      </c>
      <c r="AU69" s="16">
        <v>252.2</v>
      </c>
      <c r="AV69" s="10">
        <v>25800</v>
      </c>
      <c r="AW69" s="5">
        <v>1535.8</v>
      </c>
      <c r="AX69" s="16">
        <v>280</v>
      </c>
      <c r="AY69" s="10">
        <v>26820</v>
      </c>
      <c r="AZ69" s="5">
        <v>1596.7</v>
      </c>
      <c r="BA69" s="16">
        <v>291.2</v>
      </c>
      <c r="BB69" s="25">
        <v>28200</v>
      </c>
      <c r="BC69" s="26">
        <v>1678.7</v>
      </c>
      <c r="BD69" s="27">
        <v>306.7</v>
      </c>
      <c r="BE69" s="65" t="s">
        <v>97</v>
      </c>
      <c r="BF69" s="18">
        <v>29270</v>
      </c>
      <c r="BG69" s="5">
        <v>1742.09</v>
      </c>
      <c r="BH69" s="16">
        <v>318.31419857999998</v>
      </c>
      <c r="BI69" s="10">
        <v>31530</v>
      </c>
      <c r="BJ69" s="5">
        <v>1876.2</v>
      </c>
      <c r="BK69" s="16">
        <v>342.80627129999999</v>
      </c>
      <c r="BL69" s="18">
        <v>32130</v>
      </c>
      <c r="BM69" s="5">
        <v>1911.7</v>
      </c>
      <c r="BN69" s="16">
        <v>349.28272029999999</v>
      </c>
      <c r="BO69" s="18">
        <v>33570</v>
      </c>
      <c r="BP69" s="5">
        <v>1997.81</v>
      </c>
      <c r="BQ69" s="16">
        <v>364.99821156000002</v>
      </c>
      <c r="BR69" s="18">
        <v>34030</v>
      </c>
      <c r="BS69" s="5">
        <v>2024.78</v>
      </c>
      <c r="BT69" s="16">
        <v>369.90576349999998</v>
      </c>
      <c r="BU69" s="18">
        <v>33690</v>
      </c>
      <c r="BV69" s="5">
        <v>2004.94</v>
      </c>
      <c r="BW69" s="16">
        <v>366.29646981000002</v>
      </c>
    </row>
    <row r="70" spans="1:75" x14ac:dyDescent="0.2">
      <c r="A70" s="21" t="s">
        <v>98</v>
      </c>
      <c r="B70" s="10">
        <v>12970</v>
      </c>
      <c r="C70" s="5">
        <v>783.77841100000001</v>
      </c>
      <c r="D70" s="5">
        <v>192.4391459</v>
      </c>
      <c r="E70" s="18">
        <v>15240</v>
      </c>
      <c r="F70" s="5">
        <v>920.26905829999998</v>
      </c>
      <c r="G70" s="5">
        <v>225.8265969</v>
      </c>
      <c r="H70" s="18">
        <v>16000</v>
      </c>
      <c r="I70" s="5">
        <v>966.8</v>
      </c>
      <c r="J70" s="16">
        <v>237.4</v>
      </c>
      <c r="K70" s="18">
        <v>18280</v>
      </c>
      <c r="L70" s="5">
        <v>1104.5</v>
      </c>
      <c r="M70" s="5">
        <v>271.2</v>
      </c>
      <c r="N70" s="18">
        <v>19050</v>
      </c>
      <c r="O70" s="5">
        <v>1151.5999999999999</v>
      </c>
      <c r="P70" s="5">
        <v>282.8</v>
      </c>
      <c r="Q70" s="18">
        <v>20680</v>
      </c>
      <c r="R70" s="5">
        <v>1249.7</v>
      </c>
      <c r="S70" s="5">
        <v>306.8</v>
      </c>
      <c r="T70" s="18">
        <v>21950</v>
      </c>
      <c r="U70" s="5">
        <v>1327.1</v>
      </c>
      <c r="V70" s="5">
        <v>325.89999999999998</v>
      </c>
      <c r="W70" s="18">
        <v>22540</v>
      </c>
      <c r="X70" s="5">
        <v>1362.4</v>
      </c>
      <c r="Y70" s="5">
        <v>334.6</v>
      </c>
      <c r="Z70" s="18">
        <v>21010</v>
      </c>
      <c r="AA70" s="5">
        <v>1270</v>
      </c>
      <c r="AB70" s="16">
        <v>302.60000000000002</v>
      </c>
      <c r="AC70" s="21" t="s">
        <v>98</v>
      </c>
      <c r="AD70" s="10">
        <v>18150</v>
      </c>
      <c r="AE70" s="5">
        <v>1097.3</v>
      </c>
      <c r="AF70" s="16">
        <v>236</v>
      </c>
      <c r="AG70" s="10">
        <v>19960</v>
      </c>
      <c r="AH70" s="5">
        <v>1207.5999999999999</v>
      </c>
      <c r="AI70" s="16">
        <v>241.4</v>
      </c>
      <c r="AJ70" s="10">
        <v>21080</v>
      </c>
      <c r="AK70" s="5">
        <v>1275.5</v>
      </c>
      <c r="AL70" s="16">
        <v>235.5</v>
      </c>
      <c r="AM70" s="10">
        <v>20570</v>
      </c>
      <c r="AN70" s="5">
        <v>1244.0999999999999</v>
      </c>
      <c r="AO70" s="16">
        <v>229.6</v>
      </c>
      <c r="AP70" s="10">
        <v>22090</v>
      </c>
      <c r="AQ70" s="5">
        <v>1336.5</v>
      </c>
      <c r="AR70" s="16">
        <v>246.8</v>
      </c>
      <c r="AS70" s="10">
        <v>24420</v>
      </c>
      <c r="AT70" s="5">
        <v>1477.3</v>
      </c>
      <c r="AU70" s="16">
        <v>272.7</v>
      </c>
      <c r="AV70" s="10">
        <v>24170</v>
      </c>
      <c r="AW70" s="5">
        <v>1461.8</v>
      </c>
      <c r="AX70" s="16">
        <v>269.3</v>
      </c>
      <c r="AY70" s="10">
        <v>24840</v>
      </c>
      <c r="AZ70" s="5">
        <v>1502.5</v>
      </c>
      <c r="BA70" s="16">
        <v>276.89999999999998</v>
      </c>
      <c r="BB70" s="25">
        <v>26770</v>
      </c>
      <c r="BC70" s="26">
        <v>1619.3</v>
      </c>
      <c r="BD70" s="27">
        <v>298.89999999999998</v>
      </c>
      <c r="BE70" s="65" t="s">
        <v>98</v>
      </c>
      <c r="BF70" s="18">
        <v>28630</v>
      </c>
      <c r="BG70" s="5">
        <v>1732.06</v>
      </c>
      <c r="BH70" s="16">
        <v>319.75989793999997</v>
      </c>
      <c r="BI70" s="10">
        <v>30580</v>
      </c>
      <c r="BJ70" s="5">
        <v>1849.7</v>
      </c>
      <c r="BK70" s="16">
        <v>341.47736889999999</v>
      </c>
      <c r="BL70" s="18">
        <v>31810</v>
      </c>
      <c r="BM70" s="5">
        <v>1923.8</v>
      </c>
      <c r="BN70" s="16">
        <v>355.14456410000003</v>
      </c>
      <c r="BO70" s="18">
        <v>33930</v>
      </c>
      <c r="BP70" s="5">
        <v>2052.06</v>
      </c>
      <c r="BQ70" s="16">
        <v>378.81748504000001</v>
      </c>
      <c r="BR70" s="18">
        <v>34080</v>
      </c>
      <c r="BS70" s="5">
        <v>2061.2399999999998</v>
      </c>
      <c r="BT70" s="16">
        <v>380.51087665</v>
      </c>
      <c r="BU70" s="18">
        <v>34310</v>
      </c>
      <c r="BV70" s="5">
        <v>2075.5100000000002</v>
      </c>
      <c r="BW70" s="16">
        <v>383.15186158</v>
      </c>
    </row>
    <row r="71" spans="1:75" x14ac:dyDescent="0.2">
      <c r="A71" s="21" t="s">
        <v>99</v>
      </c>
      <c r="B71" s="10">
        <v>8930</v>
      </c>
      <c r="C71" s="5">
        <v>548.93402040000001</v>
      </c>
      <c r="D71" s="5">
        <v>136.10286730000001</v>
      </c>
      <c r="E71" s="18">
        <v>9540</v>
      </c>
      <c r="F71" s="5">
        <v>586.49614039999994</v>
      </c>
      <c r="G71" s="5">
        <v>145.4492951</v>
      </c>
      <c r="H71" s="18">
        <v>10770</v>
      </c>
      <c r="I71" s="5">
        <v>662.2</v>
      </c>
      <c r="J71" s="16">
        <v>164.2</v>
      </c>
      <c r="K71" s="18">
        <v>14390</v>
      </c>
      <c r="L71" s="5">
        <v>884.8</v>
      </c>
      <c r="M71" s="5">
        <v>219.5</v>
      </c>
      <c r="N71" s="18">
        <v>14780</v>
      </c>
      <c r="O71" s="5">
        <v>909.3</v>
      </c>
      <c r="P71" s="5">
        <v>225.6</v>
      </c>
      <c r="Q71" s="18">
        <v>14430</v>
      </c>
      <c r="R71" s="5">
        <v>887.5</v>
      </c>
      <c r="S71" s="5">
        <v>220.2</v>
      </c>
      <c r="T71" s="18">
        <v>16450</v>
      </c>
      <c r="U71" s="5">
        <v>1011.6</v>
      </c>
      <c r="V71" s="5">
        <v>250.9</v>
      </c>
      <c r="W71" s="18">
        <v>18960</v>
      </c>
      <c r="X71" s="5">
        <v>1165.9000000000001</v>
      </c>
      <c r="Y71" s="5">
        <v>289.2</v>
      </c>
      <c r="Z71" s="18">
        <v>18740</v>
      </c>
      <c r="AA71" s="5">
        <v>1151.8</v>
      </c>
      <c r="AB71" s="16">
        <v>276.7</v>
      </c>
      <c r="AC71" s="21" t="s">
        <v>99</v>
      </c>
      <c r="AD71" s="10">
        <v>19420</v>
      </c>
      <c r="AE71" s="5">
        <v>1194.3</v>
      </c>
      <c r="AF71" s="16">
        <v>259.10000000000002</v>
      </c>
      <c r="AG71" s="10">
        <v>18870</v>
      </c>
      <c r="AH71" s="5">
        <v>1160.3</v>
      </c>
      <c r="AI71" s="16">
        <v>234.1</v>
      </c>
      <c r="AJ71" s="10">
        <v>18230</v>
      </c>
      <c r="AK71" s="5">
        <v>1121.5999999999999</v>
      </c>
      <c r="AL71" s="16">
        <v>209.2</v>
      </c>
      <c r="AM71" s="10">
        <v>21620</v>
      </c>
      <c r="AN71" s="5">
        <v>1329.2</v>
      </c>
      <c r="AO71" s="16">
        <v>247.8</v>
      </c>
      <c r="AP71" s="10">
        <v>22130</v>
      </c>
      <c r="AQ71" s="5">
        <v>1360.8</v>
      </c>
      <c r="AR71" s="16">
        <v>253.8</v>
      </c>
      <c r="AS71" s="10">
        <v>23770</v>
      </c>
      <c r="AT71" s="5">
        <v>1461.7</v>
      </c>
      <c r="AU71" s="16">
        <v>272.60000000000002</v>
      </c>
      <c r="AV71" s="10">
        <v>23120</v>
      </c>
      <c r="AW71" s="5">
        <v>1421.7</v>
      </c>
      <c r="AX71" s="16">
        <v>264.60000000000002</v>
      </c>
      <c r="AY71" s="10">
        <v>24050</v>
      </c>
      <c r="AZ71" s="5">
        <v>1479</v>
      </c>
      <c r="BA71" s="16">
        <v>275.2</v>
      </c>
      <c r="BB71" s="25">
        <v>25640</v>
      </c>
      <c r="BC71" s="26">
        <v>1576.7</v>
      </c>
      <c r="BD71" s="27">
        <v>294.10000000000002</v>
      </c>
      <c r="BE71" s="65" t="s">
        <v>99</v>
      </c>
      <c r="BF71" s="18">
        <v>27720</v>
      </c>
      <c r="BG71" s="5">
        <v>1704.93</v>
      </c>
      <c r="BH71" s="16">
        <v>317.96902114</v>
      </c>
      <c r="BI71" s="10">
        <v>29050</v>
      </c>
      <c r="BJ71" s="5">
        <v>1786.2</v>
      </c>
      <c r="BK71" s="16">
        <v>333.11788739999997</v>
      </c>
      <c r="BL71" s="18">
        <v>30310</v>
      </c>
      <c r="BM71" s="5">
        <v>1863.9</v>
      </c>
      <c r="BN71" s="16">
        <v>347.59975280000003</v>
      </c>
      <c r="BO71" s="18">
        <v>32350</v>
      </c>
      <c r="BP71" s="5">
        <v>1989.7</v>
      </c>
      <c r="BQ71" s="16">
        <v>371.07466737999999</v>
      </c>
      <c r="BR71" s="18">
        <v>33010</v>
      </c>
      <c r="BS71" s="5">
        <v>2029.8</v>
      </c>
      <c r="BT71" s="16">
        <v>378.54916844000002</v>
      </c>
      <c r="BU71" s="18">
        <v>32910</v>
      </c>
      <c r="BV71" s="5">
        <v>2024.18</v>
      </c>
      <c r="BW71" s="16">
        <v>377.51240471</v>
      </c>
    </row>
    <row r="72" spans="1:75" x14ac:dyDescent="0.2">
      <c r="A72" s="21" t="s">
        <v>100</v>
      </c>
      <c r="B72" s="10">
        <v>6960</v>
      </c>
      <c r="C72" s="5">
        <v>434.90980610000003</v>
      </c>
      <c r="D72" s="5">
        <v>108.8342925</v>
      </c>
      <c r="E72" s="18">
        <v>8650</v>
      </c>
      <c r="F72" s="5">
        <v>540.93583079999996</v>
      </c>
      <c r="G72" s="5">
        <v>135.45047460000001</v>
      </c>
      <c r="H72" s="18">
        <v>9940</v>
      </c>
      <c r="I72" s="5">
        <v>621.20000000000005</v>
      </c>
      <c r="J72" s="16">
        <v>155.5</v>
      </c>
      <c r="K72" s="18">
        <v>12260</v>
      </c>
      <c r="L72" s="5">
        <v>766.1</v>
      </c>
      <c r="M72" s="5">
        <v>191.8</v>
      </c>
      <c r="N72" s="18">
        <v>11990</v>
      </c>
      <c r="O72" s="5">
        <v>749.4</v>
      </c>
      <c r="P72" s="5">
        <v>187.6</v>
      </c>
      <c r="Q72" s="18">
        <v>13220</v>
      </c>
      <c r="R72" s="5">
        <v>826</v>
      </c>
      <c r="S72" s="5">
        <v>206.7</v>
      </c>
      <c r="T72" s="18">
        <v>14540</v>
      </c>
      <c r="U72" s="5">
        <v>908.7</v>
      </c>
      <c r="V72" s="5">
        <v>227.4</v>
      </c>
      <c r="W72" s="18">
        <v>16970</v>
      </c>
      <c r="X72" s="5">
        <v>1060.9000000000001</v>
      </c>
      <c r="Y72" s="5">
        <v>265.60000000000002</v>
      </c>
      <c r="Z72" s="18">
        <v>17990</v>
      </c>
      <c r="AA72" s="5">
        <v>1124.9000000000001</v>
      </c>
      <c r="AB72" s="16">
        <v>272.5</v>
      </c>
      <c r="AC72" s="21" t="s">
        <v>100</v>
      </c>
      <c r="AD72" s="10">
        <v>18110</v>
      </c>
      <c r="AE72" s="5">
        <v>1131.9000000000001</v>
      </c>
      <c r="AF72" s="16">
        <v>247.7</v>
      </c>
      <c r="AG72" s="10">
        <v>18430</v>
      </c>
      <c r="AH72" s="5">
        <v>1152.2</v>
      </c>
      <c r="AI72" s="16">
        <v>234.6</v>
      </c>
      <c r="AJ72" s="10">
        <v>18080</v>
      </c>
      <c r="AK72" s="5">
        <v>1130.0999999999999</v>
      </c>
      <c r="AL72" s="16">
        <v>212.8</v>
      </c>
      <c r="AM72" s="10">
        <v>19040</v>
      </c>
      <c r="AN72" s="5">
        <v>1190</v>
      </c>
      <c r="AO72" s="16">
        <v>224.1</v>
      </c>
      <c r="AP72" s="10">
        <v>20220</v>
      </c>
      <c r="AQ72" s="5">
        <v>1263.4000000000001</v>
      </c>
      <c r="AR72" s="16">
        <v>237.9</v>
      </c>
      <c r="AS72" s="10">
        <v>21550</v>
      </c>
      <c r="AT72" s="5">
        <v>1346.7</v>
      </c>
      <c r="AU72" s="16">
        <v>253.6</v>
      </c>
      <c r="AV72" s="10">
        <v>22630</v>
      </c>
      <c r="AW72" s="5">
        <v>1414.6</v>
      </c>
      <c r="AX72" s="16">
        <v>265.7</v>
      </c>
      <c r="AY72" s="10">
        <v>23980</v>
      </c>
      <c r="AZ72" s="5">
        <v>1498.5</v>
      </c>
      <c r="BA72" s="16">
        <v>281.60000000000002</v>
      </c>
      <c r="BB72" s="25">
        <v>25020</v>
      </c>
      <c r="BC72" s="26">
        <v>1563.7</v>
      </c>
      <c r="BD72" s="27">
        <v>294.5</v>
      </c>
      <c r="BE72" s="65" t="s">
        <v>100</v>
      </c>
      <c r="BF72" s="18">
        <v>27080</v>
      </c>
      <c r="BG72" s="5">
        <v>1692.5</v>
      </c>
      <c r="BH72" s="16">
        <v>318.72684610000005</v>
      </c>
      <c r="BI72" s="10">
        <v>28880</v>
      </c>
      <c r="BJ72" s="5">
        <v>1804.8</v>
      </c>
      <c r="BK72" s="16">
        <v>339.8914656</v>
      </c>
      <c r="BL72" s="18">
        <v>30020</v>
      </c>
      <c r="BM72" s="5">
        <v>1875.8</v>
      </c>
      <c r="BN72" s="16">
        <v>353.23312469999996</v>
      </c>
      <c r="BO72" s="18">
        <v>31800</v>
      </c>
      <c r="BP72" s="5">
        <v>1987.06</v>
      </c>
      <c r="BQ72" s="16">
        <v>374.18640846</v>
      </c>
      <c r="BR72" s="18">
        <v>32510</v>
      </c>
      <c r="BS72" s="5">
        <v>2031.79</v>
      </c>
      <c r="BT72" s="16">
        <v>382.61299387000003</v>
      </c>
      <c r="BU72" s="18">
        <v>33490</v>
      </c>
      <c r="BV72" s="5">
        <v>2093.16</v>
      </c>
      <c r="BW72" s="16">
        <v>394.17148333999995</v>
      </c>
    </row>
    <row r="73" spans="1:75" x14ac:dyDescent="0.2">
      <c r="A73" s="21" t="s">
        <v>101</v>
      </c>
      <c r="B73" s="10">
        <v>6240</v>
      </c>
      <c r="C73" s="5">
        <v>396.0428412</v>
      </c>
      <c r="D73" s="5">
        <v>99.981507500000006</v>
      </c>
      <c r="E73" s="18">
        <v>9340</v>
      </c>
      <c r="F73" s="5">
        <v>592.76796469999999</v>
      </c>
      <c r="G73" s="5">
        <v>149.6413072</v>
      </c>
      <c r="H73" s="18">
        <v>8360</v>
      </c>
      <c r="I73" s="5">
        <v>530.79999999999995</v>
      </c>
      <c r="J73" s="16">
        <v>134</v>
      </c>
      <c r="K73" s="18">
        <v>10700</v>
      </c>
      <c r="L73" s="5">
        <v>679.5</v>
      </c>
      <c r="M73" s="5">
        <v>171.6</v>
      </c>
      <c r="N73" s="18">
        <v>12480</v>
      </c>
      <c r="O73" s="5">
        <v>792.2</v>
      </c>
      <c r="P73" s="5">
        <v>200</v>
      </c>
      <c r="Q73" s="18">
        <v>13310</v>
      </c>
      <c r="R73" s="5">
        <v>845.3</v>
      </c>
      <c r="S73" s="5">
        <v>213.5</v>
      </c>
      <c r="T73" s="18">
        <v>14780</v>
      </c>
      <c r="U73" s="5">
        <v>938.6</v>
      </c>
      <c r="V73" s="5">
        <v>237</v>
      </c>
      <c r="W73" s="18">
        <v>14370</v>
      </c>
      <c r="X73" s="5">
        <v>912.8</v>
      </c>
      <c r="Y73" s="5">
        <v>230.5</v>
      </c>
      <c r="Z73" s="18">
        <v>17360</v>
      </c>
      <c r="AA73" s="5">
        <v>1102.4000000000001</v>
      </c>
      <c r="AB73" s="16">
        <v>269.10000000000002</v>
      </c>
      <c r="AC73" s="21" t="s">
        <v>101</v>
      </c>
      <c r="AD73" s="10">
        <v>16990</v>
      </c>
      <c r="AE73" s="5">
        <v>1078.8</v>
      </c>
      <c r="AF73" s="16">
        <v>237.9</v>
      </c>
      <c r="AG73" s="10">
        <v>17560</v>
      </c>
      <c r="AH73" s="5">
        <v>1115.0999999999999</v>
      </c>
      <c r="AI73" s="16">
        <v>228.9</v>
      </c>
      <c r="AJ73" s="10">
        <v>18730</v>
      </c>
      <c r="AK73" s="5">
        <v>1189.0999999999999</v>
      </c>
      <c r="AL73" s="16">
        <v>226</v>
      </c>
      <c r="AM73" s="10">
        <v>19270</v>
      </c>
      <c r="AN73" s="5">
        <v>1223.9000000000001</v>
      </c>
      <c r="AO73" s="16">
        <v>232.7</v>
      </c>
      <c r="AP73" s="10">
        <v>20440</v>
      </c>
      <c r="AQ73" s="5">
        <v>1297.8</v>
      </c>
      <c r="AR73" s="16">
        <v>246.7</v>
      </c>
      <c r="AS73" s="10">
        <v>20500</v>
      </c>
      <c r="AT73" s="5">
        <v>1301.7</v>
      </c>
      <c r="AU73" s="16">
        <v>247.4</v>
      </c>
      <c r="AV73" s="10">
        <v>21730</v>
      </c>
      <c r="AW73" s="5">
        <v>1380</v>
      </c>
      <c r="AX73" s="16">
        <v>261.89999999999998</v>
      </c>
      <c r="AY73" s="10">
        <v>22530</v>
      </c>
      <c r="AZ73" s="5">
        <v>1430.6</v>
      </c>
      <c r="BA73" s="16">
        <v>271.39999999999998</v>
      </c>
      <c r="BB73" s="25">
        <v>24240</v>
      </c>
      <c r="BC73" s="26">
        <v>1539</v>
      </c>
      <c r="BD73" s="27">
        <v>292.5</v>
      </c>
      <c r="BE73" s="65" t="s">
        <v>101</v>
      </c>
      <c r="BF73" s="18">
        <v>25750</v>
      </c>
      <c r="BG73" s="5">
        <v>1635.29</v>
      </c>
      <c r="BH73" s="16">
        <v>310.83120544000002</v>
      </c>
      <c r="BI73" s="10">
        <v>27990</v>
      </c>
      <c r="BJ73" s="5">
        <v>1777.5</v>
      </c>
      <c r="BK73" s="16">
        <v>337.85006910000004</v>
      </c>
      <c r="BL73" s="18">
        <v>28980</v>
      </c>
      <c r="BM73" s="5">
        <v>1839.9</v>
      </c>
      <c r="BN73" s="16">
        <v>349.7126955</v>
      </c>
      <c r="BO73" s="18">
        <v>30740</v>
      </c>
      <c r="BP73" s="5">
        <v>1951.9</v>
      </c>
      <c r="BQ73" s="16">
        <v>371.00868022000003</v>
      </c>
      <c r="BR73" s="18">
        <v>32130</v>
      </c>
      <c r="BS73" s="5">
        <v>2040.3</v>
      </c>
      <c r="BT73" s="16">
        <v>387.79715845999999</v>
      </c>
      <c r="BU73" s="18">
        <v>32400</v>
      </c>
      <c r="BV73" s="5">
        <v>2057.3200000000002</v>
      </c>
      <c r="BW73" s="16">
        <v>391.03442818000002</v>
      </c>
    </row>
    <row r="74" spans="1:75" x14ac:dyDescent="0.2">
      <c r="A74" s="21" t="s">
        <v>102</v>
      </c>
      <c r="B74" s="10">
        <v>6220</v>
      </c>
      <c r="C74" s="5">
        <v>401.38372269999996</v>
      </c>
      <c r="D74" s="5">
        <v>102.23905190000001</v>
      </c>
      <c r="E74" s="18">
        <v>7150</v>
      </c>
      <c r="F74" s="5">
        <v>461.18910989999995</v>
      </c>
      <c r="G74" s="5">
        <v>117.4442536</v>
      </c>
      <c r="H74" s="18">
        <v>7380</v>
      </c>
      <c r="I74" s="5">
        <v>476.2</v>
      </c>
      <c r="J74" s="16">
        <v>121.3</v>
      </c>
      <c r="K74" s="18">
        <v>9730</v>
      </c>
      <c r="L74" s="5">
        <v>627.6</v>
      </c>
      <c r="M74" s="5">
        <v>159.80000000000001</v>
      </c>
      <c r="N74" s="18">
        <v>11020</v>
      </c>
      <c r="O74" s="5">
        <v>711</v>
      </c>
      <c r="P74" s="5">
        <v>181.1</v>
      </c>
      <c r="Q74" s="18">
        <v>13170</v>
      </c>
      <c r="R74" s="5">
        <v>849.4</v>
      </c>
      <c r="S74" s="5">
        <v>216.3</v>
      </c>
      <c r="T74" s="18">
        <v>14790</v>
      </c>
      <c r="U74" s="5">
        <v>953.7</v>
      </c>
      <c r="V74" s="5">
        <v>242.8</v>
      </c>
      <c r="W74" s="18">
        <v>15430</v>
      </c>
      <c r="X74" s="5">
        <v>995.9</v>
      </c>
      <c r="Y74" s="5">
        <v>253.7</v>
      </c>
      <c r="Z74" s="18">
        <v>18150</v>
      </c>
      <c r="AA74" s="5">
        <v>1171.2</v>
      </c>
      <c r="AB74" s="16">
        <v>288.10000000000002</v>
      </c>
      <c r="AC74" s="21" t="s">
        <v>102</v>
      </c>
      <c r="AD74" s="10">
        <v>16910</v>
      </c>
      <c r="AE74" s="5">
        <v>1091.5999999999999</v>
      </c>
      <c r="AF74" s="16">
        <v>242.7</v>
      </c>
      <c r="AG74" s="10">
        <v>18010</v>
      </c>
      <c r="AH74" s="5">
        <v>1162.3</v>
      </c>
      <c r="AI74" s="16">
        <v>240.7</v>
      </c>
      <c r="AJ74" s="10">
        <v>18300</v>
      </c>
      <c r="AK74" s="5">
        <v>1180.8</v>
      </c>
      <c r="AL74" s="16">
        <v>226.5</v>
      </c>
      <c r="AM74" s="10">
        <v>19380</v>
      </c>
      <c r="AN74" s="5">
        <v>1250.5</v>
      </c>
      <c r="AO74" s="16">
        <v>239.9</v>
      </c>
      <c r="AP74" s="10">
        <v>20650</v>
      </c>
      <c r="AQ74" s="5">
        <v>1332</v>
      </c>
      <c r="AR74" s="16">
        <v>255.5</v>
      </c>
      <c r="AS74" s="10">
        <v>21110</v>
      </c>
      <c r="AT74" s="5">
        <v>1362.1</v>
      </c>
      <c r="AU74" s="16">
        <v>261.3</v>
      </c>
      <c r="AV74" s="10">
        <v>21810</v>
      </c>
      <c r="AW74" s="5">
        <v>1407.1</v>
      </c>
      <c r="AX74" s="16">
        <v>269.39999999999998</v>
      </c>
      <c r="AY74" s="10">
        <v>23020</v>
      </c>
      <c r="AZ74" s="5">
        <v>1485.4</v>
      </c>
      <c r="BA74" s="16">
        <v>284.39999999999998</v>
      </c>
      <c r="BB74" s="25">
        <v>24280</v>
      </c>
      <c r="BC74" s="26">
        <v>1566.1</v>
      </c>
      <c r="BD74" s="27">
        <v>300.39999999999998</v>
      </c>
      <c r="BE74" s="65" t="s">
        <v>102</v>
      </c>
      <c r="BF74" s="18">
        <v>25720</v>
      </c>
      <c r="BG74" s="5">
        <v>1659.12</v>
      </c>
      <c r="BH74" s="16">
        <v>318.22441343999998</v>
      </c>
      <c r="BI74" s="10">
        <v>27860</v>
      </c>
      <c r="BJ74" s="5">
        <v>1797</v>
      </c>
      <c r="BK74" s="16">
        <v>344.65947030000001</v>
      </c>
      <c r="BL74" s="18">
        <v>28460</v>
      </c>
      <c r="BM74" s="5">
        <v>1836.1</v>
      </c>
      <c r="BN74" s="16">
        <v>352.14912179999999</v>
      </c>
      <c r="BO74" s="18">
        <v>30420</v>
      </c>
      <c r="BP74" s="5">
        <v>1962.46</v>
      </c>
      <c r="BQ74" s="16">
        <v>376.37644829000004</v>
      </c>
      <c r="BR74" s="18">
        <v>31480</v>
      </c>
      <c r="BS74" s="5">
        <v>2030.78</v>
      </c>
      <c r="BT74" s="16">
        <v>389.47000801000002</v>
      </c>
      <c r="BU74" s="18">
        <v>32620</v>
      </c>
      <c r="BV74" s="5">
        <v>2103.81</v>
      </c>
      <c r="BW74" s="16">
        <v>403.48042758999998</v>
      </c>
    </row>
    <row r="75" spans="1:75" x14ac:dyDescent="0.2">
      <c r="A75" s="21" t="s">
        <v>103</v>
      </c>
      <c r="B75" s="10">
        <v>6240</v>
      </c>
      <c r="C75" s="5">
        <v>408.64124239999995</v>
      </c>
      <c r="D75" s="5">
        <v>104.89488470000001</v>
      </c>
      <c r="E75" s="18">
        <v>6520</v>
      </c>
      <c r="F75" s="5">
        <v>427.1595466</v>
      </c>
      <c r="G75" s="5">
        <v>109.6726232</v>
      </c>
      <c r="H75" s="18">
        <v>7710</v>
      </c>
      <c r="I75" s="5">
        <v>505</v>
      </c>
      <c r="J75" s="16">
        <v>129.6</v>
      </c>
      <c r="K75" s="18">
        <v>8610</v>
      </c>
      <c r="L75" s="5">
        <v>564</v>
      </c>
      <c r="M75" s="5">
        <v>144.80000000000001</v>
      </c>
      <c r="N75" s="18">
        <v>10310</v>
      </c>
      <c r="O75" s="5">
        <v>675</v>
      </c>
      <c r="P75" s="5">
        <v>173.2</v>
      </c>
      <c r="Q75" s="18">
        <v>10960</v>
      </c>
      <c r="R75" s="5">
        <v>717.9</v>
      </c>
      <c r="S75" s="5">
        <v>184.3</v>
      </c>
      <c r="T75" s="18">
        <v>12950</v>
      </c>
      <c r="U75" s="5">
        <v>848.2</v>
      </c>
      <c r="V75" s="5">
        <v>217.8</v>
      </c>
      <c r="W75" s="18">
        <v>14700</v>
      </c>
      <c r="X75" s="5">
        <v>962.8</v>
      </c>
      <c r="Y75" s="5">
        <v>247.1</v>
      </c>
      <c r="Z75" s="18">
        <v>16010</v>
      </c>
      <c r="AA75" s="5">
        <v>1048.7</v>
      </c>
      <c r="AB75" s="16">
        <v>259.7</v>
      </c>
      <c r="AC75" s="21" t="s">
        <v>103</v>
      </c>
      <c r="AD75" s="10">
        <v>15630</v>
      </c>
      <c r="AE75" s="5">
        <v>1023.6</v>
      </c>
      <c r="AF75" s="16">
        <v>229.1</v>
      </c>
      <c r="AG75" s="10">
        <v>16660</v>
      </c>
      <c r="AH75" s="5">
        <v>1091</v>
      </c>
      <c r="AI75" s="16">
        <v>227.6</v>
      </c>
      <c r="AJ75" s="10">
        <v>18460</v>
      </c>
      <c r="AK75" s="5">
        <v>1208.5999999999999</v>
      </c>
      <c r="AL75" s="16">
        <v>233.7</v>
      </c>
      <c r="AM75" s="10">
        <v>18240</v>
      </c>
      <c r="AN75" s="5">
        <v>1194.2</v>
      </c>
      <c r="AO75" s="16">
        <v>230.9</v>
      </c>
      <c r="AP75" s="10">
        <v>21000</v>
      </c>
      <c r="AQ75" s="5">
        <v>1375.4</v>
      </c>
      <c r="AR75" s="16">
        <v>266</v>
      </c>
      <c r="AS75" s="10">
        <v>20680</v>
      </c>
      <c r="AT75" s="5">
        <v>1354.5</v>
      </c>
      <c r="AU75" s="16">
        <v>262</v>
      </c>
      <c r="AV75" s="10">
        <v>21000</v>
      </c>
      <c r="AW75" s="5">
        <v>1375.7</v>
      </c>
      <c r="AX75" s="16">
        <v>265.5</v>
      </c>
      <c r="AY75" s="10">
        <v>22060</v>
      </c>
      <c r="AZ75" s="5">
        <v>1444.8</v>
      </c>
      <c r="BA75" s="16">
        <v>278.8</v>
      </c>
      <c r="BB75" s="25">
        <v>23600</v>
      </c>
      <c r="BC75" s="26">
        <v>1546</v>
      </c>
      <c r="BD75" s="27">
        <v>299</v>
      </c>
      <c r="BE75" s="65" t="s">
        <v>103</v>
      </c>
      <c r="BF75" s="18">
        <v>25250</v>
      </c>
      <c r="BG75" s="5">
        <v>1653.54</v>
      </c>
      <c r="BH75" s="16">
        <v>319.84336487999997</v>
      </c>
      <c r="BI75" s="10">
        <v>27100</v>
      </c>
      <c r="BJ75" s="5">
        <v>1774.7</v>
      </c>
      <c r="BK75" s="16">
        <v>343.26477180000001</v>
      </c>
      <c r="BL75" s="18">
        <v>27660</v>
      </c>
      <c r="BM75" s="5">
        <v>1811.8</v>
      </c>
      <c r="BN75" s="16">
        <v>350.43747560000003</v>
      </c>
      <c r="BO75" s="18">
        <v>30090</v>
      </c>
      <c r="BP75" s="5">
        <v>1970.96</v>
      </c>
      <c r="BQ75" s="16">
        <v>381.23165902</v>
      </c>
      <c r="BR75" s="18">
        <v>31470</v>
      </c>
      <c r="BS75" s="5">
        <v>2061.16</v>
      </c>
      <c r="BT75" s="16">
        <v>398.67558843</v>
      </c>
      <c r="BU75" s="18">
        <v>31980</v>
      </c>
      <c r="BV75" s="5">
        <v>2094.83</v>
      </c>
      <c r="BW75" s="16">
        <v>405.19769004</v>
      </c>
    </row>
    <row r="76" spans="1:75" x14ac:dyDescent="0.2">
      <c r="A76" s="21" t="s">
        <v>104</v>
      </c>
      <c r="B76" s="10">
        <v>5820</v>
      </c>
      <c r="C76" s="5">
        <v>386.84293289999999</v>
      </c>
      <c r="D76" s="5">
        <v>100.0601434</v>
      </c>
      <c r="E76" s="18">
        <v>6040</v>
      </c>
      <c r="F76" s="5">
        <v>401.61312930000003</v>
      </c>
      <c r="G76" s="5">
        <v>103.8999221</v>
      </c>
      <c r="H76" s="18">
        <v>7350</v>
      </c>
      <c r="I76" s="5">
        <v>488.9</v>
      </c>
      <c r="J76" s="16">
        <v>126.5</v>
      </c>
      <c r="K76" s="18">
        <v>8240</v>
      </c>
      <c r="L76" s="5">
        <v>547.9</v>
      </c>
      <c r="M76" s="5">
        <v>141.69999999999999</v>
      </c>
      <c r="N76" s="18">
        <v>9400</v>
      </c>
      <c r="O76" s="5">
        <v>625.20000000000005</v>
      </c>
      <c r="P76" s="5">
        <v>161.80000000000001</v>
      </c>
      <c r="Q76" s="18">
        <v>10740</v>
      </c>
      <c r="R76" s="5">
        <v>714.1</v>
      </c>
      <c r="S76" s="5">
        <v>184.7</v>
      </c>
      <c r="T76" s="18">
        <v>12190</v>
      </c>
      <c r="U76" s="5">
        <v>810.9</v>
      </c>
      <c r="V76" s="5">
        <v>209.8</v>
      </c>
      <c r="W76" s="18">
        <v>14480</v>
      </c>
      <c r="X76" s="5">
        <v>962.9</v>
      </c>
      <c r="Y76" s="5">
        <v>249.1</v>
      </c>
      <c r="Z76" s="18">
        <v>14200</v>
      </c>
      <c r="AA76" s="5">
        <v>944.3</v>
      </c>
      <c r="AB76" s="16">
        <v>235.4</v>
      </c>
      <c r="AC76" s="21" t="s">
        <v>104</v>
      </c>
      <c r="AD76" s="10">
        <v>14530</v>
      </c>
      <c r="AE76" s="5">
        <v>966.1</v>
      </c>
      <c r="AF76" s="16">
        <v>217.8</v>
      </c>
      <c r="AG76" s="10">
        <v>15350</v>
      </c>
      <c r="AH76" s="5">
        <v>1020.7</v>
      </c>
      <c r="AI76" s="16">
        <v>214.6</v>
      </c>
      <c r="AJ76" s="10">
        <v>17460</v>
      </c>
      <c r="AK76" s="5">
        <v>1161.0999999999999</v>
      </c>
      <c r="AL76" s="16">
        <v>226.5</v>
      </c>
      <c r="AM76" s="10">
        <v>16850</v>
      </c>
      <c r="AN76" s="5">
        <v>1120.4000000000001</v>
      </c>
      <c r="AO76" s="16">
        <v>218.5</v>
      </c>
      <c r="AP76" s="10">
        <v>18940</v>
      </c>
      <c r="AQ76" s="5">
        <v>1259.4000000000001</v>
      </c>
      <c r="AR76" s="16">
        <v>245.6</v>
      </c>
      <c r="AS76" s="10">
        <v>18310</v>
      </c>
      <c r="AT76" s="5">
        <v>1217.5999999999999</v>
      </c>
      <c r="AU76" s="16">
        <v>237.5</v>
      </c>
      <c r="AV76" s="10">
        <v>20370</v>
      </c>
      <c r="AW76" s="5">
        <v>1354.3</v>
      </c>
      <c r="AX76" s="16">
        <v>263.60000000000002</v>
      </c>
      <c r="AY76" s="10">
        <v>21360</v>
      </c>
      <c r="AZ76" s="5">
        <v>1420.1</v>
      </c>
      <c r="BA76" s="16">
        <v>276.5</v>
      </c>
      <c r="BB76" s="25">
        <v>22720</v>
      </c>
      <c r="BC76" s="26">
        <v>1511.2</v>
      </c>
      <c r="BD76" s="27">
        <v>294.7</v>
      </c>
      <c r="BE76" s="65" t="s">
        <v>104</v>
      </c>
      <c r="BF76" s="18">
        <v>24280</v>
      </c>
      <c r="BG76" s="5">
        <v>1614.31</v>
      </c>
      <c r="BH76" s="16">
        <v>314.84516631000002</v>
      </c>
      <c r="BI76" s="10">
        <v>26060</v>
      </c>
      <c r="BJ76" s="5">
        <v>1732.8</v>
      </c>
      <c r="BK76" s="16">
        <v>337.94969530000003</v>
      </c>
      <c r="BL76" s="18">
        <v>26960</v>
      </c>
      <c r="BM76" s="5">
        <v>1792.4</v>
      </c>
      <c r="BN76" s="16">
        <v>349.57684889999996</v>
      </c>
      <c r="BO76" s="18">
        <v>29160</v>
      </c>
      <c r="BP76" s="5">
        <v>1938.96</v>
      </c>
      <c r="BQ76" s="16">
        <v>378.15614582999996</v>
      </c>
      <c r="BR76" s="18">
        <v>30700</v>
      </c>
      <c r="BS76" s="5">
        <v>2041.1</v>
      </c>
      <c r="BT76" s="16">
        <v>398.07620717000003</v>
      </c>
      <c r="BU76" s="18">
        <v>31780</v>
      </c>
      <c r="BV76" s="5">
        <v>2113.4699999999998</v>
      </c>
      <c r="BW76" s="16">
        <v>412.19521435000001</v>
      </c>
    </row>
    <row r="77" spans="1:75" x14ac:dyDescent="0.2">
      <c r="A77" s="21" t="s">
        <v>105</v>
      </c>
      <c r="B77" s="10">
        <v>5600</v>
      </c>
      <c r="C77" s="5">
        <v>378.1887069</v>
      </c>
      <c r="D77" s="5">
        <v>98.605595600000001</v>
      </c>
      <c r="E77" s="18">
        <v>5480</v>
      </c>
      <c r="F77" s="5">
        <v>370.04979310000004</v>
      </c>
      <c r="G77" s="5">
        <v>96.479019800000003</v>
      </c>
      <c r="H77" s="18">
        <v>6570</v>
      </c>
      <c r="I77" s="5">
        <v>443.6</v>
      </c>
      <c r="J77" s="16">
        <v>115.6</v>
      </c>
      <c r="K77" s="18">
        <v>8080</v>
      </c>
      <c r="L77" s="5">
        <v>545.4</v>
      </c>
      <c r="M77" s="5">
        <v>142.19999999999999</v>
      </c>
      <c r="N77" s="18">
        <v>8980</v>
      </c>
      <c r="O77" s="5">
        <v>606.29999999999995</v>
      </c>
      <c r="P77" s="5">
        <v>158</v>
      </c>
      <c r="Q77" s="18">
        <v>9000</v>
      </c>
      <c r="R77" s="5">
        <v>607.4</v>
      </c>
      <c r="S77" s="5">
        <v>158.30000000000001</v>
      </c>
      <c r="T77" s="18">
        <v>12980</v>
      </c>
      <c r="U77" s="5">
        <v>876.1</v>
      </c>
      <c r="V77" s="5">
        <v>228.4</v>
      </c>
      <c r="W77" s="18">
        <v>13580</v>
      </c>
      <c r="X77" s="5">
        <v>916.8</v>
      </c>
      <c r="Y77" s="5">
        <v>239</v>
      </c>
      <c r="Z77" s="18">
        <v>13610</v>
      </c>
      <c r="AA77" s="5">
        <v>918.7</v>
      </c>
      <c r="AB77" s="16">
        <v>230.6</v>
      </c>
      <c r="AC77" s="21" t="s">
        <v>105</v>
      </c>
      <c r="AD77" s="10">
        <v>14330</v>
      </c>
      <c r="AE77" s="5">
        <v>967.6</v>
      </c>
      <c r="AF77" s="16">
        <v>219.7</v>
      </c>
      <c r="AG77" s="10">
        <v>16390</v>
      </c>
      <c r="AH77" s="5">
        <v>1106.8</v>
      </c>
      <c r="AI77" s="16">
        <v>234.5</v>
      </c>
      <c r="AJ77" s="10">
        <v>18420</v>
      </c>
      <c r="AK77" s="5">
        <v>1243.4000000000001</v>
      </c>
      <c r="AL77" s="16">
        <v>244.4</v>
      </c>
      <c r="AM77" s="10">
        <v>17680</v>
      </c>
      <c r="AN77" s="5">
        <v>1193.2</v>
      </c>
      <c r="AO77" s="16">
        <v>234.5</v>
      </c>
      <c r="AP77" s="10">
        <v>18460</v>
      </c>
      <c r="AQ77" s="5">
        <v>1245.9000000000001</v>
      </c>
      <c r="AR77" s="16">
        <v>244.9</v>
      </c>
      <c r="AS77" s="10">
        <v>19370</v>
      </c>
      <c r="AT77" s="5">
        <v>1307.4000000000001</v>
      </c>
      <c r="AU77" s="16">
        <v>257</v>
      </c>
      <c r="AV77" s="10">
        <v>20190</v>
      </c>
      <c r="AW77" s="5">
        <v>1362.9</v>
      </c>
      <c r="AX77" s="16">
        <v>267.39999999999998</v>
      </c>
      <c r="AY77" s="10">
        <v>21310</v>
      </c>
      <c r="AZ77" s="5">
        <v>1438.4</v>
      </c>
      <c r="BA77" s="16">
        <v>282.2</v>
      </c>
      <c r="BB77" s="25">
        <v>22450</v>
      </c>
      <c r="BC77" s="26">
        <v>1515.6</v>
      </c>
      <c r="BD77" s="27">
        <v>298</v>
      </c>
      <c r="BE77" s="65" t="s">
        <v>105</v>
      </c>
      <c r="BF77" s="18">
        <v>23690</v>
      </c>
      <c r="BG77" s="5">
        <v>1599.07</v>
      </c>
      <c r="BH77" s="16">
        <v>314.36931942000001</v>
      </c>
      <c r="BI77" s="10">
        <v>25780</v>
      </c>
      <c r="BJ77" s="5">
        <v>1739.8</v>
      </c>
      <c r="BK77" s="16">
        <v>342.04344189999995</v>
      </c>
      <c r="BL77" s="18">
        <v>26730</v>
      </c>
      <c r="BM77" s="5">
        <v>1804.4</v>
      </c>
      <c r="BN77" s="16">
        <v>354.72815260000004</v>
      </c>
      <c r="BO77" s="18">
        <v>29100</v>
      </c>
      <c r="BP77" s="5">
        <v>1963.93</v>
      </c>
      <c r="BQ77" s="16">
        <v>386.09543791999999</v>
      </c>
      <c r="BR77" s="18">
        <v>29990</v>
      </c>
      <c r="BS77" s="5">
        <v>2023.89</v>
      </c>
      <c r="BT77" s="16">
        <v>397.86829438000001</v>
      </c>
      <c r="BU77" s="18">
        <v>31500</v>
      </c>
      <c r="BV77" s="5">
        <v>2126.52</v>
      </c>
      <c r="BW77" s="16">
        <v>418.05709105</v>
      </c>
    </row>
    <row r="78" spans="1:75" x14ac:dyDescent="0.2">
      <c r="A78" s="21" t="s">
        <v>106</v>
      </c>
      <c r="B78" s="10">
        <v>5210</v>
      </c>
      <c r="C78" s="5">
        <v>356.72438060000002</v>
      </c>
      <c r="D78" s="5">
        <v>93.6340948</v>
      </c>
      <c r="E78" s="18">
        <v>5300</v>
      </c>
      <c r="F78" s="5">
        <v>363.07501980000001</v>
      </c>
      <c r="G78" s="5">
        <v>95.330258200000003</v>
      </c>
      <c r="H78" s="18">
        <v>6980</v>
      </c>
      <c r="I78" s="5">
        <v>478.2</v>
      </c>
      <c r="J78" s="16">
        <v>125.5</v>
      </c>
      <c r="K78" s="18">
        <v>7190</v>
      </c>
      <c r="L78" s="5">
        <v>492.3</v>
      </c>
      <c r="M78" s="5">
        <v>129.19999999999999</v>
      </c>
      <c r="N78" s="18">
        <v>7640</v>
      </c>
      <c r="O78" s="5">
        <v>523.20000000000005</v>
      </c>
      <c r="P78" s="5">
        <v>137.30000000000001</v>
      </c>
      <c r="Q78" s="18">
        <v>9470</v>
      </c>
      <c r="R78" s="5">
        <v>648.6</v>
      </c>
      <c r="S78" s="5">
        <v>170.3</v>
      </c>
      <c r="T78" s="18">
        <v>11340</v>
      </c>
      <c r="U78" s="5">
        <v>776.6</v>
      </c>
      <c r="V78" s="5">
        <v>203.9</v>
      </c>
      <c r="W78" s="18">
        <v>12800</v>
      </c>
      <c r="X78" s="5">
        <v>876.9</v>
      </c>
      <c r="Y78" s="5">
        <v>230.2</v>
      </c>
      <c r="Z78" s="18">
        <v>13610</v>
      </c>
      <c r="AA78" s="5">
        <v>932.5</v>
      </c>
      <c r="AB78" s="16">
        <v>235.5</v>
      </c>
      <c r="AC78" s="21" t="s">
        <v>106</v>
      </c>
      <c r="AD78" s="10">
        <v>14530</v>
      </c>
      <c r="AE78" s="5">
        <v>995.1</v>
      </c>
      <c r="AF78" s="16">
        <v>227.4</v>
      </c>
      <c r="AG78" s="10">
        <v>15920</v>
      </c>
      <c r="AH78" s="5">
        <v>1090.9000000000001</v>
      </c>
      <c r="AI78" s="16">
        <v>232.7</v>
      </c>
      <c r="AJ78" s="10">
        <v>16850</v>
      </c>
      <c r="AK78" s="5">
        <v>1154.5999999999999</v>
      </c>
      <c r="AL78" s="16">
        <v>228.8</v>
      </c>
      <c r="AM78" s="10">
        <v>17470</v>
      </c>
      <c r="AN78" s="5">
        <v>1197</v>
      </c>
      <c r="AO78" s="16">
        <v>237.1</v>
      </c>
      <c r="AP78" s="10">
        <v>19490</v>
      </c>
      <c r="AQ78" s="5">
        <v>1335.3</v>
      </c>
      <c r="AR78" s="16">
        <v>264.5</v>
      </c>
      <c r="AS78" s="10">
        <v>18730</v>
      </c>
      <c r="AT78" s="5">
        <v>1282.9000000000001</v>
      </c>
      <c r="AU78" s="16">
        <v>254.1</v>
      </c>
      <c r="AV78" s="10">
        <v>19610</v>
      </c>
      <c r="AW78" s="5">
        <v>1343.3</v>
      </c>
      <c r="AX78" s="16">
        <v>265.5</v>
      </c>
      <c r="AY78" s="10">
        <v>20610</v>
      </c>
      <c r="AZ78" s="5">
        <v>1411.7</v>
      </c>
      <c r="BA78" s="16">
        <v>279</v>
      </c>
      <c r="BB78" s="25">
        <v>22460</v>
      </c>
      <c r="BC78" s="26">
        <v>1538.4</v>
      </c>
      <c r="BD78" s="27">
        <v>304.8</v>
      </c>
      <c r="BE78" s="65" t="s">
        <v>106</v>
      </c>
      <c r="BF78" s="18">
        <v>24080</v>
      </c>
      <c r="BG78" s="5">
        <v>1649.66</v>
      </c>
      <c r="BH78" s="16">
        <v>326.81256281999998</v>
      </c>
      <c r="BI78" s="10">
        <v>25520</v>
      </c>
      <c r="BJ78" s="5">
        <v>1748</v>
      </c>
      <c r="BK78" s="16">
        <v>346.28781710000004</v>
      </c>
      <c r="BL78" s="18">
        <v>26610</v>
      </c>
      <c r="BM78" s="5">
        <v>1822.9</v>
      </c>
      <c r="BN78" s="16">
        <v>361.12058810000002</v>
      </c>
      <c r="BO78" s="18">
        <v>29220</v>
      </c>
      <c r="BP78" s="5">
        <v>2001.45</v>
      </c>
      <c r="BQ78" s="16">
        <v>396.48979243999997</v>
      </c>
      <c r="BR78" s="18">
        <v>29980</v>
      </c>
      <c r="BS78" s="5">
        <v>2053.7800000000002</v>
      </c>
      <c r="BT78" s="16">
        <v>406.8514467</v>
      </c>
      <c r="BU78" s="18">
        <v>31640</v>
      </c>
      <c r="BV78" s="5">
        <v>2167.5700000000002</v>
      </c>
      <c r="BW78" s="16">
        <v>429.39567624</v>
      </c>
    </row>
    <row r="79" spans="1:75" x14ac:dyDescent="0.2">
      <c r="A79" s="21" t="s">
        <v>107</v>
      </c>
      <c r="B79" s="10">
        <v>4800</v>
      </c>
      <c r="C79" s="5">
        <v>333.63917119999996</v>
      </c>
      <c r="D79" s="5">
        <v>88.215279099999989</v>
      </c>
      <c r="E79" s="18">
        <v>4780</v>
      </c>
      <c r="F79" s="5">
        <v>332.25593620000001</v>
      </c>
      <c r="G79" s="5">
        <v>87.850415099999992</v>
      </c>
      <c r="H79" s="18">
        <v>5770</v>
      </c>
      <c r="I79" s="5">
        <v>401.3</v>
      </c>
      <c r="J79" s="16">
        <v>106.1</v>
      </c>
      <c r="K79" s="18">
        <v>7250</v>
      </c>
      <c r="L79" s="5">
        <v>504</v>
      </c>
      <c r="M79" s="5">
        <v>133.30000000000001</v>
      </c>
      <c r="N79" s="18">
        <v>7880</v>
      </c>
      <c r="O79" s="5">
        <v>547.4</v>
      </c>
      <c r="P79" s="5">
        <v>144.69999999999999</v>
      </c>
      <c r="Q79" s="18">
        <v>9810</v>
      </c>
      <c r="R79" s="5">
        <v>681.9</v>
      </c>
      <c r="S79" s="5">
        <v>180.3</v>
      </c>
      <c r="T79" s="18">
        <v>10970</v>
      </c>
      <c r="U79" s="5">
        <v>762.7</v>
      </c>
      <c r="V79" s="5">
        <v>201.7</v>
      </c>
      <c r="W79" s="18">
        <v>12140</v>
      </c>
      <c r="X79" s="5">
        <v>843.7</v>
      </c>
      <c r="Y79" s="5">
        <v>223.1</v>
      </c>
      <c r="Z79" s="18">
        <v>14520</v>
      </c>
      <c r="AA79" s="5">
        <v>1009.8</v>
      </c>
      <c r="AB79" s="16">
        <v>256.7</v>
      </c>
      <c r="AC79" s="21" t="s">
        <v>107</v>
      </c>
      <c r="AD79" s="10">
        <v>18820</v>
      </c>
      <c r="AE79" s="5">
        <v>1310</v>
      </c>
      <c r="AF79" s="16">
        <v>301.5</v>
      </c>
      <c r="AG79" s="10">
        <v>23560</v>
      </c>
      <c r="AH79" s="5">
        <v>1640.6</v>
      </c>
      <c r="AI79" s="16">
        <v>352.7</v>
      </c>
      <c r="AJ79" s="10">
        <v>25020</v>
      </c>
      <c r="AK79" s="5">
        <v>1741.8</v>
      </c>
      <c r="AL79" s="16">
        <v>347.9</v>
      </c>
      <c r="AM79" s="10">
        <v>25560</v>
      </c>
      <c r="AN79" s="5">
        <v>1779.3</v>
      </c>
      <c r="AO79" s="16">
        <v>355.4</v>
      </c>
      <c r="AP79" s="10">
        <v>28480</v>
      </c>
      <c r="AQ79" s="5">
        <v>1983.7</v>
      </c>
      <c r="AR79" s="16">
        <v>396.3</v>
      </c>
      <c r="AS79" s="10">
        <v>29440</v>
      </c>
      <c r="AT79" s="5">
        <v>2049.9</v>
      </c>
      <c r="AU79" s="16">
        <v>409.5</v>
      </c>
      <c r="AV79" s="10">
        <v>28940</v>
      </c>
      <c r="AW79" s="5">
        <v>2015.3</v>
      </c>
      <c r="AX79" s="16">
        <v>402</v>
      </c>
      <c r="AY79" s="10">
        <v>31640</v>
      </c>
      <c r="AZ79" s="5">
        <v>2203.4</v>
      </c>
      <c r="BA79" s="16">
        <v>439.7</v>
      </c>
      <c r="BB79" s="25">
        <v>34020</v>
      </c>
      <c r="BC79" s="26">
        <v>2369.8000000000002</v>
      </c>
      <c r="BD79" s="27">
        <v>473.4</v>
      </c>
      <c r="BE79" s="65" t="s">
        <v>107</v>
      </c>
      <c r="BF79" s="18">
        <v>36280</v>
      </c>
      <c r="BG79" s="5">
        <v>2526.39</v>
      </c>
      <c r="BH79" s="16">
        <v>504.71079867000003</v>
      </c>
      <c r="BI79" s="10">
        <v>37800</v>
      </c>
      <c r="BJ79" s="5">
        <v>2632.6</v>
      </c>
      <c r="BK79" s="16">
        <v>525.93357070000002</v>
      </c>
      <c r="BL79" s="18">
        <v>37940</v>
      </c>
      <c r="BM79" s="5">
        <v>2642</v>
      </c>
      <c r="BN79" s="16">
        <v>527.74306239999999</v>
      </c>
      <c r="BO79" s="18">
        <v>41670</v>
      </c>
      <c r="BP79" s="5">
        <v>2900.63</v>
      </c>
      <c r="BQ79" s="16">
        <v>579.35507190999999</v>
      </c>
      <c r="BR79" s="18">
        <v>40170</v>
      </c>
      <c r="BS79" s="5">
        <v>2795.64</v>
      </c>
      <c r="BT79" s="16">
        <v>558.33405708999999</v>
      </c>
      <c r="BU79" s="18">
        <v>40910</v>
      </c>
      <c r="BV79" s="5">
        <v>2847.12</v>
      </c>
      <c r="BW79" s="16">
        <v>568.58135317999995</v>
      </c>
    </row>
    <row r="80" spans="1:75" x14ac:dyDescent="0.2">
      <c r="A80" s="21" t="s">
        <v>108</v>
      </c>
      <c r="B80" s="10">
        <v>4390</v>
      </c>
      <c r="C80" s="5">
        <v>309.52737839999998</v>
      </c>
      <c r="D80" s="5">
        <v>82.3909783</v>
      </c>
      <c r="E80" s="18">
        <v>4740</v>
      </c>
      <c r="F80" s="5">
        <v>334.19141760000002</v>
      </c>
      <c r="G80" s="5">
        <v>88.954453299999997</v>
      </c>
      <c r="H80" s="18">
        <v>5470</v>
      </c>
      <c r="I80" s="5">
        <v>385.5</v>
      </c>
      <c r="J80" s="16">
        <v>102.6</v>
      </c>
      <c r="K80" s="18">
        <v>5940</v>
      </c>
      <c r="L80" s="5">
        <v>418.5</v>
      </c>
      <c r="M80" s="5">
        <v>111.3</v>
      </c>
      <c r="N80" s="18">
        <v>7690</v>
      </c>
      <c r="O80" s="5">
        <v>541.79999999999995</v>
      </c>
      <c r="P80" s="5">
        <v>144.19999999999999</v>
      </c>
      <c r="Q80" s="18">
        <v>8740</v>
      </c>
      <c r="R80" s="5">
        <v>616.20000000000005</v>
      </c>
      <c r="S80" s="5">
        <v>164</v>
      </c>
      <c r="T80" s="18">
        <v>8660</v>
      </c>
      <c r="U80" s="5">
        <v>610.4</v>
      </c>
      <c r="V80" s="5">
        <v>162.5</v>
      </c>
      <c r="W80" s="18">
        <v>11960</v>
      </c>
      <c r="X80" s="5">
        <v>843.2</v>
      </c>
      <c r="Y80" s="5">
        <v>224.4</v>
      </c>
      <c r="Z80" s="18">
        <v>14340</v>
      </c>
      <c r="AA80" s="5">
        <v>1010.4</v>
      </c>
      <c r="AB80" s="16">
        <v>258.39999999999998</v>
      </c>
      <c r="AC80" s="21" t="s">
        <v>108</v>
      </c>
      <c r="AD80" s="10">
        <v>16050</v>
      </c>
      <c r="AE80" s="5">
        <v>1130.5999999999999</v>
      </c>
      <c r="AF80" s="16">
        <v>261.89999999999998</v>
      </c>
      <c r="AG80" s="10">
        <v>16850</v>
      </c>
      <c r="AH80" s="5">
        <v>1187.0999999999999</v>
      </c>
      <c r="AI80" s="16">
        <v>256.89999999999998</v>
      </c>
      <c r="AJ80" s="10">
        <v>19780</v>
      </c>
      <c r="AK80" s="5">
        <v>1393.8</v>
      </c>
      <c r="AL80" s="16">
        <v>280.3</v>
      </c>
      <c r="AM80" s="10">
        <v>22730</v>
      </c>
      <c r="AN80" s="5">
        <v>1601.4</v>
      </c>
      <c r="AO80" s="16">
        <v>322.10000000000002</v>
      </c>
      <c r="AP80" s="10">
        <v>20870</v>
      </c>
      <c r="AQ80" s="5">
        <v>1470.6</v>
      </c>
      <c r="AR80" s="16">
        <v>295.8</v>
      </c>
      <c r="AS80" s="10">
        <v>22620</v>
      </c>
      <c r="AT80" s="5">
        <v>1593.9</v>
      </c>
      <c r="AU80" s="16">
        <v>320.60000000000002</v>
      </c>
      <c r="AV80" s="10">
        <v>22950</v>
      </c>
      <c r="AW80" s="5">
        <v>1616.7</v>
      </c>
      <c r="AX80" s="16">
        <v>324.5</v>
      </c>
      <c r="AY80" s="10">
        <v>25010</v>
      </c>
      <c r="AZ80" s="5">
        <v>1761.6</v>
      </c>
      <c r="BA80" s="16">
        <v>353.8</v>
      </c>
      <c r="BB80" s="25">
        <v>26180</v>
      </c>
      <c r="BC80" s="26">
        <v>1844.6</v>
      </c>
      <c r="BD80" s="27">
        <v>371</v>
      </c>
      <c r="BE80" s="65" t="s">
        <v>108</v>
      </c>
      <c r="BF80" s="18">
        <v>28450</v>
      </c>
      <c r="BG80" s="5">
        <v>2004.48</v>
      </c>
      <c r="BH80" s="16">
        <v>403.13914462000002</v>
      </c>
      <c r="BI80" s="10">
        <v>30190</v>
      </c>
      <c r="BJ80" s="5">
        <v>2127</v>
      </c>
      <c r="BK80" s="16">
        <v>427.77387299999998</v>
      </c>
      <c r="BL80" s="18">
        <v>31320</v>
      </c>
      <c r="BM80" s="5">
        <v>2206.5</v>
      </c>
      <c r="BN80" s="16">
        <v>443.70425010000002</v>
      </c>
      <c r="BO80" s="18">
        <v>32990</v>
      </c>
      <c r="BP80" s="5">
        <v>2323.9299999999998</v>
      </c>
      <c r="BQ80" s="16">
        <v>467.35396156999997</v>
      </c>
      <c r="BR80" s="18">
        <v>35390</v>
      </c>
      <c r="BS80" s="5">
        <v>2492.9899999999998</v>
      </c>
      <c r="BT80" s="16">
        <v>501.34692527999999</v>
      </c>
      <c r="BU80" s="18">
        <v>36660</v>
      </c>
      <c r="BV80" s="5">
        <v>2582.69</v>
      </c>
      <c r="BW80" s="16">
        <v>519.43072643999994</v>
      </c>
    </row>
    <row r="81" spans="1:75" x14ac:dyDescent="0.2">
      <c r="A81" s="21" t="s">
        <v>109</v>
      </c>
      <c r="B81" s="10">
        <v>4280</v>
      </c>
      <c r="C81" s="5">
        <v>305.85626070000001</v>
      </c>
      <c r="D81" s="5">
        <v>81.91798159999999</v>
      </c>
      <c r="E81" s="18">
        <v>5120</v>
      </c>
      <c r="F81" s="5">
        <v>366.0552151</v>
      </c>
      <c r="G81" s="5">
        <v>98.0639331</v>
      </c>
      <c r="H81" s="18">
        <v>5140</v>
      </c>
      <c r="I81" s="5">
        <v>367.7</v>
      </c>
      <c r="J81" s="16">
        <v>98.5</v>
      </c>
      <c r="K81" s="18">
        <v>5950</v>
      </c>
      <c r="L81" s="5">
        <v>425.5</v>
      </c>
      <c r="M81" s="5">
        <v>114</v>
      </c>
      <c r="N81" s="18">
        <v>6530</v>
      </c>
      <c r="O81" s="5">
        <v>467.1</v>
      </c>
      <c r="P81" s="5">
        <v>125.1</v>
      </c>
      <c r="Q81" s="18">
        <v>8540</v>
      </c>
      <c r="R81" s="5">
        <v>610.9</v>
      </c>
      <c r="S81" s="5">
        <v>163.69999999999999</v>
      </c>
      <c r="T81" s="18">
        <v>9030</v>
      </c>
      <c r="U81" s="5">
        <v>645.9</v>
      </c>
      <c r="V81" s="5">
        <v>173.1</v>
      </c>
      <c r="W81" s="18">
        <v>11090</v>
      </c>
      <c r="X81" s="5">
        <v>793.1</v>
      </c>
      <c r="Y81" s="5">
        <v>212.5</v>
      </c>
      <c r="Z81" s="18">
        <v>11960</v>
      </c>
      <c r="AA81" s="5">
        <v>855</v>
      </c>
      <c r="AB81" s="16">
        <v>220.3</v>
      </c>
      <c r="AC81" s="21" t="s">
        <v>109</v>
      </c>
      <c r="AD81" s="10">
        <v>11770</v>
      </c>
      <c r="AE81" s="5">
        <v>841.3</v>
      </c>
      <c r="AF81" s="16">
        <v>196.7</v>
      </c>
      <c r="AG81" s="10">
        <v>13040</v>
      </c>
      <c r="AH81" s="5">
        <v>932.7</v>
      </c>
      <c r="AI81" s="16">
        <v>203.8</v>
      </c>
      <c r="AJ81" s="10">
        <v>14700</v>
      </c>
      <c r="AK81" s="5">
        <v>1050.8</v>
      </c>
      <c r="AL81" s="16">
        <v>213.3</v>
      </c>
      <c r="AM81" s="10">
        <v>17290</v>
      </c>
      <c r="AN81" s="5">
        <v>1236.0999999999999</v>
      </c>
      <c r="AO81" s="16">
        <v>250.9</v>
      </c>
      <c r="AP81" s="10">
        <v>18770</v>
      </c>
      <c r="AQ81" s="5">
        <v>1342</v>
      </c>
      <c r="AR81" s="16">
        <v>272.39999999999998</v>
      </c>
      <c r="AS81" s="10">
        <v>18210</v>
      </c>
      <c r="AT81" s="5">
        <v>1302</v>
      </c>
      <c r="AU81" s="16">
        <v>264.3</v>
      </c>
      <c r="AV81" s="10">
        <v>19130</v>
      </c>
      <c r="AW81" s="5">
        <v>1367.6</v>
      </c>
      <c r="AX81" s="16">
        <v>277.10000000000002</v>
      </c>
      <c r="AY81" s="10">
        <v>19850</v>
      </c>
      <c r="AZ81" s="5">
        <v>1419.5</v>
      </c>
      <c r="BA81" s="16">
        <v>287.60000000000002</v>
      </c>
      <c r="BB81" s="25">
        <v>21280</v>
      </c>
      <c r="BC81" s="26">
        <v>1521.6</v>
      </c>
      <c r="BD81" s="27">
        <v>308.89999999999998</v>
      </c>
      <c r="BE81" s="65" t="s">
        <v>109</v>
      </c>
      <c r="BF81" s="18">
        <v>23110</v>
      </c>
      <c r="BG81" s="5">
        <v>1652.47</v>
      </c>
      <c r="BH81" s="16">
        <v>335.45706358999996</v>
      </c>
      <c r="BI81" s="10">
        <v>24040</v>
      </c>
      <c r="BJ81" s="5">
        <v>1718.8</v>
      </c>
      <c r="BK81" s="16">
        <v>348.92817439999999</v>
      </c>
      <c r="BL81" s="18">
        <v>24690</v>
      </c>
      <c r="BM81" s="5">
        <v>1765.4</v>
      </c>
      <c r="BN81" s="16">
        <v>358.38498920000001</v>
      </c>
      <c r="BO81" s="18">
        <v>26970</v>
      </c>
      <c r="BP81" s="5">
        <v>1927.81</v>
      </c>
      <c r="BQ81" s="16">
        <v>391.33344869000001</v>
      </c>
      <c r="BR81" s="18">
        <v>29070</v>
      </c>
      <c r="BS81" s="5">
        <v>2077.92</v>
      </c>
      <c r="BT81" s="16">
        <v>421.79976161000002</v>
      </c>
      <c r="BU81" s="18">
        <v>30230</v>
      </c>
      <c r="BV81" s="5">
        <v>2161.37</v>
      </c>
      <c r="BW81" s="16">
        <v>438.76010749</v>
      </c>
    </row>
    <row r="82" spans="1:75" x14ac:dyDescent="0.2">
      <c r="A82" s="21" t="s">
        <v>110</v>
      </c>
      <c r="B82" s="10">
        <v>3610</v>
      </c>
      <c r="C82" s="5">
        <v>261.58591890000002</v>
      </c>
      <c r="D82" s="5">
        <v>70.503209099999992</v>
      </c>
      <c r="E82" s="18">
        <v>4680</v>
      </c>
      <c r="F82" s="5">
        <v>339.12018039999998</v>
      </c>
      <c r="G82" s="5">
        <v>91.400471299999992</v>
      </c>
      <c r="H82" s="18">
        <v>5030</v>
      </c>
      <c r="I82" s="5">
        <v>364.6</v>
      </c>
      <c r="J82" s="16">
        <v>98.3</v>
      </c>
      <c r="K82" s="18">
        <v>5430</v>
      </c>
      <c r="L82" s="5">
        <v>393.5</v>
      </c>
      <c r="M82" s="5">
        <v>106.1</v>
      </c>
      <c r="N82" s="18">
        <v>6830</v>
      </c>
      <c r="O82" s="5">
        <v>495.1</v>
      </c>
      <c r="P82" s="5">
        <v>133.5</v>
      </c>
      <c r="Q82" s="18">
        <v>7110</v>
      </c>
      <c r="R82" s="5">
        <v>515.5</v>
      </c>
      <c r="S82" s="5">
        <v>139</v>
      </c>
      <c r="T82" s="18">
        <v>8170</v>
      </c>
      <c r="U82" s="5">
        <v>592.20000000000005</v>
      </c>
      <c r="V82" s="5">
        <v>159.6</v>
      </c>
      <c r="W82" s="18">
        <v>10120</v>
      </c>
      <c r="X82" s="5">
        <v>733.4</v>
      </c>
      <c r="Y82" s="5">
        <v>197.7</v>
      </c>
      <c r="Z82" s="18">
        <v>11330</v>
      </c>
      <c r="AA82" s="5">
        <v>821.5</v>
      </c>
      <c r="AB82" s="16">
        <v>213.2</v>
      </c>
      <c r="AC82" s="21" t="s">
        <v>110</v>
      </c>
      <c r="AD82" s="10">
        <v>12610</v>
      </c>
      <c r="AE82" s="5">
        <v>914.3</v>
      </c>
      <c r="AF82" s="16">
        <v>215.6</v>
      </c>
      <c r="AG82" s="10">
        <v>11370</v>
      </c>
      <c r="AH82" s="5">
        <v>824.3</v>
      </c>
      <c r="AI82" s="16">
        <v>181.6</v>
      </c>
      <c r="AJ82" s="10">
        <v>14580</v>
      </c>
      <c r="AK82" s="5">
        <v>1057.5</v>
      </c>
      <c r="AL82" s="16">
        <v>216.6</v>
      </c>
      <c r="AM82" s="10">
        <v>14980</v>
      </c>
      <c r="AN82" s="5">
        <v>1085.9000000000001</v>
      </c>
      <c r="AO82" s="16">
        <v>222.3</v>
      </c>
      <c r="AP82" s="10">
        <v>17740</v>
      </c>
      <c r="AQ82" s="5">
        <v>1285.8</v>
      </c>
      <c r="AR82" s="16">
        <v>263.2</v>
      </c>
      <c r="AS82" s="10">
        <v>19350</v>
      </c>
      <c r="AT82" s="5">
        <v>1402.6</v>
      </c>
      <c r="AU82" s="16">
        <v>287.10000000000002</v>
      </c>
      <c r="AV82" s="10">
        <v>17550</v>
      </c>
      <c r="AW82" s="5">
        <v>1272</v>
      </c>
      <c r="AX82" s="16">
        <v>260</v>
      </c>
      <c r="AY82" s="10">
        <v>18880</v>
      </c>
      <c r="AZ82" s="5">
        <v>1368.7</v>
      </c>
      <c r="BA82" s="16">
        <v>279.7</v>
      </c>
      <c r="BB82" s="25">
        <v>20160</v>
      </c>
      <c r="BC82" s="26">
        <v>1461.7</v>
      </c>
      <c r="BD82" s="27">
        <v>299.3</v>
      </c>
      <c r="BE82" s="65" t="s">
        <v>110</v>
      </c>
      <c r="BF82" s="18">
        <v>21830</v>
      </c>
      <c r="BG82" s="5">
        <v>1582.58</v>
      </c>
      <c r="BH82" s="16">
        <v>324.03662291000001</v>
      </c>
      <c r="BI82" s="10">
        <v>22940</v>
      </c>
      <c r="BJ82" s="5">
        <v>1663.2</v>
      </c>
      <c r="BK82" s="16">
        <v>340.54393589999995</v>
      </c>
      <c r="BL82" s="18">
        <v>23420</v>
      </c>
      <c r="BM82" s="5">
        <v>1697.5</v>
      </c>
      <c r="BN82" s="16">
        <v>347.57776610000002</v>
      </c>
      <c r="BO82" s="18">
        <v>26060</v>
      </c>
      <c r="BP82" s="5">
        <v>1889.27</v>
      </c>
      <c r="BQ82" s="16">
        <v>386.83218597000001</v>
      </c>
      <c r="BR82" s="18">
        <v>27620</v>
      </c>
      <c r="BS82" s="5">
        <v>2002.18</v>
      </c>
      <c r="BT82" s="16">
        <v>409.95468105999998</v>
      </c>
      <c r="BU82" s="18">
        <v>29510</v>
      </c>
      <c r="BV82" s="5">
        <v>2139.1999999999998</v>
      </c>
      <c r="BW82" s="16">
        <v>438.02108289999995</v>
      </c>
    </row>
    <row r="83" spans="1:75" x14ac:dyDescent="0.2">
      <c r="A83" s="21" t="s">
        <v>111</v>
      </c>
      <c r="B83" s="10">
        <v>3220</v>
      </c>
      <c r="C83" s="5">
        <v>236.80545990000002</v>
      </c>
      <c r="D83" s="5">
        <v>64.243530200000009</v>
      </c>
      <c r="E83" s="18">
        <v>4580</v>
      </c>
      <c r="F83" s="5">
        <v>336.5848158</v>
      </c>
      <c r="G83" s="5">
        <v>91.277203499999999</v>
      </c>
      <c r="H83" s="18">
        <v>4930</v>
      </c>
      <c r="I83" s="5">
        <v>362.3</v>
      </c>
      <c r="J83" s="16">
        <v>98.3</v>
      </c>
      <c r="K83" s="18">
        <v>5580</v>
      </c>
      <c r="L83" s="5">
        <v>410.1</v>
      </c>
      <c r="M83" s="5">
        <v>111.2</v>
      </c>
      <c r="N83" s="18">
        <v>7160</v>
      </c>
      <c r="O83" s="5">
        <v>526.29999999999995</v>
      </c>
      <c r="P83" s="5">
        <v>142.80000000000001</v>
      </c>
      <c r="Q83" s="18">
        <v>7390</v>
      </c>
      <c r="R83" s="5">
        <v>543.1</v>
      </c>
      <c r="S83" s="5">
        <v>147.30000000000001</v>
      </c>
      <c r="T83" s="18">
        <v>7870</v>
      </c>
      <c r="U83" s="5">
        <v>578.5</v>
      </c>
      <c r="V83" s="5">
        <v>156.9</v>
      </c>
      <c r="W83" s="18">
        <v>9100</v>
      </c>
      <c r="X83" s="5">
        <v>668.9</v>
      </c>
      <c r="Y83" s="5">
        <v>181.4</v>
      </c>
      <c r="Z83" s="18">
        <v>10640</v>
      </c>
      <c r="AA83" s="5">
        <v>782.1</v>
      </c>
      <c r="AB83" s="16">
        <v>204.4</v>
      </c>
      <c r="AC83" s="21" t="s">
        <v>111</v>
      </c>
      <c r="AD83" s="10">
        <v>12700</v>
      </c>
      <c r="AE83" s="5">
        <v>932.7</v>
      </c>
      <c r="AF83" s="16">
        <v>221.7</v>
      </c>
      <c r="AG83" s="10">
        <v>11470</v>
      </c>
      <c r="AH83" s="5">
        <v>843.1</v>
      </c>
      <c r="AI83" s="16">
        <v>187.3</v>
      </c>
      <c r="AJ83" s="10">
        <v>12710</v>
      </c>
      <c r="AK83" s="5">
        <v>934.2</v>
      </c>
      <c r="AL83" s="16">
        <v>192.9</v>
      </c>
      <c r="AM83" s="10">
        <v>14490</v>
      </c>
      <c r="AN83" s="5">
        <v>1064.9000000000001</v>
      </c>
      <c r="AO83" s="16">
        <v>219.9</v>
      </c>
      <c r="AP83" s="10">
        <v>16320</v>
      </c>
      <c r="AQ83" s="5">
        <v>1199.9000000000001</v>
      </c>
      <c r="AR83" s="16">
        <v>247.8</v>
      </c>
      <c r="AS83" s="10">
        <v>18230</v>
      </c>
      <c r="AT83" s="5">
        <v>1339.8</v>
      </c>
      <c r="AU83" s="16">
        <v>276.60000000000002</v>
      </c>
      <c r="AV83" s="10">
        <v>16540</v>
      </c>
      <c r="AW83" s="5">
        <v>1215.8</v>
      </c>
      <c r="AX83" s="16">
        <v>250.4</v>
      </c>
      <c r="AY83" s="10">
        <v>17880</v>
      </c>
      <c r="AZ83" s="5">
        <v>1314.4</v>
      </c>
      <c r="BA83" s="16">
        <v>270.7</v>
      </c>
      <c r="BB83" s="25">
        <v>19270</v>
      </c>
      <c r="BC83" s="26">
        <v>1416.6</v>
      </c>
      <c r="BD83" s="27">
        <v>292.5</v>
      </c>
      <c r="BE83" s="65" t="s">
        <v>111</v>
      </c>
      <c r="BF83" s="18">
        <v>20470</v>
      </c>
      <c r="BG83" s="5">
        <v>1504.43</v>
      </c>
      <c r="BH83" s="16">
        <v>310.60205907</v>
      </c>
      <c r="BI83" s="10">
        <v>21860</v>
      </c>
      <c r="BJ83" s="5">
        <v>1606.5</v>
      </c>
      <c r="BK83" s="16">
        <v>331.66722660000005</v>
      </c>
      <c r="BL83" s="18">
        <v>22440</v>
      </c>
      <c r="BM83" s="5">
        <v>1649.2</v>
      </c>
      <c r="BN83" s="16">
        <v>340.48852829999998</v>
      </c>
      <c r="BO83" s="18">
        <v>24670</v>
      </c>
      <c r="BP83" s="5">
        <v>1813.38</v>
      </c>
      <c r="BQ83" s="16">
        <v>374.38474017999999</v>
      </c>
      <c r="BR83" s="18">
        <v>26560</v>
      </c>
      <c r="BS83" s="5">
        <v>1952.35</v>
      </c>
      <c r="BT83" s="16">
        <v>403.07376008</v>
      </c>
      <c r="BU83" s="18">
        <v>28300</v>
      </c>
      <c r="BV83" s="5">
        <v>2080.34</v>
      </c>
      <c r="BW83" s="16">
        <v>429.50939944999999</v>
      </c>
    </row>
    <row r="84" spans="1:75" x14ac:dyDescent="0.2">
      <c r="A84" s="21" t="s">
        <v>112</v>
      </c>
      <c r="B84" s="10">
        <v>3670</v>
      </c>
      <c r="C84" s="5">
        <v>273.49627480000004</v>
      </c>
      <c r="D84" s="5">
        <v>74.624448299999997</v>
      </c>
      <c r="E84" s="18">
        <v>4000</v>
      </c>
      <c r="F84" s="5">
        <v>297.98823499999997</v>
      </c>
      <c r="G84" s="5">
        <v>81.295411000000001</v>
      </c>
      <c r="H84" s="18">
        <v>4570</v>
      </c>
      <c r="I84" s="5">
        <v>340.6</v>
      </c>
      <c r="J84" s="16">
        <v>92.9</v>
      </c>
      <c r="K84" s="18">
        <v>5180</v>
      </c>
      <c r="L84" s="5">
        <v>386</v>
      </c>
      <c r="M84" s="5">
        <v>105.3</v>
      </c>
      <c r="N84" s="18">
        <v>5770</v>
      </c>
      <c r="O84" s="5">
        <v>430.1</v>
      </c>
      <c r="P84" s="5">
        <v>117.4</v>
      </c>
      <c r="Q84" s="18">
        <v>6380</v>
      </c>
      <c r="R84" s="5">
        <v>475.4</v>
      </c>
      <c r="S84" s="5">
        <v>129.69999999999999</v>
      </c>
      <c r="T84" s="18">
        <v>6810</v>
      </c>
      <c r="U84" s="5">
        <v>507.3</v>
      </c>
      <c r="V84" s="5">
        <v>138.4</v>
      </c>
      <c r="W84" s="18">
        <v>9260</v>
      </c>
      <c r="X84" s="5">
        <v>689.9</v>
      </c>
      <c r="Y84" s="5">
        <v>188.2</v>
      </c>
      <c r="Z84" s="18">
        <v>10800</v>
      </c>
      <c r="AA84" s="5">
        <v>804.8</v>
      </c>
      <c r="AB84" s="16">
        <v>211.7</v>
      </c>
      <c r="AC84" s="21" t="s">
        <v>112</v>
      </c>
      <c r="AD84" s="10">
        <v>10960</v>
      </c>
      <c r="AE84" s="5">
        <v>816.7</v>
      </c>
      <c r="AF84" s="16">
        <v>195.8</v>
      </c>
      <c r="AG84" s="10">
        <v>12120</v>
      </c>
      <c r="AH84" s="5">
        <v>903.4</v>
      </c>
      <c r="AI84" s="16">
        <v>202.3</v>
      </c>
      <c r="AJ84" s="10">
        <v>12450</v>
      </c>
      <c r="AK84" s="5">
        <v>928</v>
      </c>
      <c r="AL84" s="16">
        <v>193.2</v>
      </c>
      <c r="AM84" s="10">
        <v>15100</v>
      </c>
      <c r="AN84" s="5">
        <v>1125</v>
      </c>
      <c r="AO84" s="16">
        <v>234.1</v>
      </c>
      <c r="AP84" s="10">
        <v>13710</v>
      </c>
      <c r="AQ84" s="5">
        <v>1021.6</v>
      </c>
      <c r="AR84" s="16">
        <v>212.6</v>
      </c>
      <c r="AS84" s="10">
        <v>17060</v>
      </c>
      <c r="AT84" s="5">
        <v>1271.4000000000001</v>
      </c>
      <c r="AU84" s="16">
        <v>264.7</v>
      </c>
      <c r="AV84" s="10">
        <v>16730</v>
      </c>
      <c r="AW84" s="5">
        <v>1246.9000000000001</v>
      </c>
      <c r="AX84" s="16">
        <v>259</v>
      </c>
      <c r="AY84" s="10">
        <v>18580</v>
      </c>
      <c r="AZ84" s="5">
        <v>1384.3</v>
      </c>
      <c r="BA84" s="16">
        <v>287.60000000000002</v>
      </c>
      <c r="BB84" s="25">
        <v>18980</v>
      </c>
      <c r="BC84" s="26">
        <v>1414.4</v>
      </c>
      <c r="BD84" s="27">
        <v>294.39999999999998</v>
      </c>
      <c r="BE84" s="65" t="s">
        <v>112</v>
      </c>
      <c r="BF84" s="18">
        <v>20240</v>
      </c>
      <c r="BG84" s="5">
        <v>1507.82</v>
      </c>
      <c r="BH84" s="16">
        <v>313.84454993000003</v>
      </c>
      <c r="BI84" s="10">
        <v>21510</v>
      </c>
      <c r="BJ84" s="5">
        <v>1602.9</v>
      </c>
      <c r="BK84" s="16">
        <v>333.63132619999999</v>
      </c>
      <c r="BL84" s="18">
        <v>22010</v>
      </c>
      <c r="BM84" s="5">
        <v>1640.1</v>
      </c>
      <c r="BN84" s="16">
        <v>341.36149939999996</v>
      </c>
      <c r="BO84" s="18">
        <v>24130</v>
      </c>
      <c r="BP84" s="5">
        <v>1797.58</v>
      </c>
      <c r="BQ84" s="16">
        <v>374.11903149</v>
      </c>
      <c r="BR84" s="18">
        <v>25890</v>
      </c>
      <c r="BS84" s="5">
        <v>1929.24</v>
      </c>
      <c r="BT84" s="16">
        <v>401.53971641999999</v>
      </c>
      <c r="BU84" s="18">
        <v>28030</v>
      </c>
      <c r="BV84" s="5">
        <v>2088.41</v>
      </c>
      <c r="BW84" s="16">
        <v>434.63582514999996</v>
      </c>
    </row>
    <row r="85" spans="1:75" x14ac:dyDescent="0.2">
      <c r="A85" s="21" t="s">
        <v>113</v>
      </c>
      <c r="B85" s="10">
        <v>3010</v>
      </c>
      <c r="C85" s="5">
        <v>227.23101740000001</v>
      </c>
      <c r="D85" s="5">
        <v>62.342796799999995</v>
      </c>
      <c r="E85" s="18">
        <v>3460</v>
      </c>
      <c r="F85" s="5">
        <v>261.23800829999999</v>
      </c>
      <c r="G85" s="5">
        <v>71.677024200000005</v>
      </c>
      <c r="H85" s="18">
        <v>4000</v>
      </c>
      <c r="I85" s="5">
        <v>301.89999999999998</v>
      </c>
      <c r="J85" s="16">
        <v>82.8</v>
      </c>
      <c r="K85" s="18">
        <v>5660</v>
      </c>
      <c r="L85" s="5">
        <v>427.4</v>
      </c>
      <c r="M85" s="5">
        <v>117.3</v>
      </c>
      <c r="N85" s="18">
        <v>6520</v>
      </c>
      <c r="O85" s="5">
        <v>492.1</v>
      </c>
      <c r="P85" s="5">
        <v>135</v>
      </c>
      <c r="Q85" s="18">
        <v>6720</v>
      </c>
      <c r="R85" s="5">
        <v>507.4</v>
      </c>
      <c r="S85" s="5">
        <v>139.19999999999999</v>
      </c>
      <c r="T85" s="18">
        <v>6880</v>
      </c>
      <c r="U85" s="5">
        <v>519.4</v>
      </c>
      <c r="V85" s="5">
        <v>142.5</v>
      </c>
      <c r="W85" s="18">
        <v>7910</v>
      </c>
      <c r="X85" s="5">
        <v>597.20000000000005</v>
      </c>
      <c r="Y85" s="5">
        <v>163.9</v>
      </c>
      <c r="Z85" s="18">
        <v>10440</v>
      </c>
      <c r="AA85" s="5">
        <v>788.3</v>
      </c>
      <c r="AB85" s="16">
        <v>208.7</v>
      </c>
      <c r="AC85" s="21" t="s">
        <v>113</v>
      </c>
      <c r="AD85" s="10">
        <v>10730</v>
      </c>
      <c r="AE85" s="5">
        <v>810</v>
      </c>
      <c r="AF85" s="16">
        <v>195.7</v>
      </c>
      <c r="AG85" s="10">
        <v>10190</v>
      </c>
      <c r="AH85" s="5">
        <v>769.3</v>
      </c>
      <c r="AI85" s="16">
        <v>173.6</v>
      </c>
      <c r="AJ85" s="10">
        <v>12950</v>
      </c>
      <c r="AK85" s="5">
        <v>978</v>
      </c>
      <c r="AL85" s="16">
        <v>205.2</v>
      </c>
      <c r="AM85" s="10">
        <v>13520</v>
      </c>
      <c r="AN85" s="5">
        <v>1020.5</v>
      </c>
      <c r="AO85" s="16">
        <v>214</v>
      </c>
      <c r="AP85" s="10">
        <v>15070</v>
      </c>
      <c r="AQ85" s="5">
        <v>1138.2</v>
      </c>
      <c r="AR85" s="16">
        <v>238.8</v>
      </c>
      <c r="AS85" s="10">
        <v>16660</v>
      </c>
      <c r="AT85" s="5">
        <v>1257.9000000000001</v>
      </c>
      <c r="AU85" s="16">
        <v>263.8</v>
      </c>
      <c r="AV85" s="10">
        <v>16510</v>
      </c>
      <c r="AW85" s="5">
        <v>1246.5</v>
      </c>
      <c r="AX85" s="16">
        <v>260.89999999999998</v>
      </c>
      <c r="AY85" s="10">
        <v>17820</v>
      </c>
      <c r="AZ85" s="5">
        <v>1345.3</v>
      </c>
      <c r="BA85" s="16">
        <v>281.39999999999998</v>
      </c>
      <c r="BB85" s="25">
        <v>18590</v>
      </c>
      <c r="BC85" s="26">
        <v>1403.5</v>
      </c>
      <c r="BD85" s="27">
        <v>294.39999999999998</v>
      </c>
      <c r="BE85" s="65" t="s">
        <v>113</v>
      </c>
      <c r="BF85" s="18">
        <v>20080</v>
      </c>
      <c r="BG85" s="5">
        <v>1515.76</v>
      </c>
      <c r="BH85" s="16">
        <v>317.90201717000002</v>
      </c>
      <c r="BI85" s="10">
        <v>21250</v>
      </c>
      <c r="BJ85" s="5">
        <v>1604.5</v>
      </c>
      <c r="BK85" s="16">
        <v>336.50652610000003</v>
      </c>
      <c r="BL85" s="18">
        <v>21750</v>
      </c>
      <c r="BM85" s="5">
        <v>1642.1</v>
      </c>
      <c r="BN85" s="16">
        <v>344.37383769999997</v>
      </c>
      <c r="BO85" s="18">
        <v>23670</v>
      </c>
      <c r="BP85" s="5">
        <v>1786.67</v>
      </c>
      <c r="BQ85" s="16">
        <v>374.68225486</v>
      </c>
      <c r="BR85" s="18">
        <v>25910</v>
      </c>
      <c r="BS85" s="5">
        <v>1955.86</v>
      </c>
      <c r="BT85" s="16">
        <v>410.17021158</v>
      </c>
      <c r="BU85" s="18">
        <v>28020</v>
      </c>
      <c r="BV85" s="5">
        <v>2114.9699999999998</v>
      </c>
      <c r="BW85" s="16">
        <v>443.54387731000003</v>
      </c>
    </row>
    <row r="86" spans="1:75" x14ac:dyDescent="0.2">
      <c r="A86" s="21" t="s">
        <v>114</v>
      </c>
      <c r="B86" s="10">
        <v>3150</v>
      </c>
      <c r="C86" s="5">
        <v>241.09582349999999</v>
      </c>
      <c r="D86" s="5">
        <v>66.527871500000003</v>
      </c>
      <c r="E86" s="18">
        <v>3190</v>
      </c>
      <c r="F86" s="5">
        <v>243.93230399999999</v>
      </c>
      <c r="G86" s="5">
        <v>67.276353999999998</v>
      </c>
      <c r="H86" s="18">
        <v>3900</v>
      </c>
      <c r="I86" s="5">
        <v>298.2</v>
      </c>
      <c r="J86" s="16">
        <v>82.3</v>
      </c>
      <c r="K86" s="18">
        <v>4690</v>
      </c>
      <c r="L86" s="5">
        <v>358.7</v>
      </c>
      <c r="M86" s="5">
        <v>99</v>
      </c>
      <c r="N86" s="18">
        <v>5700</v>
      </c>
      <c r="O86" s="5">
        <v>436.2</v>
      </c>
      <c r="P86" s="5">
        <v>120.4</v>
      </c>
      <c r="Q86" s="18">
        <v>5570</v>
      </c>
      <c r="R86" s="5">
        <v>426.1</v>
      </c>
      <c r="S86" s="5">
        <v>117.6</v>
      </c>
      <c r="T86" s="18">
        <v>7020</v>
      </c>
      <c r="U86" s="5">
        <v>537</v>
      </c>
      <c r="V86" s="5">
        <v>148.1</v>
      </c>
      <c r="W86" s="18">
        <v>8160</v>
      </c>
      <c r="X86" s="5">
        <v>624.29999999999995</v>
      </c>
      <c r="Y86" s="5">
        <v>172.2</v>
      </c>
      <c r="Z86" s="18">
        <v>9170</v>
      </c>
      <c r="AA86" s="5">
        <v>701.6</v>
      </c>
      <c r="AB86" s="16">
        <v>186.9</v>
      </c>
      <c r="AC86" s="21" t="s">
        <v>114</v>
      </c>
      <c r="AD86" s="10">
        <v>9900</v>
      </c>
      <c r="AE86" s="5">
        <v>757.5</v>
      </c>
      <c r="AF86" s="16">
        <v>184.4</v>
      </c>
      <c r="AG86" s="10">
        <v>10980</v>
      </c>
      <c r="AH86" s="5">
        <v>839.7</v>
      </c>
      <c r="AI86" s="16">
        <v>190.9</v>
      </c>
      <c r="AJ86" s="10">
        <v>11720</v>
      </c>
      <c r="AK86" s="5">
        <v>896.6</v>
      </c>
      <c r="AL86" s="16">
        <v>189.5</v>
      </c>
      <c r="AM86" s="10">
        <v>12330</v>
      </c>
      <c r="AN86" s="5">
        <v>943.2</v>
      </c>
      <c r="AO86" s="16">
        <v>199.3</v>
      </c>
      <c r="AP86" s="10">
        <v>13820</v>
      </c>
      <c r="AQ86" s="5">
        <v>1057.3</v>
      </c>
      <c r="AR86" s="16">
        <v>223.4</v>
      </c>
      <c r="AS86" s="10">
        <v>14190</v>
      </c>
      <c r="AT86" s="5">
        <v>1085.7</v>
      </c>
      <c r="AU86" s="16">
        <v>229.4</v>
      </c>
      <c r="AV86" s="10">
        <v>16220</v>
      </c>
      <c r="AW86" s="5">
        <v>1240.5</v>
      </c>
      <c r="AX86" s="16">
        <v>261.5</v>
      </c>
      <c r="AY86" s="10">
        <v>16090</v>
      </c>
      <c r="AZ86" s="5">
        <v>1230.7</v>
      </c>
      <c r="BA86" s="16">
        <v>259.5</v>
      </c>
      <c r="BB86" s="25">
        <v>17910</v>
      </c>
      <c r="BC86" s="26">
        <v>1370.5</v>
      </c>
      <c r="BD86" s="27">
        <v>289.60000000000002</v>
      </c>
      <c r="BE86" s="65" t="s">
        <v>114</v>
      </c>
      <c r="BF86" s="18">
        <v>18930</v>
      </c>
      <c r="BG86" s="5">
        <v>1448.07</v>
      </c>
      <c r="BH86" s="16">
        <v>305.98644017000004</v>
      </c>
      <c r="BI86" s="10">
        <v>19940</v>
      </c>
      <c r="BJ86" s="5">
        <v>1525.2</v>
      </c>
      <c r="BK86" s="16">
        <v>322.26822499999997</v>
      </c>
      <c r="BL86" s="18">
        <v>20530</v>
      </c>
      <c r="BM86" s="5">
        <v>1570.6</v>
      </c>
      <c r="BN86" s="16">
        <v>331.87871839999997</v>
      </c>
      <c r="BO86" s="18">
        <v>22680</v>
      </c>
      <c r="BP86" s="5">
        <v>1734.97</v>
      </c>
      <c r="BQ86" s="16">
        <v>366.60594957999996</v>
      </c>
      <c r="BR86" s="18">
        <v>24540</v>
      </c>
      <c r="BS86" s="5">
        <v>1876.84</v>
      </c>
      <c r="BT86" s="16">
        <v>396.57797648000002</v>
      </c>
      <c r="BU86" s="18">
        <v>26560</v>
      </c>
      <c r="BV86" s="5">
        <v>2031.77</v>
      </c>
      <c r="BW86" s="16">
        <v>429.32655101</v>
      </c>
    </row>
    <row r="87" spans="1:75" x14ac:dyDescent="0.2">
      <c r="A87" s="21" t="s">
        <v>115</v>
      </c>
      <c r="B87" s="10">
        <v>3040</v>
      </c>
      <c r="C87" s="5">
        <v>235.6251279</v>
      </c>
      <c r="D87" s="5">
        <v>65.354600200000007</v>
      </c>
      <c r="E87" s="18">
        <v>4020</v>
      </c>
      <c r="F87" s="5">
        <v>311.60825199999999</v>
      </c>
      <c r="G87" s="5">
        <v>86.432618300000001</v>
      </c>
      <c r="H87" s="18">
        <v>4070</v>
      </c>
      <c r="I87" s="5">
        <v>315.60000000000002</v>
      </c>
      <c r="J87" s="16">
        <v>87.5</v>
      </c>
      <c r="K87" s="18">
        <v>4000</v>
      </c>
      <c r="L87" s="5">
        <v>309.89999999999998</v>
      </c>
      <c r="M87" s="5">
        <v>85.9</v>
      </c>
      <c r="N87" s="18">
        <v>5440</v>
      </c>
      <c r="O87" s="5">
        <v>421.5</v>
      </c>
      <c r="P87" s="5">
        <v>116.9</v>
      </c>
      <c r="Q87" s="18">
        <v>6270</v>
      </c>
      <c r="R87" s="5">
        <v>485.9</v>
      </c>
      <c r="S87" s="5">
        <v>134.69999999999999</v>
      </c>
      <c r="T87" s="18">
        <v>6380</v>
      </c>
      <c r="U87" s="5">
        <v>494.2</v>
      </c>
      <c r="V87" s="5">
        <v>137</v>
      </c>
      <c r="W87" s="18">
        <v>7480</v>
      </c>
      <c r="X87" s="5">
        <v>579.9</v>
      </c>
      <c r="Y87" s="5">
        <v>160.9</v>
      </c>
      <c r="Z87" s="18">
        <v>8600</v>
      </c>
      <c r="AA87" s="5">
        <v>666.6</v>
      </c>
      <c r="AB87" s="16">
        <v>178.6</v>
      </c>
      <c r="AC87" s="21" t="s">
        <v>115</v>
      </c>
      <c r="AD87" s="10">
        <v>8600</v>
      </c>
      <c r="AE87" s="5">
        <v>666.6</v>
      </c>
      <c r="AF87" s="16">
        <v>163.4</v>
      </c>
      <c r="AG87" s="10">
        <v>11070</v>
      </c>
      <c r="AH87" s="5">
        <v>858.3</v>
      </c>
      <c r="AI87" s="16">
        <v>196.6</v>
      </c>
      <c r="AJ87" s="10">
        <v>10430</v>
      </c>
      <c r="AK87" s="5">
        <v>808.7</v>
      </c>
      <c r="AL87" s="16">
        <v>172.2</v>
      </c>
      <c r="AM87" s="10">
        <v>12110</v>
      </c>
      <c r="AN87" s="5">
        <v>938.4</v>
      </c>
      <c r="AO87" s="16">
        <v>199.7</v>
      </c>
      <c r="AP87" s="10">
        <v>13030</v>
      </c>
      <c r="AQ87" s="5">
        <v>1010.2</v>
      </c>
      <c r="AR87" s="16">
        <v>215</v>
      </c>
      <c r="AS87" s="10">
        <v>15280</v>
      </c>
      <c r="AT87" s="5">
        <v>1184.2</v>
      </c>
      <c r="AU87" s="16">
        <v>252</v>
      </c>
      <c r="AV87" s="10">
        <v>15340</v>
      </c>
      <c r="AW87" s="5">
        <v>1189</v>
      </c>
      <c r="AX87" s="16">
        <v>252.4</v>
      </c>
      <c r="AY87" s="10">
        <v>15900</v>
      </c>
      <c r="AZ87" s="5">
        <v>1232.5</v>
      </c>
      <c r="BA87" s="16">
        <v>261.89999999999998</v>
      </c>
      <c r="BB87" s="25">
        <v>17420</v>
      </c>
      <c r="BC87" s="26">
        <v>1349.7</v>
      </c>
      <c r="BD87" s="27">
        <v>287.3</v>
      </c>
      <c r="BE87" s="65" t="s">
        <v>115</v>
      </c>
      <c r="BF87" s="18">
        <v>18710</v>
      </c>
      <c r="BG87" s="5">
        <v>1450.16</v>
      </c>
      <c r="BH87" s="16">
        <v>308.67480454000003</v>
      </c>
      <c r="BI87" s="10">
        <v>19370</v>
      </c>
      <c r="BJ87" s="5">
        <v>1501.6</v>
      </c>
      <c r="BK87" s="16">
        <v>319.61085480000003</v>
      </c>
      <c r="BL87" s="18">
        <v>19960</v>
      </c>
      <c r="BM87" s="5">
        <v>1546.8</v>
      </c>
      <c r="BN87" s="16">
        <v>329.19029039999998</v>
      </c>
      <c r="BO87" s="18">
        <v>22080</v>
      </c>
      <c r="BP87" s="5">
        <v>1711.01</v>
      </c>
      <c r="BQ87" s="16">
        <v>364.16520926999999</v>
      </c>
      <c r="BR87" s="18">
        <v>24090</v>
      </c>
      <c r="BS87" s="5">
        <v>1866.84</v>
      </c>
      <c r="BT87" s="16">
        <v>397.33617433999996</v>
      </c>
      <c r="BU87" s="18">
        <v>25660</v>
      </c>
      <c r="BV87" s="5">
        <v>1988.78</v>
      </c>
      <c r="BW87" s="16">
        <v>423.29347264999996</v>
      </c>
    </row>
    <row r="88" spans="1:75" x14ac:dyDescent="0.2">
      <c r="A88" s="21" t="s">
        <v>116</v>
      </c>
      <c r="B88" s="10">
        <v>3040</v>
      </c>
      <c r="C88" s="5">
        <v>238.60902719999999</v>
      </c>
      <c r="D88" s="5">
        <v>66.518321799999995</v>
      </c>
      <c r="E88" s="18">
        <v>3540</v>
      </c>
      <c r="F88" s="5">
        <v>277.88784169999997</v>
      </c>
      <c r="G88" s="5">
        <v>77.472058500000003</v>
      </c>
      <c r="H88" s="18">
        <v>4030</v>
      </c>
      <c r="I88" s="5">
        <v>316.2</v>
      </c>
      <c r="J88" s="16">
        <v>88.1</v>
      </c>
      <c r="K88" s="18">
        <v>3940</v>
      </c>
      <c r="L88" s="5">
        <v>309.10000000000002</v>
      </c>
      <c r="M88" s="5">
        <v>86.2</v>
      </c>
      <c r="N88" s="18">
        <v>5320</v>
      </c>
      <c r="O88" s="5">
        <v>417.6</v>
      </c>
      <c r="P88" s="5">
        <v>116.4</v>
      </c>
      <c r="Q88" s="18">
        <v>6240</v>
      </c>
      <c r="R88" s="5">
        <v>489.8</v>
      </c>
      <c r="S88" s="5">
        <v>136.6</v>
      </c>
      <c r="T88" s="18">
        <v>7080</v>
      </c>
      <c r="U88" s="5">
        <v>555.6</v>
      </c>
      <c r="V88" s="5">
        <v>154.9</v>
      </c>
      <c r="W88" s="18">
        <v>6150</v>
      </c>
      <c r="X88" s="5">
        <v>482.7</v>
      </c>
      <c r="Y88" s="5">
        <v>134.6</v>
      </c>
      <c r="Z88" s="18">
        <v>8210</v>
      </c>
      <c r="AA88" s="5">
        <v>644.5</v>
      </c>
      <c r="AB88" s="16">
        <v>173.7</v>
      </c>
      <c r="AC88" s="21" t="s">
        <v>116</v>
      </c>
      <c r="AD88" s="10">
        <v>7670</v>
      </c>
      <c r="AE88" s="5">
        <v>602</v>
      </c>
      <c r="AF88" s="16">
        <v>148.6</v>
      </c>
      <c r="AG88" s="10">
        <v>10060</v>
      </c>
      <c r="AH88" s="5">
        <v>789.7</v>
      </c>
      <c r="AI88" s="16">
        <v>182.1</v>
      </c>
      <c r="AJ88" s="10">
        <v>10450</v>
      </c>
      <c r="AK88" s="5">
        <v>820.3</v>
      </c>
      <c r="AL88" s="16">
        <v>175.8</v>
      </c>
      <c r="AM88" s="10">
        <v>11960</v>
      </c>
      <c r="AN88" s="5">
        <v>939</v>
      </c>
      <c r="AO88" s="16">
        <v>201.3</v>
      </c>
      <c r="AP88" s="10">
        <v>11960</v>
      </c>
      <c r="AQ88" s="5">
        <v>938.6</v>
      </c>
      <c r="AR88" s="16">
        <v>201.1</v>
      </c>
      <c r="AS88" s="10">
        <v>14250</v>
      </c>
      <c r="AT88" s="5">
        <v>1118.5999999999999</v>
      </c>
      <c r="AU88" s="16">
        <v>239.7</v>
      </c>
      <c r="AV88" s="10">
        <v>14220</v>
      </c>
      <c r="AW88" s="5">
        <v>1116</v>
      </c>
      <c r="AX88" s="16">
        <v>238.4</v>
      </c>
      <c r="AY88" s="10">
        <v>15530</v>
      </c>
      <c r="AZ88" s="5">
        <v>1218.9000000000001</v>
      </c>
      <c r="BA88" s="16">
        <v>260.5</v>
      </c>
      <c r="BB88" s="25">
        <v>15930</v>
      </c>
      <c r="BC88" s="26">
        <v>1250.5</v>
      </c>
      <c r="BD88" s="27">
        <v>268</v>
      </c>
      <c r="BE88" s="65" t="s">
        <v>116</v>
      </c>
      <c r="BF88" s="18">
        <v>18490</v>
      </c>
      <c r="BG88" s="5">
        <v>1451.28</v>
      </c>
      <c r="BH88" s="16">
        <v>311.04275742000004</v>
      </c>
      <c r="BI88" s="10">
        <v>18430</v>
      </c>
      <c r="BJ88" s="5">
        <v>1447</v>
      </c>
      <c r="BK88" s="16">
        <v>310.13197589999999</v>
      </c>
      <c r="BL88" s="18">
        <v>19020</v>
      </c>
      <c r="BM88" s="5">
        <v>1493.4</v>
      </c>
      <c r="BN88" s="16">
        <v>320.0754718</v>
      </c>
      <c r="BO88" s="18">
        <v>21240</v>
      </c>
      <c r="BP88" s="5">
        <v>1667.05</v>
      </c>
      <c r="BQ88" s="16">
        <v>357.28433794</v>
      </c>
      <c r="BR88" s="18">
        <v>23310</v>
      </c>
      <c r="BS88" s="5">
        <v>1830.11</v>
      </c>
      <c r="BT88" s="16">
        <v>392.24511172000001</v>
      </c>
      <c r="BU88" s="18">
        <v>25390</v>
      </c>
      <c r="BV88" s="5">
        <v>1993.02</v>
      </c>
      <c r="BW88" s="16">
        <v>427.15326754</v>
      </c>
    </row>
    <row r="89" spans="1:75" x14ac:dyDescent="0.2">
      <c r="A89" s="21" t="s">
        <v>117</v>
      </c>
      <c r="B89" s="10">
        <v>3430</v>
      </c>
      <c r="C89" s="5">
        <v>272.7774928</v>
      </c>
      <c r="D89" s="5">
        <v>76.439323099999996</v>
      </c>
      <c r="E89" s="18">
        <v>2910</v>
      </c>
      <c r="F89" s="5">
        <v>231.31017919999999</v>
      </c>
      <c r="G89" s="5">
        <v>64.806670600000004</v>
      </c>
      <c r="H89" s="18">
        <v>3600</v>
      </c>
      <c r="I89" s="5">
        <v>286.2</v>
      </c>
      <c r="J89" s="16">
        <v>80.2</v>
      </c>
      <c r="K89" s="18">
        <v>4510</v>
      </c>
      <c r="L89" s="5">
        <v>358.6</v>
      </c>
      <c r="M89" s="5">
        <v>100.5</v>
      </c>
      <c r="N89" s="18">
        <v>4210</v>
      </c>
      <c r="O89" s="5">
        <v>334.8</v>
      </c>
      <c r="P89" s="5">
        <v>93.8</v>
      </c>
      <c r="Q89" s="18">
        <v>5820</v>
      </c>
      <c r="R89" s="5">
        <v>462.9</v>
      </c>
      <c r="S89" s="5">
        <v>129.69999999999999</v>
      </c>
      <c r="T89" s="18">
        <v>6920</v>
      </c>
      <c r="U89" s="5">
        <v>550.4</v>
      </c>
      <c r="V89" s="5">
        <v>154.30000000000001</v>
      </c>
      <c r="W89" s="18">
        <v>7520</v>
      </c>
      <c r="X89" s="5">
        <v>597.70000000000005</v>
      </c>
      <c r="Y89" s="5">
        <v>167.5</v>
      </c>
      <c r="Z89" s="18">
        <v>8030</v>
      </c>
      <c r="AA89" s="5">
        <v>638.29999999999995</v>
      </c>
      <c r="AB89" s="16">
        <v>173</v>
      </c>
      <c r="AC89" s="21" t="s">
        <v>117</v>
      </c>
      <c r="AD89" s="10">
        <v>8500</v>
      </c>
      <c r="AE89" s="5">
        <v>676.1</v>
      </c>
      <c r="AF89" s="16">
        <v>168.1</v>
      </c>
      <c r="AG89" s="10">
        <v>8910</v>
      </c>
      <c r="AH89" s="5">
        <v>708.8</v>
      </c>
      <c r="AI89" s="16">
        <v>164.6</v>
      </c>
      <c r="AJ89" s="10">
        <v>11450</v>
      </c>
      <c r="AK89" s="5">
        <v>910.5</v>
      </c>
      <c r="AL89" s="16">
        <v>196.5</v>
      </c>
      <c r="AM89" s="10">
        <v>11970</v>
      </c>
      <c r="AN89" s="5">
        <v>951.7</v>
      </c>
      <c r="AO89" s="16">
        <v>205.4</v>
      </c>
      <c r="AP89" s="10">
        <v>13770</v>
      </c>
      <c r="AQ89" s="5">
        <v>1094.5999999999999</v>
      </c>
      <c r="AR89" s="16">
        <v>236.2</v>
      </c>
      <c r="AS89" s="10">
        <v>14020</v>
      </c>
      <c r="AT89" s="5">
        <v>1114.9000000000001</v>
      </c>
      <c r="AU89" s="16">
        <v>240.6</v>
      </c>
      <c r="AV89" s="10">
        <v>14870</v>
      </c>
      <c r="AW89" s="5">
        <v>1182.4000000000001</v>
      </c>
      <c r="AX89" s="16">
        <v>254.4</v>
      </c>
      <c r="AY89" s="10">
        <v>15770</v>
      </c>
      <c r="AZ89" s="5">
        <v>1253.9000000000001</v>
      </c>
      <c r="BA89" s="16">
        <v>270</v>
      </c>
      <c r="BB89" s="25">
        <v>17200</v>
      </c>
      <c r="BC89" s="26">
        <v>1368.1</v>
      </c>
      <c r="BD89" s="27">
        <v>295.3</v>
      </c>
      <c r="BE89" s="65" t="s">
        <v>117</v>
      </c>
      <c r="BF89" s="18">
        <v>18590</v>
      </c>
      <c r="BG89" s="5">
        <v>1478.46</v>
      </c>
      <c r="BH89" s="16">
        <v>319.08456166000002</v>
      </c>
      <c r="BI89" s="10">
        <v>19280</v>
      </c>
      <c r="BJ89" s="5">
        <v>1532.9</v>
      </c>
      <c r="BK89" s="16">
        <v>330.81541429999999</v>
      </c>
      <c r="BL89" s="18">
        <v>19030</v>
      </c>
      <c r="BM89" s="5">
        <v>1513.3</v>
      </c>
      <c r="BN89" s="16">
        <v>326.57373799999999</v>
      </c>
      <c r="BO89" s="18">
        <v>21420</v>
      </c>
      <c r="BP89" s="5">
        <v>1703.2</v>
      </c>
      <c r="BQ89" s="16">
        <v>367.55427554000005</v>
      </c>
      <c r="BR89" s="18">
        <v>23290</v>
      </c>
      <c r="BS89" s="5">
        <v>1851.8</v>
      </c>
      <c r="BT89" s="16">
        <v>399.61166043000003</v>
      </c>
      <c r="BU89" s="18">
        <v>24690</v>
      </c>
      <c r="BV89" s="5">
        <v>1962.71</v>
      </c>
      <c r="BW89" s="16">
        <v>423.54473417000003</v>
      </c>
    </row>
    <row r="90" spans="1:75" x14ac:dyDescent="0.2">
      <c r="A90" s="21" t="s">
        <v>118</v>
      </c>
      <c r="B90" s="10">
        <v>3340</v>
      </c>
      <c r="C90" s="5">
        <v>268.72574400000002</v>
      </c>
      <c r="D90" s="5">
        <v>75.644840200000004</v>
      </c>
      <c r="E90" s="18">
        <v>3110</v>
      </c>
      <c r="F90" s="5">
        <v>250.2222726</v>
      </c>
      <c r="G90" s="5">
        <v>70.436385599999994</v>
      </c>
      <c r="H90" s="18">
        <v>3110</v>
      </c>
      <c r="I90" s="5">
        <v>250.3</v>
      </c>
      <c r="J90" s="16">
        <v>70.5</v>
      </c>
      <c r="K90" s="18">
        <v>3820</v>
      </c>
      <c r="L90" s="5">
        <v>307.5</v>
      </c>
      <c r="M90" s="5">
        <v>86.6</v>
      </c>
      <c r="N90" s="18">
        <v>4430</v>
      </c>
      <c r="O90" s="5">
        <v>356.5</v>
      </c>
      <c r="P90" s="5">
        <v>100.4</v>
      </c>
      <c r="Q90" s="18">
        <v>5970</v>
      </c>
      <c r="R90" s="5">
        <v>480.4</v>
      </c>
      <c r="S90" s="5">
        <v>135.30000000000001</v>
      </c>
      <c r="T90" s="18">
        <v>6100</v>
      </c>
      <c r="U90" s="5">
        <v>491</v>
      </c>
      <c r="V90" s="5">
        <v>138.19999999999999</v>
      </c>
      <c r="W90" s="18">
        <v>6110</v>
      </c>
      <c r="X90" s="5">
        <v>492</v>
      </c>
      <c r="Y90" s="5">
        <v>138.5</v>
      </c>
      <c r="Z90" s="18">
        <v>7150</v>
      </c>
      <c r="AA90" s="5">
        <v>575.4</v>
      </c>
      <c r="AB90" s="16">
        <v>156.80000000000001</v>
      </c>
      <c r="AC90" s="21" t="s">
        <v>118</v>
      </c>
      <c r="AD90" s="10">
        <v>7840</v>
      </c>
      <c r="AE90" s="5">
        <v>631</v>
      </c>
      <c r="AF90" s="16">
        <v>157.9</v>
      </c>
      <c r="AG90" s="10">
        <v>9030</v>
      </c>
      <c r="AH90" s="5">
        <v>727</v>
      </c>
      <c r="AI90" s="16">
        <v>169.9</v>
      </c>
      <c r="AJ90" s="10">
        <v>9450</v>
      </c>
      <c r="AK90" s="5">
        <v>760.7</v>
      </c>
      <c r="AL90" s="16">
        <v>165.2</v>
      </c>
      <c r="AM90" s="10">
        <v>10260</v>
      </c>
      <c r="AN90" s="5">
        <v>825.5</v>
      </c>
      <c r="AO90" s="16">
        <v>179.2</v>
      </c>
      <c r="AP90" s="10">
        <v>12860</v>
      </c>
      <c r="AQ90" s="5">
        <v>1035.5</v>
      </c>
      <c r="AR90" s="16">
        <v>224.9</v>
      </c>
      <c r="AS90" s="10">
        <v>14800</v>
      </c>
      <c r="AT90" s="5">
        <v>1191.2</v>
      </c>
      <c r="AU90" s="16">
        <v>258.7</v>
      </c>
      <c r="AV90" s="10">
        <v>13720</v>
      </c>
      <c r="AW90" s="5">
        <v>1104.2</v>
      </c>
      <c r="AX90" s="16">
        <v>239.2</v>
      </c>
      <c r="AY90" s="10">
        <v>14280</v>
      </c>
      <c r="AZ90" s="5">
        <v>1149.5999999999999</v>
      </c>
      <c r="BA90" s="16">
        <v>248.8</v>
      </c>
      <c r="BB90" s="25">
        <v>15870</v>
      </c>
      <c r="BC90" s="26">
        <v>1277.5999999999999</v>
      </c>
      <c r="BD90" s="27">
        <v>277.5</v>
      </c>
      <c r="BE90" s="65" t="s">
        <v>118</v>
      </c>
      <c r="BF90" s="18">
        <v>17490</v>
      </c>
      <c r="BG90" s="5">
        <v>1408.05</v>
      </c>
      <c r="BH90" s="16">
        <v>305.81179510000004</v>
      </c>
      <c r="BI90" s="10">
        <v>19280</v>
      </c>
      <c r="BJ90" s="5">
        <v>1551.6</v>
      </c>
      <c r="BK90" s="16">
        <v>336.99163060000001</v>
      </c>
      <c r="BL90" s="18">
        <v>19350</v>
      </c>
      <c r="BM90" s="5">
        <v>1557.6</v>
      </c>
      <c r="BN90" s="16">
        <v>338.28669880000001</v>
      </c>
      <c r="BO90" s="18">
        <v>20790</v>
      </c>
      <c r="BP90" s="5">
        <v>1673.28</v>
      </c>
      <c r="BQ90" s="16">
        <v>363.39163080999998</v>
      </c>
      <c r="BR90" s="18">
        <v>23390</v>
      </c>
      <c r="BS90" s="5">
        <v>1882.04</v>
      </c>
      <c r="BT90" s="16">
        <v>408.73521933999996</v>
      </c>
      <c r="BU90" s="18">
        <v>25230</v>
      </c>
      <c r="BV90" s="5">
        <v>2030.28</v>
      </c>
      <c r="BW90" s="16">
        <v>440.94870062000001</v>
      </c>
    </row>
    <row r="91" spans="1:75" x14ac:dyDescent="0.2">
      <c r="A91" s="21" t="s">
        <v>119</v>
      </c>
      <c r="B91" s="10">
        <v>2720</v>
      </c>
      <c r="C91" s="5">
        <v>221.6415619</v>
      </c>
      <c r="D91" s="5">
        <v>62.694608500000001</v>
      </c>
      <c r="E91" s="18">
        <v>3240</v>
      </c>
      <c r="F91" s="5">
        <v>264.16537390000002</v>
      </c>
      <c r="G91" s="5">
        <v>74.739296400000001</v>
      </c>
      <c r="H91" s="18">
        <v>3100</v>
      </c>
      <c r="I91" s="5">
        <v>252.7</v>
      </c>
      <c r="J91" s="16">
        <v>71.5</v>
      </c>
      <c r="K91" s="18">
        <v>3730</v>
      </c>
      <c r="L91" s="5">
        <v>304.2</v>
      </c>
      <c r="M91" s="5">
        <v>86.1</v>
      </c>
      <c r="N91" s="18">
        <v>4740</v>
      </c>
      <c r="O91" s="5">
        <v>386.2</v>
      </c>
      <c r="P91" s="5">
        <v>109.2</v>
      </c>
      <c r="Q91" s="18">
        <v>4180</v>
      </c>
      <c r="R91" s="5">
        <v>340.9</v>
      </c>
      <c r="S91" s="5">
        <v>96.4</v>
      </c>
      <c r="T91" s="18">
        <v>6370</v>
      </c>
      <c r="U91" s="5">
        <v>519</v>
      </c>
      <c r="V91" s="5">
        <v>146.80000000000001</v>
      </c>
      <c r="W91" s="18">
        <v>6390</v>
      </c>
      <c r="X91" s="5">
        <v>521</v>
      </c>
      <c r="Y91" s="5">
        <v>147.4</v>
      </c>
      <c r="Z91" s="18">
        <v>7110</v>
      </c>
      <c r="AA91" s="5">
        <v>579.29999999999995</v>
      </c>
      <c r="AB91" s="16">
        <v>158.69999999999999</v>
      </c>
      <c r="AC91" s="21" t="s">
        <v>119</v>
      </c>
      <c r="AD91" s="10">
        <v>7410</v>
      </c>
      <c r="AE91" s="5">
        <v>604.29999999999995</v>
      </c>
      <c r="AF91" s="16">
        <v>152.19999999999999</v>
      </c>
      <c r="AG91" s="10">
        <v>7860</v>
      </c>
      <c r="AH91" s="5">
        <v>640.9</v>
      </c>
      <c r="AI91" s="16">
        <v>150.80000000000001</v>
      </c>
      <c r="AJ91" s="10">
        <v>9720</v>
      </c>
      <c r="AK91" s="5">
        <v>792.1</v>
      </c>
      <c r="AL91" s="16">
        <v>173.1</v>
      </c>
      <c r="AM91" s="10">
        <v>10400</v>
      </c>
      <c r="AN91" s="5">
        <v>847.4</v>
      </c>
      <c r="AO91" s="16">
        <v>185.2</v>
      </c>
      <c r="AP91" s="10">
        <v>10550</v>
      </c>
      <c r="AQ91" s="5">
        <v>860.1</v>
      </c>
      <c r="AR91" s="16">
        <v>188.1</v>
      </c>
      <c r="AS91" s="10">
        <v>10630</v>
      </c>
      <c r="AT91" s="5">
        <v>866.6</v>
      </c>
      <c r="AU91" s="16">
        <v>189.4</v>
      </c>
      <c r="AV91" s="10">
        <v>13360</v>
      </c>
      <c r="AW91" s="5">
        <v>1088.7</v>
      </c>
      <c r="AX91" s="16">
        <v>237.4</v>
      </c>
      <c r="AY91" s="10">
        <v>13610</v>
      </c>
      <c r="AZ91" s="5">
        <v>1109.4000000000001</v>
      </c>
      <c r="BA91" s="16">
        <v>241.8</v>
      </c>
      <c r="BB91" s="25">
        <v>14860</v>
      </c>
      <c r="BC91" s="26">
        <v>1211.3</v>
      </c>
      <c r="BD91" s="27">
        <v>264.8</v>
      </c>
      <c r="BE91" s="65" t="s">
        <v>119</v>
      </c>
      <c r="BF91" s="18">
        <v>16440</v>
      </c>
      <c r="BG91" s="5">
        <v>1340.23</v>
      </c>
      <c r="BH91" s="16">
        <v>292.96328205000003</v>
      </c>
      <c r="BI91" s="10">
        <v>17620</v>
      </c>
      <c r="BJ91" s="5">
        <v>1435.7</v>
      </c>
      <c r="BK91" s="16">
        <v>313.82172880000002</v>
      </c>
      <c r="BL91" s="18">
        <v>17800</v>
      </c>
      <c r="BM91" s="5">
        <v>1450.5</v>
      </c>
      <c r="BN91" s="16">
        <v>317.0455657</v>
      </c>
      <c r="BO91" s="18">
        <v>19740</v>
      </c>
      <c r="BP91" s="5">
        <v>1608.37</v>
      </c>
      <c r="BQ91" s="16">
        <v>351.55775823000005</v>
      </c>
      <c r="BR91" s="18">
        <v>21970</v>
      </c>
      <c r="BS91" s="5">
        <v>1790.82</v>
      </c>
      <c r="BT91" s="16">
        <v>391.44591327000001</v>
      </c>
      <c r="BU91" s="18">
        <v>23390</v>
      </c>
      <c r="BV91" s="5">
        <v>1906.44</v>
      </c>
      <c r="BW91" s="16">
        <v>416.72355027999998</v>
      </c>
    </row>
    <row r="92" spans="1:75" x14ac:dyDescent="0.2">
      <c r="A92" s="21" t="s">
        <v>120</v>
      </c>
      <c r="B92" s="10">
        <v>2590</v>
      </c>
      <c r="C92" s="5">
        <v>213.6808633</v>
      </c>
      <c r="D92" s="5">
        <v>60.7248369</v>
      </c>
      <c r="E92" s="18">
        <v>2490</v>
      </c>
      <c r="F92" s="5">
        <v>205.42829709999998</v>
      </c>
      <c r="G92" s="5">
        <v>58.3793358</v>
      </c>
      <c r="H92" s="18">
        <v>3300</v>
      </c>
      <c r="I92" s="5">
        <v>272.3</v>
      </c>
      <c r="J92" s="16">
        <v>77.400000000000006</v>
      </c>
      <c r="K92" s="18">
        <v>3330</v>
      </c>
      <c r="L92" s="5">
        <v>274.7</v>
      </c>
      <c r="M92" s="5">
        <v>78.099999999999994</v>
      </c>
      <c r="N92" s="18">
        <v>3820</v>
      </c>
      <c r="O92" s="5">
        <v>315.2</v>
      </c>
      <c r="P92" s="5">
        <v>89.6</v>
      </c>
      <c r="Q92" s="18">
        <v>4720</v>
      </c>
      <c r="R92" s="5">
        <v>389.4</v>
      </c>
      <c r="S92" s="5">
        <v>110.7</v>
      </c>
      <c r="T92" s="18">
        <v>5240</v>
      </c>
      <c r="U92" s="5">
        <v>432.3</v>
      </c>
      <c r="V92" s="5">
        <v>122.8</v>
      </c>
      <c r="W92" s="18">
        <v>5400</v>
      </c>
      <c r="X92" s="5">
        <v>445.5</v>
      </c>
      <c r="Y92" s="5">
        <v>126.6</v>
      </c>
      <c r="Z92" s="18">
        <v>7280</v>
      </c>
      <c r="AA92" s="5">
        <v>600.70000000000005</v>
      </c>
      <c r="AB92" s="16">
        <v>165.4</v>
      </c>
      <c r="AC92" s="21" t="s">
        <v>120</v>
      </c>
      <c r="AD92" s="10">
        <v>6840</v>
      </c>
      <c r="AE92" s="5">
        <v>564.6</v>
      </c>
      <c r="AF92" s="16">
        <v>143.1</v>
      </c>
      <c r="AG92" s="10">
        <v>7500</v>
      </c>
      <c r="AH92" s="5">
        <v>618.29999999999995</v>
      </c>
      <c r="AI92" s="16">
        <v>146.30000000000001</v>
      </c>
      <c r="AJ92" s="10">
        <v>9580</v>
      </c>
      <c r="AK92" s="5">
        <v>790.3</v>
      </c>
      <c r="AL92" s="16">
        <v>173.8</v>
      </c>
      <c r="AM92" s="10">
        <v>10170</v>
      </c>
      <c r="AN92" s="5">
        <v>838.9</v>
      </c>
      <c r="AO92" s="16">
        <v>184.5</v>
      </c>
      <c r="AP92" s="10">
        <v>9690</v>
      </c>
      <c r="AQ92" s="5">
        <v>799.6</v>
      </c>
      <c r="AR92" s="16">
        <v>175.9</v>
      </c>
      <c r="AS92" s="10">
        <v>10720</v>
      </c>
      <c r="AT92" s="5">
        <v>884.3</v>
      </c>
      <c r="AU92" s="16">
        <v>194.5</v>
      </c>
      <c r="AV92" s="10">
        <v>12280</v>
      </c>
      <c r="AW92" s="5">
        <v>1013.1</v>
      </c>
      <c r="AX92" s="16">
        <v>221.9</v>
      </c>
      <c r="AY92" s="10">
        <v>13020</v>
      </c>
      <c r="AZ92" s="5">
        <v>1074.3</v>
      </c>
      <c r="BA92" s="16">
        <v>235.4</v>
      </c>
      <c r="BB92" s="25">
        <v>13990</v>
      </c>
      <c r="BC92" s="26">
        <v>1153.7</v>
      </c>
      <c r="BD92" s="27">
        <v>253.7</v>
      </c>
      <c r="BE92" s="65" t="s">
        <v>120</v>
      </c>
      <c r="BF92" s="18">
        <v>15730</v>
      </c>
      <c r="BG92" s="5">
        <v>1297.82</v>
      </c>
      <c r="BH92" s="16">
        <v>285.44202752999996</v>
      </c>
      <c r="BI92" s="10">
        <v>17070</v>
      </c>
      <c r="BJ92" s="5">
        <v>1407.9</v>
      </c>
      <c r="BK92" s="16">
        <v>309.63615499999997</v>
      </c>
      <c r="BL92" s="18">
        <v>17140</v>
      </c>
      <c r="BM92" s="5">
        <v>1413.6</v>
      </c>
      <c r="BN92" s="16">
        <v>310.89308679999999</v>
      </c>
      <c r="BO92" s="18">
        <v>18850</v>
      </c>
      <c r="BP92" s="5">
        <v>1554.86</v>
      </c>
      <c r="BQ92" s="16">
        <v>341.96247569000002</v>
      </c>
      <c r="BR92" s="18">
        <v>21140</v>
      </c>
      <c r="BS92" s="5">
        <v>1743.69</v>
      </c>
      <c r="BT92" s="16">
        <v>383.50221956000001</v>
      </c>
      <c r="BU92" s="18">
        <v>22500</v>
      </c>
      <c r="BV92" s="5">
        <v>1856.21</v>
      </c>
      <c r="BW92" s="16">
        <v>408.24051060000005</v>
      </c>
    </row>
    <row r="93" spans="1:75" x14ac:dyDescent="0.2">
      <c r="A93" s="21" t="s">
        <v>121</v>
      </c>
      <c r="B93" s="10">
        <v>2450</v>
      </c>
      <c r="C93" s="5">
        <v>204.7210365</v>
      </c>
      <c r="D93" s="5">
        <v>58.452704400000002</v>
      </c>
      <c r="E93" s="18">
        <v>2760</v>
      </c>
      <c r="F93" s="5">
        <v>230.44999949999999</v>
      </c>
      <c r="G93" s="5">
        <v>65.780700699999997</v>
      </c>
      <c r="H93" s="18">
        <v>2500</v>
      </c>
      <c r="I93" s="5">
        <v>208.7</v>
      </c>
      <c r="J93" s="16">
        <v>59.6</v>
      </c>
      <c r="K93" s="18">
        <v>3450</v>
      </c>
      <c r="L93" s="5">
        <v>288</v>
      </c>
      <c r="M93" s="5">
        <v>82.2</v>
      </c>
      <c r="N93" s="18">
        <v>3820</v>
      </c>
      <c r="O93" s="5">
        <v>318.89999999999998</v>
      </c>
      <c r="P93" s="5">
        <v>91</v>
      </c>
      <c r="Q93" s="18">
        <v>4150</v>
      </c>
      <c r="R93" s="5">
        <v>346.5</v>
      </c>
      <c r="S93" s="5">
        <v>98.9</v>
      </c>
      <c r="T93" s="18">
        <v>4870</v>
      </c>
      <c r="U93" s="5">
        <v>406.7</v>
      </c>
      <c r="V93" s="5">
        <v>116.1</v>
      </c>
      <c r="W93" s="18">
        <v>5370</v>
      </c>
      <c r="X93" s="5">
        <v>448.4</v>
      </c>
      <c r="Y93" s="5">
        <v>128</v>
      </c>
      <c r="Z93" s="18">
        <v>6540</v>
      </c>
      <c r="AA93" s="5">
        <v>546</v>
      </c>
      <c r="AB93" s="16">
        <v>151.1</v>
      </c>
      <c r="AC93" s="21" t="s">
        <v>121</v>
      </c>
      <c r="AD93" s="10">
        <v>6290</v>
      </c>
      <c r="AE93" s="5">
        <v>525.29999999999995</v>
      </c>
      <c r="AF93" s="16">
        <v>133.9</v>
      </c>
      <c r="AG93" s="10">
        <v>6890</v>
      </c>
      <c r="AH93" s="5">
        <v>575.1</v>
      </c>
      <c r="AI93" s="16">
        <v>136.9</v>
      </c>
      <c r="AJ93" s="10">
        <v>8050</v>
      </c>
      <c r="AK93" s="5">
        <v>672.4</v>
      </c>
      <c r="AL93" s="16">
        <v>148.80000000000001</v>
      </c>
      <c r="AM93" s="10">
        <v>9860</v>
      </c>
      <c r="AN93" s="5">
        <v>823.3</v>
      </c>
      <c r="AO93" s="16">
        <v>182.2</v>
      </c>
      <c r="AP93" s="10">
        <v>8460</v>
      </c>
      <c r="AQ93" s="5">
        <v>706.2</v>
      </c>
      <c r="AR93" s="16">
        <v>156.19999999999999</v>
      </c>
      <c r="AS93" s="10">
        <v>10210</v>
      </c>
      <c r="AT93" s="5">
        <v>852.9</v>
      </c>
      <c r="AU93" s="16">
        <v>188.7</v>
      </c>
      <c r="AV93" s="10">
        <v>12060</v>
      </c>
      <c r="AW93" s="5">
        <v>1007.1</v>
      </c>
      <c r="AX93" s="16">
        <v>222.1</v>
      </c>
      <c r="AY93" s="10">
        <v>12540</v>
      </c>
      <c r="AZ93" s="5">
        <v>1047.2</v>
      </c>
      <c r="BA93" s="16">
        <v>231</v>
      </c>
      <c r="BB93" s="25">
        <v>13810</v>
      </c>
      <c r="BC93" s="26">
        <v>1152.8</v>
      </c>
      <c r="BD93" s="27">
        <v>255.1</v>
      </c>
      <c r="BE93" s="65" t="s">
        <v>121</v>
      </c>
      <c r="BF93" s="18">
        <v>15110</v>
      </c>
      <c r="BG93" s="5">
        <v>1261.97</v>
      </c>
      <c r="BH93" s="16">
        <v>279.21594427999997</v>
      </c>
      <c r="BI93" s="10">
        <v>16440</v>
      </c>
      <c r="BJ93" s="5">
        <v>1372.2</v>
      </c>
      <c r="BK93" s="16">
        <v>303.59728289999998</v>
      </c>
      <c r="BL93" s="18">
        <v>16740</v>
      </c>
      <c r="BM93" s="5">
        <v>1397.9</v>
      </c>
      <c r="BN93" s="16">
        <v>309.2812318</v>
      </c>
      <c r="BO93" s="18">
        <v>18340</v>
      </c>
      <c r="BP93" s="5">
        <v>1531.1</v>
      </c>
      <c r="BQ93" s="16">
        <v>338.76349206999998</v>
      </c>
      <c r="BR93" s="18">
        <v>20580</v>
      </c>
      <c r="BS93" s="5">
        <v>1718.43</v>
      </c>
      <c r="BT93" s="16">
        <v>380.20651850999997</v>
      </c>
      <c r="BU93" s="18">
        <v>22450</v>
      </c>
      <c r="BV93" s="5">
        <v>1874.73</v>
      </c>
      <c r="BW93" s="16">
        <v>414.79576539999999</v>
      </c>
    </row>
    <row r="94" spans="1:75" x14ac:dyDescent="0.2">
      <c r="A94" s="21" t="s">
        <v>122</v>
      </c>
      <c r="B94" s="10">
        <v>2350</v>
      </c>
      <c r="C94" s="5">
        <v>198.5855229</v>
      </c>
      <c r="D94" s="5">
        <v>56.932853899999998</v>
      </c>
      <c r="E94" s="18">
        <v>3180</v>
      </c>
      <c r="F94" s="5">
        <v>268.74242839999999</v>
      </c>
      <c r="G94" s="5">
        <v>77.048145700000006</v>
      </c>
      <c r="H94" s="18">
        <v>2960</v>
      </c>
      <c r="I94" s="5">
        <v>250.3</v>
      </c>
      <c r="J94" s="16">
        <v>71.8</v>
      </c>
      <c r="K94" s="18">
        <v>3300</v>
      </c>
      <c r="L94" s="5">
        <v>278.8</v>
      </c>
      <c r="M94" s="5">
        <v>79.900000000000006</v>
      </c>
      <c r="N94" s="18">
        <v>3470</v>
      </c>
      <c r="O94" s="5">
        <v>293.3</v>
      </c>
      <c r="P94" s="5">
        <v>84.1</v>
      </c>
      <c r="Q94" s="18">
        <v>4370</v>
      </c>
      <c r="R94" s="5">
        <v>369.4</v>
      </c>
      <c r="S94" s="5">
        <v>105.9</v>
      </c>
      <c r="T94" s="18">
        <v>4830</v>
      </c>
      <c r="U94" s="5">
        <v>408.2</v>
      </c>
      <c r="V94" s="5">
        <v>117</v>
      </c>
      <c r="W94" s="18">
        <v>6290</v>
      </c>
      <c r="X94" s="5">
        <v>531.6</v>
      </c>
      <c r="Y94" s="5">
        <v>152.4</v>
      </c>
      <c r="Z94" s="18">
        <v>6370</v>
      </c>
      <c r="AA94" s="5">
        <v>538.5</v>
      </c>
      <c r="AB94" s="16">
        <v>149.69999999999999</v>
      </c>
      <c r="AC94" s="21" t="s">
        <v>122</v>
      </c>
      <c r="AD94" s="10">
        <v>6690</v>
      </c>
      <c r="AE94" s="5">
        <v>565.70000000000005</v>
      </c>
      <c r="AF94" s="16">
        <v>145.1</v>
      </c>
      <c r="AG94" s="10">
        <v>7810</v>
      </c>
      <c r="AH94" s="5">
        <v>660.2</v>
      </c>
      <c r="AI94" s="16">
        <v>158.1</v>
      </c>
      <c r="AJ94" s="10">
        <v>8470</v>
      </c>
      <c r="AK94" s="5">
        <v>715.9</v>
      </c>
      <c r="AL94" s="16">
        <v>159.30000000000001</v>
      </c>
      <c r="AM94" s="10">
        <v>9040</v>
      </c>
      <c r="AN94" s="5">
        <v>763.9</v>
      </c>
      <c r="AO94" s="16">
        <v>170</v>
      </c>
      <c r="AP94" s="10">
        <v>9280</v>
      </c>
      <c r="AQ94" s="5">
        <v>784.3</v>
      </c>
      <c r="AR94" s="16">
        <v>174.6</v>
      </c>
      <c r="AS94" s="10">
        <v>11370</v>
      </c>
      <c r="AT94" s="5">
        <v>961.1</v>
      </c>
      <c r="AU94" s="16">
        <v>213.9</v>
      </c>
      <c r="AV94" s="10">
        <v>11820</v>
      </c>
      <c r="AW94" s="5">
        <v>998.8</v>
      </c>
      <c r="AX94" s="16">
        <v>221.5</v>
      </c>
      <c r="AY94" s="10">
        <v>12690</v>
      </c>
      <c r="AZ94" s="5">
        <v>1072.3</v>
      </c>
      <c r="BA94" s="16">
        <v>237.9</v>
      </c>
      <c r="BB94" s="25">
        <v>13510</v>
      </c>
      <c r="BC94" s="26">
        <v>1142.0999999999999</v>
      </c>
      <c r="BD94" s="27">
        <v>254.2</v>
      </c>
      <c r="BE94" s="65" t="s">
        <v>122</v>
      </c>
      <c r="BF94" s="18">
        <v>14830</v>
      </c>
      <c r="BG94" s="5">
        <v>1253.43</v>
      </c>
      <c r="BH94" s="16">
        <v>278.96676467999998</v>
      </c>
      <c r="BI94" s="10">
        <v>16450</v>
      </c>
      <c r="BJ94" s="5">
        <v>1390.1</v>
      </c>
      <c r="BK94" s="16">
        <v>309.3611808</v>
      </c>
      <c r="BL94" s="18">
        <v>17210</v>
      </c>
      <c r="BM94" s="5">
        <v>1455</v>
      </c>
      <c r="BN94" s="16">
        <v>323.86349410000003</v>
      </c>
      <c r="BO94" s="18">
        <v>18590</v>
      </c>
      <c r="BP94" s="5">
        <v>1570.96</v>
      </c>
      <c r="BQ94" s="16">
        <v>349.62937405000002</v>
      </c>
      <c r="BR94" s="18">
        <v>20070</v>
      </c>
      <c r="BS94" s="5">
        <v>1696.35</v>
      </c>
      <c r="BT94" s="16">
        <v>377.52358380000004</v>
      </c>
      <c r="BU94" s="18">
        <v>21750</v>
      </c>
      <c r="BV94" s="5">
        <v>1837.88</v>
      </c>
      <c r="BW94" s="16">
        <v>409.02007760000004</v>
      </c>
    </row>
    <row r="95" spans="1:75" x14ac:dyDescent="0.2">
      <c r="A95" s="21" t="s">
        <v>123</v>
      </c>
      <c r="B95" s="10">
        <v>2490</v>
      </c>
      <c r="C95" s="5">
        <v>212.98472839999999</v>
      </c>
      <c r="D95" s="5">
        <v>61.326344200000001</v>
      </c>
      <c r="E95" s="18">
        <v>2520</v>
      </c>
      <c r="F95" s="5">
        <v>215.3408263</v>
      </c>
      <c r="G95" s="5">
        <v>61.983322600000001</v>
      </c>
      <c r="H95" s="18">
        <v>2670</v>
      </c>
      <c r="I95" s="5">
        <v>228.2</v>
      </c>
      <c r="J95" s="16">
        <v>65.7</v>
      </c>
      <c r="K95" s="18">
        <v>3200</v>
      </c>
      <c r="L95" s="5">
        <v>273.7</v>
      </c>
      <c r="M95" s="5">
        <v>78.8</v>
      </c>
      <c r="N95" s="18">
        <v>3500</v>
      </c>
      <c r="O95" s="5">
        <v>299.2</v>
      </c>
      <c r="P95" s="5">
        <v>86.1</v>
      </c>
      <c r="Q95" s="18">
        <v>4300</v>
      </c>
      <c r="R95" s="5">
        <v>367.5</v>
      </c>
      <c r="S95" s="5">
        <v>105.8</v>
      </c>
      <c r="T95" s="18">
        <v>4580</v>
      </c>
      <c r="U95" s="5">
        <v>391.7</v>
      </c>
      <c r="V95" s="5">
        <v>112.8</v>
      </c>
      <c r="W95" s="18">
        <v>5270</v>
      </c>
      <c r="X95" s="5">
        <v>450.5</v>
      </c>
      <c r="Y95" s="5">
        <v>129.69999999999999</v>
      </c>
      <c r="Z95" s="18">
        <v>4880</v>
      </c>
      <c r="AA95" s="5">
        <v>417.4</v>
      </c>
      <c r="AB95" s="16">
        <v>116.6</v>
      </c>
      <c r="AC95" s="21" t="s">
        <v>123</v>
      </c>
      <c r="AD95" s="10">
        <v>5980</v>
      </c>
      <c r="AE95" s="5">
        <v>511.1</v>
      </c>
      <c r="AF95" s="16">
        <v>131.69999999999999</v>
      </c>
      <c r="AG95" s="10">
        <v>6900</v>
      </c>
      <c r="AH95" s="5">
        <v>589.70000000000005</v>
      </c>
      <c r="AI95" s="16">
        <v>142</v>
      </c>
      <c r="AJ95" s="10">
        <v>7470</v>
      </c>
      <c r="AK95" s="5">
        <v>638.79999999999995</v>
      </c>
      <c r="AL95" s="16">
        <v>143</v>
      </c>
      <c r="AM95" s="10">
        <v>7150</v>
      </c>
      <c r="AN95" s="5">
        <v>611.29999999999995</v>
      </c>
      <c r="AO95" s="16">
        <v>136.80000000000001</v>
      </c>
      <c r="AP95" s="10">
        <v>9160</v>
      </c>
      <c r="AQ95" s="5">
        <v>783</v>
      </c>
      <c r="AR95" s="16">
        <v>175.2</v>
      </c>
      <c r="AS95" s="10">
        <v>10600</v>
      </c>
      <c r="AT95" s="5">
        <v>906.8</v>
      </c>
      <c r="AU95" s="16">
        <v>203</v>
      </c>
      <c r="AV95" s="10">
        <v>11160</v>
      </c>
      <c r="AW95" s="5">
        <v>954.4</v>
      </c>
      <c r="AX95" s="16">
        <v>212.9</v>
      </c>
      <c r="AY95" s="10">
        <v>11560</v>
      </c>
      <c r="AZ95" s="5">
        <v>988.4</v>
      </c>
      <c r="BA95" s="16">
        <v>220.6</v>
      </c>
      <c r="BB95" s="25">
        <v>13120</v>
      </c>
      <c r="BC95" s="26">
        <v>1121.5999999999999</v>
      </c>
      <c r="BD95" s="27">
        <v>251</v>
      </c>
      <c r="BE95" s="65" t="s">
        <v>123</v>
      </c>
      <c r="BF95" s="18">
        <v>13850</v>
      </c>
      <c r="BG95" s="5">
        <v>1184.4000000000001</v>
      </c>
      <c r="BH95" s="16">
        <v>265.05497826999999</v>
      </c>
      <c r="BI95" s="10">
        <v>15790</v>
      </c>
      <c r="BJ95" s="5">
        <v>1349.7</v>
      </c>
      <c r="BK95" s="16">
        <v>302.0544587</v>
      </c>
      <c r="BL95" s="18">
        <v>17010</v>
      </c>
      <c r="BM95" s="5">
        <v>1454.1</v>
      </c>
      <c r="BN95" s="16">
        <v>325.38388310000005</v>
      </c>
      <c r="BO95" s="18">
        <v>17990</v>
      </c>
      <c r="BP95" s="5">
        <v>1537.42</v>
      </c>
      <c r="BQ95" s="16">
        <v>344.04488097000001</v>
      </c>
      <c r="BR95" s="18">
        <v>20390</v>
      </c>
      <c r="BS95" s="5">
        <v>1742.73</v>
      </c>
      <c r="BT95" s="16">
        <v>389.99545462000003</v>
      </c>
      <c r="BU95" s="18">
        <v>21920</v>
      </c>
      <c r="BV95" s="5">
        <v>1873.89</v>
      </c>
      <c r="BW95" s="16">
        <v>419.35022504</v>
      </c>
    </row>
    <row r="96" spans="1:75" x14ac:dyDescent="0.2">
      <c r="A96" s="21" t="s">
        <v>124</v>
      </c>
      <c r="B96" s="10">
        <v>2200</v>
      </c>
      <c r="C96" s="5">
        <v>190.2396727</v>
      </c>
      <c r="D96" s="5">
        <v>54.9874723</v>
      </c>
      <c r="E96" s="18">
        <v>2510</v>
      </c>
      <c r="F96" s="5">
        <v>217.2351597</v>
      </c>
      <c r="G96" s="5">
        <v>62.8094131</v>
      </c>
      <c r="H96" s="18">
        <v>2720</v>
      </c>
      <c r="I96" s="5">
        <v>235.3</v>
      </c>
      <c r="J96" s="16">
        <v>68</v>
      </c>
      <c r="K96" s="18">
        <v>3500</v>
      </c>
      <c r="L96" s="5">
        <v>302.8</v>
      </c>
      <c r="M96" s="5">
        <v>87.5</v>
      </c>
      <c r="N96" s="18">
        <v>3430</v>
      </c>
      <c r="O96" s="5">
        <v>296.60000000000002</v>
      </c>
      <c r="P96" s="5">
        <v>85.7</v>
      </c>
      <c r="Q96" s="18">
        <v>4190</v>
      </c>
      <c r="R96" s="5">
        <v>362.6</v>
      </c>
      <c r="S96" s="5">
        <v>104.8</v>
      </c>
      <c r="T96" s="18">
        <v>4550</v>
      </c>
      <c r="U96" s="5">
        <v>393.5</v>
      </c>
      <c r="V96" s="5">
        <v>113.7</v>
      </c>
      <c r="W96" s="18">
        <v>5110</v>
      </c>
      <c r="X96" s="5">
        <v>442.1</v>
      </c>
      <c r="Y96" s="5">
        <v>127.8</v>
      </c>
      <c r="Z96" s="18">
        <v>5840</v>
      </c>
      <c r="AA96" s="5">
        <v>505</v>
      </c>
      <c r="AB96" s="16">
        <v>141.69999999999999</v>
      </c>
      <c r="AC96" s="21" t="s">
        <v>124</v>
      </c>
      <c r="AD96" s="10">
        <v>6560</v>
      </c>
      <c r="AE96" s="5">
        <v>567.6</v>
      </c>
      <c r="AF96" s="16">
        <v>147.1</v>
      </c>
      <c r="AG96" s="10">
        <v>6800</v>
      </c>
      <c r="AH96" s="5">
        <v>588.29999999999995</v>
      </c>
      <c r="AI96" s="16">
        <v>142.5</v>
      </c>
      <c r="AJ96" s="10">
        <v>6810</v>
      </c>
      <c r="AK96" s="5">
        <v>589.20000000000005</v>
      </c>
      <c r="AL96" s="16">
        <v>132.6</v>
      </c>
      <c r="AM96" s="10">
        <v>6900</v>
      </c>
      <c r="AN96" s="5">
        <v>596.70000000000005</v>
      </c>
      <c r="AO96" s="16">
        <v>134.30000000000001</v>
      </c>
      <c r="AP96" s="10">
        <v>9570</v>
      </c>
      <c r="AQ96" s="5">
        <v>827.8</v>
      </c>
      <c r="AR96" s="16">
        <v>186.3</v>
      </c>
      <c r="AS96" s="10">
        <v>9270</v>
      </c>
      <c r="AT96" s="5">
        <v>801.7</v>
      </c>
      <c r="AU96" s="16">
        <v>180.4</v>
      </c>
      <c r="AV96" s="10">
        <v>10550</v>
      </c>
      <c r="AW96" s="5">
        <v>912.7</v>
      </c>
      <c r="AX96" s="16">
        <v>204.8</v>
      </c>
      <c r="AY96" s="10">
        <v>11320</v>
      </c>
      <c r="AZ96" s="5">
        <v>979</v>
      </c>
      <c r="BA96" s="16">
        <v>219.6</v>
      </c>
      <c r="BB96" s="25">
        <v>12490</v>
      </c>
      <c r="BC96" s="26">
        <v>1080.5</v>
      </c>
      <c r="BD96" s="27">
        <v>243.1</v>
      </c>
      <c r="BE96" s="65" t="s">
        <v>124</v>
      </c>
      <c r="BF96" s="18">
        <v>13620</v>
      </c>
      <c r="BG96" s="5">
        <v>1178.44</v>
      </c>
      <c r="BH96" s="16">
        <v>265.18903734000003</v>
      </c>
      <c r="BI96" s="10">
        <v>14680</v>
      </c>
      <c r="BJ96" s="5">
        <v>1269.5</v>
      </c>
      <c r="BK96" s="16">
        <v>285.67227739999998</v>
      </c>
      <c r="BL96" s="18">
        <v>15470</v>
      </c>
      <c r="BM96" s="5">
        <v>1338.4</v>
      </c>
      <c r="BN96" s="16">
        <v>301.19168819999999</v>
      </c>
      <c r="BO96" s="18">
        <v>16950</v>
      </c>
      <c r="BP96" s="5">
        <v>1465.8</v>
      </c>
      <c r="BQ96" s="16">
        <v>329.83573100000001</v>
      </c>
      <c r="BR96" s="18">
        <v>19340</v>
      </c>
      <c r="BS96" s="5">
        <v>1672.77</v>
      </c>
      <c r="BT96" s="16">
        <v>376.41567724999999</v>
      </c>
      <c r="BU96" s="18">
        <v>20630</v>
      </c>
      <c r="BV96" s="5">
        <v>1784.61</v>
      </c>
      <c r="BW96" s="16">
        <v>401.59052527</v>
      </c>
    </row>
    <row r="97" spans="1:75" x14ac:dyDescent="0.2">
      <c r="A97" s="21" t="s">
        <v>125</v>
      </c>
      <c r="B97" s="10">
        <v>2120</v>
      </c>
      <c r="C97" s="5">
        <v>185.4417229</v>
      </c>
      <c r="D97" s="5">
        <v>53.810471299999996</v>
      </c>
      <c r="E97" s="18">
        <v>2520</v>
      </c>
      <c r="F97" s="5">
        <v>220.3805634</v>
      </c>
      <c r="G97" s="5">
        <v>63.948819899999997</v>
      </c>
      <c r="H97" s="18">
        <v>2040</v>
      </c>
      <c r="I97" s="5">
        <v>178.5</v>
      </c>
      <c r="J97" s="16">
        <v>51.8</v>
      </c>
      <c r="K97" s="18">
        <v>2470</v>
      </c>
      <c r="L97" s="5">
        <v>216.3</v>
      </c>
      <c r="M97" s="5">
        <v>62.8</v>
      </c>
      <c r="N97" s="18">
        <v>2850</v>
      </c>
      <c r="O97" s="5">
        <v>249.3</v>
      </c>
      <c r="P97" s="5">
        <v>72.3</v>
      </c>
      <c r="Q97" s="18">
        <v>3910</v>
      </c>
      <c r="R97" s="5">
        <v>342.2</v>
      </c>
      <c r="S97" s="5">
        <v>99.3</v>
      </c>
      <c r="T97" s="18">
        <v>4130</v>
      </c>
      <c r="U97" s="5">
        <v>361.5</v>
      </c>
      <c r="V97" s="5">
        <v>104.9</v>
      </c>
      <c r="W97" s="18">
        <v>5710</v>
      </c>
      <c r="X97" s="5">
        <v>499.9</v>
      </c>
      <c r="Y97" s="5">
        <v>145.1</v>
      </c>
      <c r="Z97" s="18">
        <v>5700</v>
      </c>
      <c r="AA97" s="5">
        <v>498.9</v>
      </c>
      <c r="AB97" s="16">
        <v>140.6</v>
      </c>
      <c r="AC97" s="21" t="s">
        <v>125</v>
      </c>
      <c r="AD97" s="10">
        <v>6020</v>
      </c>
      <c r="AE97" s="5">
        <v>526.9</v>
      </c>
      <c r="AF97" s="16">
        <v>137.30000000000001</v>
      </c>
      <c r="AG97" s="10">
        <v>6550</v>
      </c>
      <c r="AH97" s="5">
        <v>573.20000000000005</v>
      </c>
      <c r="AI97" s="16">
        <v>139.5</v>
      </c>
      <c r="AJ97" s="10">
        <v>7550</v>
      </c>
      <c r="AK97" s="5">
        <v>660.7</v>
      </c>
      <c r="AL97" s="16">
        <v>149.5</v>
      </c>
      <c r="AM97" s="10">
        <v>7070</v>
      </c>
      <c r="AN97" s="5">
        <v>618.9</v>
      </c>
      <c r="AO97" s="16">
        <v>140</v>
      </c>
      <c r="AP97" s="10">
        <v>7810</v>
      </c>
      <c r="AQ97" s="5">
        <v>683.4</v>
      </c>
      <c r="AR97" s="16">
        <v>154.6</v>
      </c>
      <c r="AS97" s="10">
        <v>9830</v>
      </c>
      <c r="AT97" s="5">
        <v>860.1</v>
      </c>
      <c r="AU97" s="16">
        <v>194.6</v>
      </c>
      <c r="AV97" s="10">
        <v>9810</v>
      </c>
      <c r="AW97" s="5">
        <v>858.3</v>
      </c>
      <c r="AX97" s="16">
        <v>193.6</v>
      </c>
      <c r="AY97" s="10">
        <v>10420</v>
      </c>
      <c r="AZ97" s="5">
        <v>911.4</v>
      </c>
      <c r="BA97" s="16">
        <v>205.7</v>
      </c>
      <c r="BB97" s="25">
        <v>11850</v>
      </c>
      <c r="BC97" s="26">
        <v>1036.9000000000001</v>
      </c>
      <c r="BD97" s="27">
        <v>234.6</v>
      </c>
      <c r="BE97" s="65" t="s">
        <v>125</v>
      </c>
      <c r="BF97" s="18">
        <v>13100</v>
      </c>
      <c r="BG97" s="5">
        <v>1146.3900000000001</v>
      </c>
      <c r="BH97" s="16">
        <v>259.34153161</v>
      </c>
      <c r="BI97" s="10">
        <v>14320</v>
      </c>
      <c r="BJ97" s="5">
        <v>1253.0999999999999</v>
      </c>
      <c r="BK97" s="16">
        <v>283.4756926</v>
      </c>
      <c r="BL97" s="18">
        <v>14840</v>
      </c>
      <c r="BM97" s="5">
        <v>1298.5</v>
      </c>
      <c r="BN97" s="16">
        <v>293.74650110000005</v>
      </c>
      <c r="BO97" s="18">
        <v>16250</v>
      </c>
      <c r="BP97" s="5">
        <v>1421.99</v>
      </c>
      <c r="BQ97" s="16">
        <v>321.68764806000001</v>
      </c>
      <c r="BR97" s="18">
        <v>18580</v>
      </c>
      <c r="BS97" s="5">
        <v>1625.65</v>
      </c>
      <c r="BT97" s="16">
        <v>367.76556735000003</v>
      </c>
      <c r="BU97" s="18">
        <v>20110</v>
      </c>
      <c r="BV97" s="5">
        <v>1759.57</v>
      </c>
      <c r="BW97" s="16">
        <v>398.05742583999995</v>
      </c>
    </row>
    <row r="98" spans="1:75" x14ac:dyDescent="0.2">
      <c r="A98" s="21" t="s">
        <v>126</v>
      </c>
      <c r="B98" s="10">
        <v>1630</v>
      </c>
      <c r="C98" s="5">
        <v>144.29744099999999</v>
      </c>
      <c r="D98" s="5">
        <v>42.046101200000003</v>
      </c>
      <c r="E98" s="18">
        <v>2220</v>
      </c>
      <c r="F98" s="5">
        <v>196.55885309999999</v>
      </c>
      <c r="G98" s="5">
        <v>57.277352700000002</v>
      </c>
      <c r="H98" s="18">
        <v>2380</v>
      </c>
      <c r="I98" s="5">
        <v>210.6</v>
      </c>
      <c r="J98" s="16">
        <v>61.4</v>
      </c>
      <c r="K98" s="18">
        <v>2560</v>
      </c>
      <c r="L98" s="5">
        <v>226.5</v>
      </c>
      <c r="M98" s="5">
        <v>66</v>
      </c>
      <c r="N98" s="18">
        <v>2580</v>
      </c>
      <c r="O98" s="5">
        <v>228.4</v>
      </c>
      <c r="P98" s="5">
        <v>66.5</v>
      </c>
      <c r="Q98" s="18">
        <v>3760</v>
      </c>
      <c r="R98" s="5">
        <v>332.9</v>
      </c>
      <c r="S98" s="5">
        <v>97</v>
      </c>
      <c r="T98" s="18">
        <v>4340</v>
      </c>
      <c r="U98" s="5">
        <v>384.2</v>
      </c>
      <c r="V98" s="5">
        <v>111.9</v>
      </c>
      <c r="W98" s="18">
        <v>4440</v>
      </c>
      <c r="X98" s="5">
        <v>392.8</v>
      </c>
      <c r="Y98" s="5">
        <v>114.4</v>
      </c>
      <c r="Z98" s="18">
        <v>5470</v>
      </c>
      <c r="AA98" s="5">
        <v>484</v>
      </c>
      <c r="AB98" s="16">
        <v>137</v>
      </c>
      <c r="AC98" s="21" t="s">
        <v>126</v>
      </c>
      <c r="AD98" s="10">
        <v>5700</v>
      </c>
      <c r="AE98" s="5">
        <v>504.5</v>
      </c>
      <c r="AF98" s="16">
        <v>132.1</v>
      </c>
      <c r="AG98" s="10">
        <v>6110</v>
      </c>
      <c r="AH98" s="5">
        <v>540.9</v>
      </c>
      <c r="AI98" s="16">
        <v>132.4</v>
      </c>
      <c r="AJ98" s="10">
        <v>7430</v>
      </c>
      <c r="AK98" s="5">
        <v>657.8</v>
      </c>
      <c r="AL98" s="16">
        <v>149.6</v>
      </c>
      <c r="AM98" s="10">
        <v>7810</v>
      </c>
      <c r="AN98" s="5">
        <v>691.1</v>
      </c>
      <c r="AO98" s="16">
        <v>157.1</v>
      </c>
      <c r="AP98" s="10">
        <v>8550</v>
      </c>
      <c r="AQ98" s="5">
        <v>756.9</v>
      </c>
      <c r="AR98" s="16">
        <v>172.1</v>
      </c>
      <c r="AS98" s="10">
        <v>8640</v>
      </c>
      <c r="AT98" s="5">
        <v>764.4</v>
      </c>
      <c r="AU98" s="16">
        <v>173.8</v>
      </c>
      <c r="AV98" s="10">
        <v>9600</v>
      </c>
      <c r="AW98" s="5">
        <v>849.8</v>
      </c>
      <c r="AX98" s="16">
        <v>192.5</v>
      </c>
      <c r="AY98" s="10">
        <v>10510</v>
      </c>
      <c r="AZ98" s="5">
        <v>929.7</v>
      </c>
      <c r="BA98" s="16">
        <v>210.7</v>
      </c>
      <c r="BB98" s="25">
        <v>11150</v>
      </c>
      <c r="BC98" s="26">
        <v>986.5</v>
      </c>
      <c r="BD98" s="27">
        <v>224.3</v>
      </c>
      <c r="BE98" s="65" t="s">
        <v>126</v>
      </c>
      <c r="BF98" s="18">
        <v>12530</v>
      </c>
      <c r="BG98" s="5">
        <v>1108.3599999999999</v>
      </c>
      <c r="BH98" s="16">
        <v>252.02960552000002</v>
      </c>
      <c r="BI98" s="10">
        <v>13830</v>
      </c>
      <c r="BJ98" s="5">
        <v>1223.9000000000001</v>
      </c>
      <c r="BK98" s="16">
        <v>278.2970052</v>
      </c>
      <c r="BL98" s="18">
        <v>14930</v>
      </c>
      <c r="BM98" s="5">
        <v>1321.1</v>
      </c>
      <c r="BN98" s="16">
        <v>300.43829529999999</v>
      </c>
      <c r="BO98" s="18">
        <v>17050</v>
      </c>
      <c r="BP98" s="5">
        <v>1508.76</v>
      </c>
      <c r="BQ98" s="16">
        <v>343.1224565</v>
      </c>
      <c r="BR98" s="18">
        <v>17910</v>
      </c>
      <c r="BS98" s="5">
        <v>1584.68</v>
      </c>
      <c r="BT98" s="16">
        <v>360.34865133</v>
      </c>
      <c r="BU98" s="18">
        <v>19440</v>
      </c>
      <c r="BV98" s="5">
        <v>1720.37</v>
      </c>
      <c r="BW98" s="16">
        <v>391.19573666000002</v>
      </c>
    </row>
    <row r="99" spans="1:75" x14ac:dyDescent="0.2">
      <c r="A99" s="21" t="s">
        <v>127</v>
      </c>
      <c r="B99" s="10">
        <v>1710</v>
      </c>
      <c r="C99" s="5">
        <v>152.94855609999999</v>
      </c>
      <c r="D99" s="5">
        <v>44.721637100000002</v>
      </c>
      <c r="E99" s="18">
        <v>2410</v>
      </c>
      <c r="F99" s="5">
        <v>215.76182890000001</v>
      </c>
      <c r="G99" s="5">
        <v>63.107813299999997</v>
      </c>
      <c r="H99" s="18">
        <v>2310</v>
      </c>
      <c r="I99" s="5">
        <v>206.8</v>
      </c>
      <c r="J99" s="16">
        <v>60.5</v>
      </c>
      <c r="K99" s="18">
        <v>2340</v>
      </c>
      <c r="L99" s="5">
        <v>209.5</v>
      </c>
      <c r="M99" s="5">
        <v>61.3</v>
      </c>
      <c r="N99" s="18">
        <v>3240</v>
      </c>
      <c r="O99" s="5">
        <v>290.2</v>
      </c>
      <c r="P99" s="5">
        <v>84.9</v>
      </c>
      <c r="Q99" s="18">
        <v>3260</v>
      </c>
      <c r="R99" s="5">
        <v>291.8</v>
      </c>
      <c r="S99" s="5">
        <v>85.3</v>
      </c>
      <c r="T99" s="18">
        <v>3920</v>
      </c>
      <c r="U99" s="5">
        <v>351.1</v>
      </c>
      <c r="V99" s="5">
        <v>102.7</v>
      </c>
      <c r="W99" s="18">
        <v>4790</v>
      </c>
      <c r="X99" s="5">
        <v>428.7</v>
      </c>
      <c r="Y99" s="5">
        <v>125.4</v>
      </c>
      <c r="Z99" s="18">
        <v>5440</v>
      </c>
      <c r="AA99" s="5">
        <v>487.2</v>
      </c>
      <c r="AB99" s="16">
        <v>138.5</v>
      </c>
      <c r="AC99" s="21" t="s">
        <v>127</v>
      </c>
      <c r="AD99" s="10">
        <v>6280</v>
      </c>
      <c r="AE99" s="5">
        <v>562.20000000000005</v>
      </c>
      <c r="AF99" s="16">
        <v>148</v>
      </c>
      <c r="AG99" s="10">
        <v>5890</v>
      </c>
      <c r="AH99" s="5">
        <v>527.6</v>
      </c>
      <c r="AI99" s="16">
        <v>129.80000000000001</v>
      </c>
      <c r="AJ99" s="10">
        <v>6330</v>
      </c>
      <c r="AK99" s="5">
        <v>566.79999999999995</v>
      </c>
      <c r="AL99" s="16">
        <v>129.6</v>
      </c>
      <c r="AM99" s="10">
        <v>6900</v>
      </c>
      <c r="AN99" s="5">
        <v>617.5</v>
      </c>
      <c r="AO99" s="16">
        <v>141.1</v>
      </c>
      <c r="AP99" s="10">
        <v>7470</v>
      </c>
      <c r="AQ99" s="5">
        <v>668.9</v>
      </c>
      <c r="AR99" s="16">
        <v>152.9</v>
      </c>
      <c r="AS99" s="10">
        <v>8750</v>
      </c>
      <c r="AT99" s="5">
        <v>783.5</v>
      </c>
      <c r="AU99" s="16">
        <v>179.1</v>
      </c>
      <c r="AV99" s="10">
        <v>9780</v>
      </c>
      <c r="AW99" s="5">
        <v>875.7</v>
      </c>
      <c r="AX99" s="16">
        <v>199.6</v>
      </c>
      <c r="AY99" s="10">
        <v>10540</v>
      </c>
      <c r="AZ99" s="5">
        <v>943.5</v>
      </c>
      <c r="BA99" s="16">
        <v>215.1</v>
      </c>
      <c r="BB99" s="25">
        <v>11610</v>
      </c>
      <c r="BC99" s="26">
        <v>1039.4000000000001</v>
      </c>
      <c r="BD99" s="27">
        <v>237.6</v>
      </c>
      <c r="BE99" s="65" t="s">
        <v>127</v>
      </c>
      <c r="BF99" s="18">
        <v>12500</v>
      </c>
      <c r="BG99" s="5">
        <v>1118.82</v>
      </c>
      <c r="BH99" s="16">
        <v>255.73824078000001</v>
      </c>
      <c r="BI99" s="10">
        <v>14170</v>
      </c>
      <c r="BJ99" s="5">
        <v>1268.5999999999999</v>
      </c>
      <c r="BK99" s="16">
        <v>289.96816080000002</v>
      </c>
      <c r="BL99" s="18">
        <v>14700</v>
      </c>
      <c r="BM99" s="5">
        <v>1315.9</v>
      </c>
      <c r="BN99" s="16">
        <v>300.7443672</v>
      </c>
      <c r="BO99" s="18">
        <v>16780</v>
      </c>
      <c r="BP99" s="5">
        <v>1501.64</v>
      </c>
      <c r="BQ99" s="16">
        <v>343.20563974000004</v>
      </c>
      <c r="BR99" s="18">
        <v>19210</v>
      </c>
      <c r="BS99" s="5">
        <v>1719.58</v>
      </c>
      <c r="BT99" s="16">
        <v>393.03249999000002</v>
      </c>
      <c r="BU99" s="18">
        <v>19070</v>
      </c>
      <c r="BV99" s="5">
        <v>1706.85</v>
      </c>
      <c r="BW99" s="16">
        <v>390.11455228</v>
      </c>
    </row>
    <row r="100" spans="1:75" x14ac:dyDescent="0.2">
      <c r="A100" s="21" t="s">
        <v>128</v>
      </c>
      <c r="B100" s="10">
        <v>1870</v>
      </c>
      <c r="C100" s="5">
        <v>169.16713300000001</v>
      </c>
      <c r="D100" s="5">
        <v>49.6500828</v>
      </c>
      <c r="E100" s="18">
        <v>2220</v>
      </c>
      <c r="F100" s="5">
        <v>200.9202306</v>
      </c>
      <c r="G100" s="5">
        <v>58.9782905</v>
      </c>
      <c r="H100" s="18">
        <v>1900</v>
      </c>
      <c r="I100" s="5">
        <v>171.9</v>
      </c>
      <c r="J100" s="16">
        <v>50.4</v>
      </c>
      <c r="K100" s="18">
        <v>2570</v>
      </c>
      <c r="L100" s="5">
        <v>232.6</v>
      </c>
      <c r="M100" s="5">
        <v>68.3</v>
      </c>
      <c r="N100" s="18">
        <v>2690</v>
      </c>
      <c r="O100" s="5">
        <v>243.3</v>
      </c>
      <c r="P100" s="5">
        <v>71.400000000000006</v>
      </c>
      <c r="Q100" s="18">
        <v>3430</v>
      </c>
      <c r="R100" s="5">
        <v>310.3</v>
      </c>
      <c r="S100" s="5">
        <v>91.1</v>
      </c>
      <c r="T100" s="18">
        <v>4060</v>
      </c>
      <c r="U100" s="5">
        <v>367.4</v>
      </c>
      <c r="V100" s="5">
        <v>107.9</v>
      </c>
      <c r="W100" s="18">
        <v>4200</v>
      </c>
      <c r="X100" s="5">
        <v>380</v>
      </c>
      <c r="Y100" s="5">
        <v>111.5</v>
      </c>
      <c r="Z100" s="18">
        <v>4850</v>
      </c>
      <c r="AA100" s="5">
        <v>438.8</v>
      </c>
      <c r="AB100" s="16">
        <v>125.2</v>
      </c>
      <c r="AC100" s="21" t="s">
        <v>128</v>
      </c>
      <c r="AD100" s="10">
        <v>4540</v>
      </c>
      <c r="AE100" s="5">
        <v>411</v>
      </c>
      <c r="AF100" s="16">
        <v>108.7</v>
      </c>
      <c r="AG100" s="10">
        <v>5300</v>
      </c>
      <c r="AH100" s="5">
        <v>479.5</v>
      </c>
      <c r="AI100" s="16">
        <v>118.5</v>
      </c>
      <c r="AJ100" s="10">
        <v>6140</v>
      </c>
      <c r="AK100" s="5">
        <v>555.6</v>
      </c>
      <c r="AL100" s="16">
        <v>127.6</v>
      </c>
      <c r="AM100" s="10">
        <v>6580</v>
      </c>
      <c r="AN100" s="5">
        <v>595.5</v>
      </c>
      <c r="AO100" s="16">
        <v>136.80000000000001</v>
      </c>
      <c r="AP100" s="10">
        <v>7380</v>
      </c>
      <c r="AQ100" s="5">
        <v>667.8</v>
      </c>
      <c r="AR100" s="16">
        <v>153.4</v>
      </c>
      <c r="AS100" s="10">
        <v>8430</v>
      </c>
      <c r="AT100" s="5">
        <v>762.8</v>
      </c>
      <c r="AU100" s="16">
        <v>175.2</v>
      </c>
      <c r="AV100" s="10">
        <v>9220</v>
      </c>
      <c r="AW100" s="5">
        <v>834.5</v>
      </c>
      <c r="AX100" s="16">
        <v>191.1</v>
      </c>
      <c r="AY100" s="10">
        <v>9550</v>
      </c>
      <c r="AZ100" s="5">
        <v>864.3</v>
      </c>
      <c r="BA100" s="16">
        <v>198</v>
      </c>
      <c r="BB100" s="25">
        <v>10520</v>
      </c>
      <c r="BC100" s="26">
        <v>951.8</v>
      </c>
      <c r="BD100" s="27">
        <v>218.6</v>
      </c>
      <c r="BE100" s="65" t="s">
        <v>128</v>
      </c>
      <c r="BF100" s="18">
        <v>11920</v>
      </c>
      <c r="BG100" s="5">
        <v>1079.06</v>
      </c>
      <c r="BH100" s="16">
        <v>247.82073656</v>
      </c>
      <c r="BI100" s="10">
        <v>13380</v>
      </c>
      <c r="BJ100" s="5">
        <v>1210.7</v>
      </c>
      <c r="BK100" s="16">
        <v>278.0533168</v>
      </c>
      <c r="BL100" s="18">
        <v>13860</v>
      </c>
      <c r="BM100" s="5">
        <v>1253.8</v>
      </c>
      <c r="BN100" s="16">
        <v>287.91897289999997</v>
      </c>
      <c r="BO100" s="18">
        <v>16170</v>
      </c>
      <c r="BP100" s="5">
        <v>1462.65</v>
      </c>
      <c r="BQ100" s="16">
        <v>335.89629497999999</v>
      </c>
      <c r="BR100" s="18">
        <v>18810</v>
      </c>
      <c r="BS100" s="5">
        <v>1701.97</v>
      </c>
      <c r="BT100" s="16">
        <v>390.86198012</v>
      </c>
      <c r="BU100" s="18">
        <v>19220</v>
      </c>
      <c r="BV100" s="5">
        <v>1739.02</v>
      </c>
      <c r="BW100" s="16">
        <v>399.36650691</v>
      </c>
    </row>
    <row r="101" spans="1:75" x14ac:dyDescent="0.2">
      <c r="A101" s="21" t="s">
        <v>129</v>
      </c>
      <c r="B101" s="10">
        <v>1900</v>
      </c>
      <c r="C101" s="5">
        <v>173.8880364</v>
      </c>
      <c r="D101" s="5">
        <v>51.2068352</v>
      </c>
      <c r="E101" s="18">
        <v>2320</v>
      </c>
      <c r="F101" s="5">
        <v>212.2079478</v>
      </c>
      <c r="G101" s="5">
        <v>62.507499600000003</v>
      </c>
      <c r="H101" s="18">
        <v>2060</v>
      </c>
      <c r="I101" s="5">
        <v>188.5</v>
      </c>
      <c r="J101" s="16">
        <v>55.5</v>
      </c>
      <c r="K101" s="18">
        <v>2700</v>
      </c>
      <c r="L101" s="5">
        <v>247</v>
      </c>
      <c r="M101" s="5">
        <v>72.8</v>
      </c>
      <c r="N101" s="18">
        <v>3220</v>
      </c>
      <c r="O101" s="5">
        <v>294.7</v>
      </c>
      <c r="P101" s="5">
        <v>86.8</v>
      </c>
      <c r="Q101" s="18">
        <v>3120</v>
      </c>
      <c r="R101" s="5">
        <v>285.5</v>
      </c>
      <c r="S101" s="5">
        <v>84.1</v>
      </c>
      <c r="T101" s="18">
        <v>3480</v>
      </c>
      <c r="U101" s="5">
        <v>318.5</v>
      </c>
      <c r="V101" s="5">
        <v>93.8</v>
      </c>
      <c r="W101" s="18">
        <v>4020</v>
      </c>
      <c r="X101" s="5">
        <v>367.8</v>
      </c>
      <c r="Y101" s="5">
        <v>108.3</v>
      </c>
      <c r="Z101" s="18">
        <v>4800</v>
      </c>
      <c r="AA101" s="5">
        <v>439</v>
      </c>
      <c r="AB101" s="16">
        <v>125.8</v>
      </c>
      <c r="AC101" s="21" t="s">
        <v>129</v>
      </c>
      <c r="AD101" s="10">
        <v>4970</v>
      </c>
      <c r="AE101" s="5">
        <v>454.7</v>
      </c>
      <c r="AF101" s="16">
        <v>120.8</v>
      </c>
      <c r="AG101" s="10">
        <v>5560</v>
      </c>
      <c r="AH101" s="5">
        <v>508.8</v>
      </c>
      <c r="AI101" s="16">
        <v>126.3</v>
      </c>
      <c r="AJ101" s="10">
        <v>5940</v>
      </c>
      <c r="AK101" s="5">
        <v>543.6</v>
      </c>
      <c r="AL101" s="16">
        <v>125.5</v>
      </c>
      <c r="AM101" s="10">
        <v>6130</v>
      </c>
      <c r="AN101" s="5">
        <v>561</v>
      </c>
      <c r="AO101" s="16">
        <v>129.5</v>
      </c>
      <c r="AP101" s="10">
        <v>6680</v>
      </c>
      <c r="AQ101" s="5">
        <v>611.4</v>
      </c>
      <c r="AR101" s="16">
        <v>141.1</v>
      </c>
      <c r="AS101" s="10">
        <v>6920</v>
      </c>
      <c r="AT101" s="5">
        <v>633.20000000000005</v>
      </c>
      <c r="AU101" s="16">
        <v>146.1</v>
      </c>
      <c r="AV101" s="10">
        <v>8690</v>
      </c>
      <c r="AW101" s="5">
        <v>795</v>
      </c>
      <c r="AX101" s="16">
        <v>183.1</v>
      </c>
      <c r="AY101" s="10">
        <v>8840</v>
      </c>
      <c r="AZ101" s="5">
        <v>808.8</v>
      </c>
      <c r="BA101" s="16">
        <v>186</v>
      </c>
      <c r="BB101" s="25">
        <v>10060</v>
      </c>
      <c r="BC101" s="26">
        <v>920.2</v>
      </c>
      <c r="BD101" s="27">
        <v>212.4</v>
      </c>
      <c r="BE101" s="65" t="s">
        <v>129</v>
      </c>
      <c r="BF101" s="18">
        <v>11280</v>
      </c>
      <c r="BG101" s="5">
        <v>1031.82</v>
      </c>
      <c r="BH101" s="16">
        <v>238.10470030000002</v>
      </c>
      <c r="BI101" s="10">
        <v>12700</v>
      </c>
      <c r="BJ101" s="5">
        <v>1161.9000000000001</v>
      </c>
      <c r="BK101" s="16">
        <v>268.12454969999999</v>
      </c>
      <c r="BL101" s="18">
        <v>13270</v>
      </c>
      <c r="BM101" s="5">
        <v>1214.5999999999999</v>
      </c>
      <c r="BN101" s="16">
        <v>280.29645699999998</v>
      </c>
      <c r="BO101" s="18">
        <v>15170</v>
      </c>
      <c r="BP101" s="5">
        <v>1387.91</v>
      </c>
      <c r="BQ101" s="16">
        <v>320.27294368999998</v>
      </c>
      <c r="BR101" s="18">
        <v>17640</v>
      </c>
      <c r="BS101" s="5">
        <v>1614.22</v>
      </c>
      <c r="BT101" s="16">
        <v>372.49330686000002</v>
      </c>
      <c r="BU101" s="18">
        <v>18230</v>
      </c>
      <c r="BV101" s="5">
        <v>1668.08</v>
      </c>
      <c r="BW101" s="16">
        <v>384.92872063999999</v>
      </c>
    </row>
    <row r="102" spans="1:75" x14ac:dyDescent="0.2">
      <c r="A102" s="21" t="s">
        <v>130</v>
      </c>
      <c r="B102" s="10">
        <v>1500</v>
      </c>
      <c r="C102" s="5">
        <v>138.8615599</v>
      </c>
      <c r="D102" s="5">
        <v>41.061008100000002</v>
      </c>
      <c r="E102" s="18">
        <v>2050</v>
      </c>
      <c r="F102" s="5">
        <v>189.57277819999999</v>
      </c>
      <c r="G102" s="5">
        <v>56.036883700000004</v>
      </c>
      <c r="H102" s="18">
        <v>2230</v>
      </c>
      <c r="I102" s="5">
        <v>206.3</v>
      </c>
      <c r="J102" s="16">
        <v>61</v>
      </c>
      <c r="K102" s="18">
        <v>2210</v>
      </c>
      <c r="L102" s="5">
        <v>204.4</v>
      </c>
      <c r="M102" s="5">
        <v>60.4</v>
      </c>
      <c r="N102" s="18">
        <v>2380</v>
      </c>
      <c r="O102" s="5">
        <v>220.2</v>
      </c>
      <c r="P102" s="5">
        <v>65.099999999999994</v>
      </c>
      <c r="Q102" s="18">
        <v>3520</v>
      </c>
      <c r="R102" s="5">
        <v>325.7</v>
      </c>
      <c r="S102" s="5">
        <v>96.3</v>
      </c>
      <c r="T102" s="18">
        <v>3470</v>
      </c>
      <c r="U102" s="5">
        <v>320.89999999999998</v>
      </c>
      <c r="V102" s="5">
        <v>94.9</v>
      </c>
      <c r="W102" s="18">
        <v>4220</v>
      </c>
      <c r="X102" s="5">
        <v>390.2</v>
      </c>
      <c r="Y102" s="5">
        <v>115.3</v>
      </c>
      <c r="Z102" s="18">
        <v>4400</v>
      </c>
      <c r="AA102" s="5">
        <v>407</v>
      </c>
      <c r="AB102" s="16">
        <v>117.1</v>
      </c>
      <c r="AC102" s="21" t="s">
        <v>130</v>
      </c>
      <c r="AD102" s="10">
        <v>4030</v>
      </c>
      <c r="AE102" s="5">
        <v>372.6</v>
      </c>
      <c r="AF102" s="16">
        <v>99.5</v>
      </c>
      <c r="AG102" s="10">
        <v>4670</v>
      </c>
      <c r="AH102" s="5">
        <v>432</v>
      </c>
      <c r="AI102" s="16">
        <v>107.7</v>
      </c>
      <c r="AJ102" s="10">
        <v>5840</v>
      </c>
      <c r="AK102" s="5">
        <v>540</v>
      </c>
      <c r="AL102" s="16">
        <v>125.2</v>
      </c>
      <c r="AM102" s="10">
        <v>5480</v>
      </c>
      <c r="AN102" s="5">
        <v>506.7</v>
      </c>
      <c r="AO102" s="16">
        <v>117.5</v>
      </c>
      <c r="AP102" s="10">
        <v>7030</v>
      </c>
      <c r="AQ102" s="5">
        <v>650.20000000000005</v>
      </c>
      <c r="AR102" s="16">
        <v>150.69999999999999</v>
      </c>
      <c r="AS102" s="10">
        <v>7130</v>
      </c>
      <c r="AT102" s="5">
        <v>659.3</v>
      </c>
      <c r="AU102" s="16">
        <v>152.80000000000001</v>
      </c>
      <c r="AV102" s="10">
        <v>8230</v>
      </c>
      <c r="AW102" s="5">
        <v>761</v>
      </c>
      <c r="AX102" s="16">
        <v>176</v>
      </c>
      <c r="AY102" s="10">
        <v>8710</v>
      </c>
      <c r="AZ102" s="5">
        <v>805.6</v>
      </c>
      <c r="BA102" s="16">
        <v>186.3</v>
      </c>
      <c r="BB102" s="25">
        <v>9590</v>
      </c>
      <c r="BC102" s="26">
        <v>887.5</v>
      </c>
      <c r="BD102" s="27">
        <v>205.8</v>
      </c>
      <c r="BE102" s="65" t="s">
        <v>130</v>
      </c>
      <c r="BF102" s="18">
        <v>10790</v>
      </c>
      <c r="BG102" s="5">
        <v>998.46</v>
      </c>
      <c r="BH102" s="16">
        <v>231.48156846000001</v>
      </c>
      <c r="BI102" s="10">
        <v>12030</v>
      </c>
      <c r="BJ102" s="5">
        <v>1112.9000000000001</v>
      </c>
      <c r="BK102" s="16">
        <v>258.01579390000001</v>
      </c>
      <c r="BL102" s="18">
        <v>12820</v>
      </c>
      <c r="BM102" s="5">
        <v>1185.4000000000001</v>
      </c>
      <c r="BN102" s="16">
        <v>274.81185049999999</v>
      </c>
      <c r="BO102" s="18">
        <v>14930</v>
      </c>
      <c r="BP102" s="5">
        <v>1381.08</v>
      </c>
      <c r="BQ102" s="16">
        <v>320.1928039</v>
      </c>
      <c r="BR102" s="18">
        <v>16710</v>
      </c>
      <c r="BS102" s="5">
        <v>1545.11</v>
      </c>
      <c r="BT102" s="16">
        <v>358.20540174000001</v>
      </c>
      <c r="BU102" s="18">
        <v>17940</v>
      </c>
      <c r="BV102" s="5">
        <v>1659.1</v>
      </c>
      <c r="BW102" s="16">
        <v>384.63480929000002</v>
      </c>
    </row>
    <row r="103" spans="1:75" x14ac:dyDescent="0.2">
      <c r="A103" s="21" t="s">
        <v>131</v>
      </c>
      <c r="B103" s="10">
        <v>1410</v>
      </c>
      <c r="C103" s="5">
        <v>131.89662730000001</v>
      </c>
      <c r="D103" s="5">
        <v>39.130384899999996</v>
      </c>
      <c r="E103" s="18">
        <v>1800</v>
      </c>
      <c r="F103" s="5">
        <v>168.387879</v>
      </c>
      <c r="G103" s="5">
        <v>49.957273299999997</v>
      </c>
      <c r="H103" s="18">
        <v>2030</v>
      </c>
      <c r="I103" s="5">
        <v>189.9</v>
      </c>
      <c r="J103" s="16">
        <v>56.3</v>
      </c>
      <c r="K103" s="18">
        <v>2510</v>
      </c>
      <c r="L103" s="5">
        <v>234.7</v>
      </c>
      <c r="M103" s="5">
        <v>69.599999999999994</v>
      </c>
      <c r="N103" s="18">
        <v>2680</v>
      </c>
      <c r="O103" s="5">
        <v>250.7</v>
      </c>
      <c r="P103" s="5">
        <v>74.400000000000006</v>
      </c>
      <c r="Q103" s="18">
        <v>2620</v>
      </c>
      <c r="R103" s="5">
        <v>244.9</v>
      </c>
      <c r="S103" s="5">
        <v>72.599999999999994</v>
      </c>
      <c r="T103" s="18">
        <v>3540</v>
      </c>
      <c r="U103" s="5">
        <v>331</v>
      </c>
      <c r="V103" s="5">
        <v>98.2</v>
      </c>
      <c r="W103" s="18">
        <v>4160</v>
      </c>
      <c r="X103" s="5">
        <v>389</v>
      </c>
      <c r="Y103" s="5">
        <v>115.4</v>
      </c>
      <c r="Z103" s="18">
        <v>3900</v>
      </c>
      <c r="AA103" s="5">
        <v>364.7</v>
      </c>
      <c r="AB103" s="16">
        <v>105.3</v>
      </c>
      <c r="AC103" s="21" t="s">
        <v>131</v>
      </c>
      <c r="AD103" s="10">
        <v>3960</v>
      </c>
      <c r="AE103" s="5">
        <v>370.1</v>
      </c>
      <c r="AF103" s="16">
        <v>99.2</v>
      </c>
      <c r="AG103" s="10">
        <v>4770</v>
      </c>
      <c r="AH103" s="5">
        <v>446</v>
      </c>
      <c r="AI103" s="16">
        <v>111.8</v>
      </c>
      <c r="AJ103" s="10">
        <v>5510</v>
      </c>
      <c r="AK103" s="5">
        <v>515.4</v>
      </c>
      <c r="AL103" s="16">
        <v>120</v>
      </c>
      <c r="AM103" s="10">
        <v>5340</v>
      </c>
      <c r="AN103" s="5">
        <v>499.3</v>
      </c>
      <c r="AO103" s="16">
        <v>116.3</v>
      </c>
      <c r="AP103" s="10">
        <v>6120</v>
      </c>
      <c r="AQ103" s="5">
        <v>572.1</v>
      </c>
      <c r="AR103" s="16">
        <v>133.19999999999999</v>
      </c>
      <c r="AS103" s="10">
        <v>6900</v>
      </c>
      <c r="AT103" s="5">
        <v>644.9</v>
      </c>
      <c r="AU103" s="16">
        <v>150.19999999999999</v>
      </c>
      <c r="AV103" s="10">
        <v>7800</v>
      </c>
      <c r="AW103" s="5">
        <v>729.4</v>
      </c>
      <c r="AX103" s="16">
        <v>169.2</v>
      </c>
      <c r="AY103" s="10">
        <v>8270</v>
      </c>
      <c r="AZ103" s="5">
        <v>773.3</v>
      </c>
      <c r="BA103" s="16">
        <v>179.6</v>
      </c>
      <c r="BB103" s="25">
        <v>9150</v>
      </c>
      <c r="BC103" s="26">
        <v>855.3</v>
      </c>
      <c r="BD103" s="27">
        <v>199.2</v>
      </c>
      <c r="BE103" s="65" t="s">
        <v>131</v>
      </c>
      <c r="BF103" s="18">
        <v>10390</v>
      </c>
      <c r="BG103" s="5">
        <v>971.79</v>
      </c>
      <c r="BH103" s="16">
        <v>226.31405150999998</v>
      </c>
      <c r="BI103" s="10">
        <v>11420</v>
      </c>
      <c r="BJ103" s="5">
        <v>1068.0999999999999</v>
      </c>
      <c r="BK103" s="16">
        <v>248.73585660000001</v>
      </c>
      <c r="BL103" s="18">
        <v>12340</v>
      </c>
      <c r="BM103" s="5">
        <v>1153.5999999999999</v>
      </c>
      <c r="BN103" s="16">
        <v>268.63929869999998</v>
      </c>
      <c r="BO103" s="18">
        <v>14740</v>
      </c>
      <c r="BP103" s="5">
        <v>1378.53</v>
      </c>
      <c r="BQ103" s="16">
        <v>321.03974726999996</v>
      </c>
      <c r="BR103" s="18">
        <v>16580</v>
      </c>
      <c r="BS103" s="5">
        <v>1550.06</v>
      </c>
      <c r="BT103" s="16">
        <v>360.99207941000003</v>
      </c>
      <c r="BU103" s="18">
        <v>17610</v>
      </c>
      <c r="BV103" s="5">
        <v>1646.87</v>
      </c>
      <c r="BW103" s="16">
        <v>383.53119631999999</v>
      </c>
    </row>
    <row r="104" spans="1:75" x14ac:dyDescent="0.2">
      <c r="A104" s="21" t="s">
        <v>132</v>
      </c>
      <c r="B104" s="10">
        <v>1610</v>
      </c>
      <c r="C104" s="5">
        <v>152.12682409999999</v>
      </c>
      <c r="D104" s="5">
        <v>45.274161299999996</v>
      </c>
      <c r="E104" s="18">
        <v>1860</v>
      </c>
      <c r="F104" s="5">
        <v>175.78818659999999</v>
      </c>
      <c r="G104" s="5">
        <v>52.319592799999995</v>
      </c>
      <c r="H104" s="18">
        <v>2080</v>
      </c>
      <c r="I104" s="5">
        <v>196.5</v>
      </c>
      <c r="J104" s="16">
        <v>58.5</v>
      </c>
      <c r="K104" s="18">
        <v>2080</v>
      </c>
      <c r="L104" s="5">
        <v>196.5</v>
      </c>
      <c r="M104" s="5">
        <v>58.5</v>
      </c>
      <c r="N104" s="18">
        <v>2480</v>
      </c>
      <c r="O104" s="5">
        <v>234.3</v>
      </c>
      <c r="P104" s="5">
        <v>69.7</v>
      </c>
      <c r="Q104" s="18">
        <v>2810</v>
      </c>
      <c r="R104" s="5">
        <v>265.5</v>
      </c>
      <c r="S104" s="5">
        <v>79</v>
      </c>
      <c r="T104" s="18">
        <v>3860</v>
      </c>
      <c r="U104" s="5">
        <v>364.8</v>
      </c>
      <c r="V104" s="5">
        <v>108.6</v>
      </c>
      <c r="W104" s="18">
        <v>3460</v>
      </c>
      <c r="X104" s="5">
        <v>327</v>
      </c>
      <c r="Y104" s="5">
        <v>97.3</v>
      </c>
      <c r="Z104" s="18">
        <v>4290</v>
      </c>
      <c r="AA104" s="5">
        <v>405.7</v>
      </c>
      <c r="AB104" s="16">
        <v>117.6</v>
      </c>
      <c r="AC104" s="21" t="s">
        <v>132</v>
      </c>
      <c r="AD104" s="10">
        <v>4030</v>
      </c>
      <c r="AE104" s="5">
        <v>380.9</v>
      </c>
      <c r="AF104" s="16">
        <v>102.6</v>
      </c>
      <c r="AG104" s="10">
        <v>4590</v>
      </c>
      <c r="AH104" s="5">
        <v>433.7</v>
      </c>
      <c r="AI104" s="16">
        <v>109.2</v>
      </c>
      <c r="AJ104" s="10">
        <v>5470</v>
      </c>
      <c r="AK104" s="5">
        <v>517</v>
      </c>
      <c r="AL104" s="16">
        <v>120.9</v>
      </c>
      <c r="AM104" s="10">
        <v>6750</v>
      </c>
      <c r="AN104" s="5">
        <v>637.9</v>
      </c>
      <c r="AO104" s="16">
        <v>149.19999999999999</v>
      </c>
      <c r="AP104" s="10">
        <v>6260</v>
      </c>
      <c r="AQ104" s="5">
        <v>591.5</v>
      </c>
      <c r="AR104" s="16">
        <v>138.4</v>
      </c>
      <c r="AS104" s="10">
        <v>6880</v>
      </c>
      <c r="AT104" s="5">
        <v>650.20000000000005</v>
      </c>
      <c r="AU104" s="16">
        <v>152.1</v>
      </c>
      <c r="AV104" s="10">
        <v>7810</v>
      </c>
      <c r="AW104" s="5">
        <v>738.3</v>
      </c>
      <c r="AX104" s="16">
        <v>172.3</v>
      </c>
      <c r="AY104" s="10">
        <v>7940</v>
      </c>
      <c r="AZ104" s="5">
        <v>750.5</v>
      </c>
      <c r="BA104" s="16">
        <v>175</v>
      </c>
      <c r="BB104" s="25">
        <v>8930</v>
      </c>
      <c r="BC104" s="26">
        <v>843.8</v>
      </c>
      <c r="BD104" s="27">
        <v>197.4</v>
      </c>
      <c r="BE104" s="65" t="s">
        <v>132</v>
      </c>
      <c r="BF104" s="18">
        <v>10200</v>
      </c>
      <c r="BG104" s="5">
        <v>964.3</v>
      </c>
      <c r="BH104" s="16">
        <v>225.57712299000002</v>
      </c>
      <c r="BI104" s="10">
        <v>11510</v>
      </c>
      <c r="BJ104" s="5">
        <v>1087.8</v>
      </c>
      <c r="BK104" s="16">
        <v>254.46458440000001</v>
      </c>
      <c r="BL104" s="18">
        <v>11910</v>
      </c>
      <c r="BM104" s="5">
        <v>1125.5</v>
      </c>
      <c r="BN104" s="16">
        <v>263.27700299999998</v>
      </c>
      <c r="BO104" s="18">
        <v>13950</v>
      </c>
      <c r="BP104" s="5">
        <v>1318.13</v>
      </c>
      <c r="BQ104" s="16">
        <v>308.33562611000002</v>
      </c>
      <c r="BR104" s="18">
        <v>16160</v>
      </c>
      <c r="BS104" s="5">
        <v>1527.06</v>
      </c>
      <c r="BT104" s="16">
        <v>357.20451264999997</v>
      </c>
      <c r="BU104" s="18">
        <v>16960</v>
      </c>
      <c r="BV104" s="5">
        <v>1602.2</v>
      </c>
      <c r="BW104" s="16">
        <v>374.77380663999998</v>
      </c>
    </row>
    <row r="105" spans="1:75" x14ac:dyDescent="0.2">
      <c r="A105" s="21" t="s">
        <v>133</v>
      </c>
      <c r="B105" s="10">
        <v>1320</v>
      </c>
      <c r="C105" s="5">
        <v>126.03126520000001</v>
      </c>
      <c r="D105" s="5">
        <v>37.628593600000002</v>
      </c>
      <c r="E105" s="18">
        <v>1940</v>
      </c>
      <c r="F105" s="5">
        <v>185.36308869999999</v>
      </c>
      <c r="G105" s="5">
        <v>55.355404399999998</v>
      </c>
      <c r="H105" s="18">
        <v>1600</v>
      </c>
      <c r="I105" s="5">
        <v>152.80000000000001</v>
      </c>
      <c r="J105" s="16">
        <v>45.6</v>
      </c>
      <c r="K105" s="18">
        <v>2080</v>
      </c>
      <c r="L105" s="5">
        <v>198.6</v>
      </c>
      <c r="M105" s="5">
        <v>59.3</v>
      </c>
      <c r="N105" s="18">
        <v>2580</v>
      </c>
      <c r="O105" s="5">
        <v>246.3</v>
      </c>
      <c r="P105" s="5">
        <v>73.5</v>
      </c>
      <c r="Q105" s="18">
        <v>2330</v>
      </c>
      <c r="R105" s="5">
        <v>222.4</v>
      </c>
      <c r="S105" s="5">
        <v>66.400000000000006</v>
      </c>
      <c r="T105" s="18">
        <v>3360</v>
      </c>
      <c r="U105" s="5">
        <v>320.89999999999998</v>
      </c>
      <c r="V105" s="5">
        <v>95.8</v>
      </c>
      <c r="W105" s="18">
        <v>3900</v>
      </c>
      <c r="X105" s="5">
        <v>372.3</v>
      </c>
      <c r="Y105" s="5">
        <v>111.2</v>
      </c>
      <c r="Z105" s="18">
        <v>3880</v>
      </c>
      <c r="AA105" s="5">
        <v>370.4</v>
      </c>
      <c r="AB105" s="16">
        <v>107.8</v>
      </c>
      <c r="AC105" s="21" t="s">
        <v>133</v>
      </c>
      <c r="AD105" s="10">
        <v>3730</v>
      </c>
      <c r="AE105" s="5">
        <v>356.2</v>
      </c>
      <c r="AF105" s="16">
        <v>96.4</v>
      </c>
      <c r="AG105" s="10">
        <v>3870</v>
      </c>
      <c r="AH105" s="5">
        <v>369.5</v>
      </c>
      <c r="AI105" s="16">
        <v>93.4</v>
      </c>
      <c r="AJ105" s="10">
        <v>5340</v>
      </c>
      <c r="AK105" s="5">
        <v>509.8</v>
      </c>
      <c r="AL105" s="16">
        <v>119.7</v>
      </c>
      <c r="AM105" s="10">
        <v>6140</v>
      </c>
      <c r="AN105" s="5">
        <v>586.70000000000005</v>
      </c>
      <c r="AO105" s="16">
        <v>137.9</v>
      </c>
      <c r="AP105" s="10">
        <v>6070</v>
      </c>
      <c r="AQ105" s="5">
        <v>579.9</v>
      </c>
      <c r="AR105" s="16">
        <v>136.30000000000001</v>
      </c>
      <c r="AS105" s="10">
        <v>6280</v>
      </c>
      <c r="AT105" s="5">
        <v>599.9</v>
      </c>
      <c r="AU105" s="16">
        <v>141</v>
      </c>
      <c r="AV105" s="10">
        <v>7280</v>
      </c>
      <c r="AW105" s="5">
        <v>694.7</v>
      </c>
      <c r="AX105" s="16">
        <v>162.69999999999999</v>
      </c>
      <c r="AY105" s="10">
        <v>7660</v>
      </c>
      <c r="AZ105" s="5">
        <v>731.4</v>
      </c>
      <c r="BA105" s="16">
        <v>171.5</v>
      </c>
      <c r="BB105" s="25">
        <v>8810</v>
      </c>
      <c r="BC105" s="26">
        <v>841.6</v>
      </c>
      <c r="BD105" s="27">
        <v>197.7</v>
      </c>
      <c r="BE105" s="65" t="s">
        <v>133</v>
      </c>
      <c r="BF105" s="18">
        <v>9680</v>
      </c>
      <c r="BG105" s="5">
        <v>924.81</v>
      </c>
      <c r="BH105" s="16">
        <v>217.25649587000001</v>
      </c>
      <c r="BI105" s="10">
        <v>10940</v>
      </c>
      <c r="BJ105" s="5">
        <v>1044.7</v>
      </c>
      <c r="BK105" s="16">
        <v>245.40766340000002</v>
      </c>
      <c r="BL105" s="18">
        <v>11670</v>
      </c>
      <c r="BM105" s="5">
        <v>1114.5999999999999</v>
      </c>
      <c r="BN105" s="16">
        <v>261.84163209999997</v>
      </c>
      <c r="BO105" s="18">
        <v>13500</v>
      </c>
      <c r="BP105" s="5">
        <v>1289.0899999999999</v>
      </c>
      <c r="BQ105" s="16">
        <v>302.82588893999997</v>
      </c>
      <c r="BR105" s="18">
        <v>15630</v>
      </c>
      <c r="BS105" s="5">
        <v>1492.25</v>
      </c>
      <c r="BT105" s="16">
        <v>350.54837450999997</v>
      </c>
      <c r="BU105" s="18">
        <v>17030</v>
      </c>
      <c r="BV105" s="5">
        <v>1626.03</v>
      </c>
      <c r="BW105" s="16">
        <v>381.97450050999998</v>
      </c>
    </row>
    <row r="106" spans="1:75" x14ac:dyDescent="0.2">
      <c r="A106" s="21" t="s">
        <v>134</v>
      </c>
      <c r="B106" s="10">
        <v>1280</v>
      </c>
      <c r="C106" s="5">
        <v>123.53738540000001</v>
      </c>
      <c r="D106" s="5">
        <v>37.005180200000005</v>
      </c>
      <c r="E106" s="18">
        <v>1760</v>
      </c>
      <c r="F106" s="5">
        <v>169.79104359999999</v>
      </c>
      <c r="G106" s="5">
        <v>50.853707299999996</v>
      </c>
      <c r="H106" s="18">
        <v>1380</v>
      </c>
      <c r="I106" s="5">
        <v>133</v>
      </c>
      <c r="J106" s="16">
        <v>39.799999999999997</v>
      </c>
      <c r="K106" s="18">
        <v>1800</v>
      </c>
      <c r="L106" s="5">
        <v>173.7</v>
      </c>
      <c r="M106" s="5">
        <v>52</v>
      </c>
      <c r="N106" s="18">
        <v>2280</v>
      </c>
      <c r="O106" s="5">
        <v>220</v>
      </c>
      <c r="P106" s="5">
        <v>65.900000000000006</v>
      </c>
      <c r="Q106" s="18">
        <v>2490</v>
      </c>
      <c r="R106" s="5">
        <v>240.3</v>
      </c>
      <c r="S106" s="5">
        <v>72</v>
      </c>
      <c r="T106" s="18">
        <v>3110</v>
      </c>
      <c r="U106" s="5">
        <v>300</v>
      </c>
      <c r="V106" s="5">
        <v>89.9</v>
      </c>
      <c r="W106" s="18">
        <v>3400</v>
      </c>
      <c r="X106" s="5">
        <v>328</v>
      </c>
      <c r="Y106" s="5">
        <v>98.2</v>
      </c>
      <c r="Z106" s="18">
        <v>2880</v>
      </c>
      <c r="AA106" s="5">
        <v>278</v>
      </c>
      <c r="AB106" s="16">
        <v>81.2</v>
      </c>
      <c r="AC106" s="21" t="s">
        <v>134</v>
      </c>
      <c r="AD106" s="10">
        <v>3400</v>
      </c>
      <c r="AE106" s="5">
        <v>328.2</v>
      </c>
      <c r="AF106" s="16">
        <v>89.2</v>
      </c>
      <c r="AG106" s="10">
        <v>4300</v>
      </c>
      <c r="AH106" s="5">
        <v>414.9</v>
      </c>
      <c r="AI106" s="16">
        <v>105.3</v>
      </c>
      <c r="AJ106" s="10">
        <v>5260</v>
      </c>
      <c r="AK106" s="5">
        <v>507.5</v>
      </c>
      <c r="AL106" s="16">
        <v>119.7</v>
      </c>
      <c r="AM106" s="10">
        <v>5750</v>
      </c>
      <c r="AN106" s="5">
        <v>554.9</v>
      </c>
      <c r="AO106" s="16">
        <v>130.9</v>
      </c>
      <c r="AP106" s="10">
        <v>5800</v>
      </c>
      <c r="AQ106" s="5">
        <v>559.70000000000005</v>
      </c>
      <c r="AR106" s="16">
        <v>132</v>
      </c>
      <c r="AS106" s="10">
        <v>6830</v>
      </c>
      <c r="AT106" s="5">
        <v>659</v>
      </c>
      <c r="AU106" s="16">
        <v>155.5</v>
      </c>
      <c r="AV106" s="10">
        <v>7030</v>
      </c>
      <c r="AW106" s="5">
        <v>678.6</v>
      </c>
      <c r="AX106" s="16">
        <v>159.80000000000001</v>
      </c>
      <c r="AY106" s="10">
        <v>7600</v>
      </c>
      <c r="AZ106" s="5">
        <v>733.5</v>
      </c>
      <c r="BA106" s="16">
        <v>172.5</v>
      </c>
      <c r="BB106" s="25">
        <v>8180</v>
      </c>
      <c r="BC106" s="26">
        <v>789.7</v>
      </c>
      <c r="BD106" s="27">
        <v>186.3</v>
      </c>
      <c r="BE106" s="65" t="s">
        <v>134</v>
      </c>
      <c r="BF106" s="18">
        <v>9230</v>
      </c>
      <c r="BG106" s="5">
        <v>891.03</v>
      </c>
      <c r="BH106" s="16">
        <v>210.19537025</v>
      </c>
      <c r="BI106" s="10">
        <v>10510</v>
      </c>
      <c r="BJ106" s="5">
        <v>1014.2</v>
      </c>
      <c r="BK106" s="16">
        <v>239.25431509999999</v>
      </c>
      <c r="BL106" s="18">
        <v>11450</v>
      </c>
      <c r="BM106" s="5">
        <v>1105</v>
      </c>
      <c r="BN106" s="16">
        <v>260.68303019999996</v>
      </c>
      <c r="BO106" s="18">
        <v>13020</v>
      </c>
      <c r="BP106" s="5">
        <v>1256.56</v>
      </c>
      <c r="BQ106" s="16">
        <v>296.43238156000001</v>
      </c>
      <c r="BR106" s="18">
        <v>14850</v>
      </c>
      <c r="BS106" s="5">
        <v>1432.63</v>
      </c>
      <c r="BT106" s="16">
        <v>337.96642506000001</v>
      </c>
      <c r="BU106" s="18">
        <v>16130</v>
      </c>
      <c r="BV106" s="5">
        <v>1556.64</v>
      </c>
      <c r="BW106" s="16">
        <v>367.22070537999997</v>
      </c>
    </row>
    <row r="107" spans="1:75" x14ac:dyDescent="0.2">
      <c r="A107" s="21" t="s">
        <v>135</v>
      </c>
      <c r="B107" s="10">
        <v>1440</v>
      </c>
      <c r="C107" s="5">
        <v>140.32742580000001</v>
      </c>
      <c r="D107" s="5">
        <v>42.1564969</v>
      </c>
      <c r="E107" s="18">
        <v>1810</v>
      </c>
      <c r="F107" s="5">
        <v>176.44224890000001</v>
      </c>
      <c r="G107" s="5">
        <v>53.011177200000006</v>
      </c>
      <c r="H107" s="18">
        <v>1440</v>
      </c>
      <c r="I107" s="5">
        <v>140.4</v>
      </c>
      <c r="J107" s="16">
        <v>42.2</v>
      </c>
      <c r="K107" s="18">
        <v>2180</v>
      </c>
      <c r="L107" s="5">
        <v>212.6</v>
      </c>
      <c r="M107" s="5">
        <v>63.9</v>
      </c>
      <c r="N107" s="18">
        <v>2000</v>
      </c>
      <c r="O107" s="5">
        <v>195.1</v>
      </c>
      <c r="P107" s="5">
        <v>58.6</v>
      </c>
      <c r="Q107" s="18">
        <v>2280</v>
      </c>
      <c r="R107" s="5">
        <v>222.2</v>
      </c>
      <c r="S107" s="5">
        <v>66.8</v>
      </c>
      <c r="T107" s="18">
        <v>3190</v>
      </c>
      <c r="U107" s="5">
        <v>311</v>
      </c>
      <c r="V107" s="5">
        <v>93.4</v>
      </c>
      <c r="W107" s="18">
        <v>3450</v>
      </c>
      <c r="X107" s="5">
        <v>336.5</v>
      </c>
      <c r="Y107" s="5">
        <v>101.1</v>
      </c>
      <c r="Z107" s="18">
        <v>3530</v>
      </c>
      <c r="AA107" s="5">
        <v>344.1</v>
      </c>
      <c r="AB107" s="16">
        <v>100.8</v>
      </c>
      <c r="AC107" s="21" t="s">
        <v>135</v>
      </c>
      <c r="AD107" s="10">
        <v>3890</v>
      </c>
      <c r="AE107" s="5">
        <v>379.1</v>
      </c>
      <c r="AF107" s="16">
        <v>103.4</v>
      </c>
      <c r="AG107" s="10">
        <v>3590</v>
      </c>
      <c r="AH107" s="5">
        <v>349.8</v>
      </c>
      <c r="AI107" s="16">
        <v>89.1</v>
      </c>
      <c r="AJ107" s="10">
        <v>4220</v>
      </c>
      <c r="AK107" s="5">
        <v>411.5</v>
      </c>
      <c r="AL107" s="16">
        <v>97.5</v>
      </c>
      <c r="AM107" s="10">
        <v>5010</v>
      </c>
      <c r="AN107" s="5">
        <v>488.4</v>
      </c>
      <c r="AO107" s="16">
        <v>115.7</v>
      </c>
      <c r="AP107" s="10">
        <v>5240</v>
      </c>
      <c r="AQ107" s="5">
        <v>510.9</v>
      </c>
      <c r="AR107" s="16">
        <v>121</v>
      </c>
      <c r="AS107" s="10">
        <v>5680</v>
      </c>
      <c r="AT107" s="5">
        <v>553.79999999999995</v>
      </c>
      <c r="AU107" s="16">
        <v>131.19999999999999</v>
      </c>
      <c r="AV107" s="10">
        <v>6830</v>
      </c>
      <c r="AW107" s="5">
        <v>665.8</v>
      </c>
      <c r="AX107" s="16">
        <v>157.19999999999999</v>
      </c>
      <c r="AY107" s="10">
        <v>7080</v>
      </c>
      <c r="AZ107" s="5">
        <v>689.8</v>
      </c>
      <c r="BA107" s="16">
        <v>162.9</v>
      </c>
      <c r="BB107" s="25">
        <v>7970</v>
      </c>
      <c r="BC107" s="26">
        <v>777.1</v>
      </c>
      <c r="BD107" s="27">
        <v>184.1</v>
      </c>
      <c r="BE107" s="65" t="s">
        <v>135</v>
      </c>
      <c r="BF107" s="18">
        <v>8800</v>
      </c>
      <c r="BG107" s="5">
        <v>857.99</v>
      </c>
      <c r="BH107" s="16">
        <v>203.23098715</v>
      </c>
      <c r="BI107" s="10">
        <v>9990</v>
      </c>
      <c r="BJ107" s="5">
        <v>973.7</v>
      </c>
      <c r="BK107" s="16">
        <v>230.64775019999999</v>
      </c>
      <c r="BL107" s="18">
        <v>11020</v>
      </c>
      <c r="BM107" s="5">
        <v>1074.5</v>
      </c>
      <c r="BN107" s="16">
        <v>254.50782190000001</v>
      </c>
      <c r="BO107" s="18">
        <v>12620</v>
      </c>
      <c r="BP107" s="5">
        <v>1230.28</v>
      </c>
      <c r="BQ107" s="16">
        <v>291.41258786999998</v>
      </c>
      <c r="BR107" s="18">
        <v>14580</v>
      </c>
      <c r="BS107" s="5">
        <v>1421.01</v>
      </c>
      <c r="BT107" s="16">
        <v>336.59122826999999</v>
      </c>
      <c r="BU107" s="18">
        <v>15690</v>
      </c>
      <c r="BV107" s="5">
        <v>1529.55</v>
      </c>
      <c r="BW107" s="16">
        <v>362.31234174999997</v>
      </c>
    </row>
    <row r="108" spans="1:75" x14ac:dyDescent="0.2">
      <c r="A108" s="21" t="s">
        <v>136</v>
      </c>
      <c r="B108" s="10">
        <v>1690</v>
      </c>
      <c r="C108" s="5">
        <v>166.53942930000002</v>
      </c>
      <c r="D108" s="5">
        <v>50.196677700000002</v>
      </c>
      <c r="E108" s="18">
        <v>1810</v>
      </c>
      <c r="F108" s="5">
        <v>178.22365019999998</v>
      </c>
      <c r="G108" s="5">
        <v>53.7059243</v>
      </c>
      <c r="H108" s="18">
        <v>1810</v>
      </c>
      <c r="I108" s="5">
        <v>178.3</v>
      </c>
      <c r="J108" s="16">
        <v>53.7</v>
      </c>
      <c r="K108" s="18">
        <v>1710</v>
      </c>
      <c r="L108" s="5">
        <v>168.5</v>
      </c>
      <c r="M108" s="5">
        <v>50.8</v>
      </c>
      <c r="N108" s="18">
        <v>2480</v>
      </c>
      <c r="O108" s="5">
        <v>244.5</v>
      </c>
      <c r="P108" s="5">
        <v>73.7</v>
      </c>
      <c r="Q108" s="18">
        <v>2570</v>
      </c>
      <c r="R108" s="5">
        <v>253.2</v>
      </c>
      <c r="S108" s="5">
        <v>76.3</v>
      </c>
      <c r="T108" s="18">
        <v>2590</v>
      </c>
      <c r="U108" s="5">
        <v>255.2</v>
      </c>
      <c r="V108" s="5">
        <v>76.900000000000006</v>
      </c>
      <c r="W108" s="18">
        <v>2710</v>
      </c>
      <c r="X108" s="5">
        <v>266.89999999999998</v>
      </c>
      <c r="Y108" s="5">
        <v>80.400000000000006</v>
      </c>
      <c r="Z108" s="18">
        <v>3440</v>
      </c>
      <c r="AA108" s="5">
        <v>338.9</v>
      </c>
      <c r="AB108" s="16">
        <v>99.6</v>
      </c>
      <c r="AC108" s="21" t="s">
        <v>136</v>
      </c>
      <c r="AD108" s="10">
        <v>3540</v>
      </c>
      <c r="AE108" s="5">
        <v>348.7</v>
      </c>
      <c r="AF108" s="16">
        <v>95.5</v>
      </c>
      <c r="AG108" s="10">
        <v>4440</v>
      </c>
      <c r="AH108" s="5">
        <v>437.3</v>
      </c>
      <c r="AI108" s="16">
        <v>111.9</v>
      </c>
      <c r="AJ108" s="10">
        <v>4200</v>
      </c>
      <c r="AK108" s="5">
        <v>413.7</v>
      </c>
      <c r="AL108" s="16">
        <v>98.4</v>
      </c>
      <c r="AM108" s="10">
        <v>5190</v>
      </c>
      <c r="AN108" s="5">
        <v>511.2</v>
      </c>
      <c r="AO108" s="16">
        <v>121.6</v>
      </c>
      <c r="AP108" s="10">
        <v>6310</v>
      </c>
      <c r="AQ108" s="5">
        <v>621.6</v>
      </c>
      <c r="AR108" s="16">
        <v>147.80000000000001</v>
      </c>
      <c r="AS108" s="10">
        <v>6290</v>
      </c>
      <c r="AT108" s="5">
        <v>619.6</v>
      </c>
      <c r="AU108" s="16">
        <v>147.4</v>
      </c>
      <c r="AV108" s="10">
        <v>6390</v>
      </c>
      <c r="AW108" s="5">
        <v>629.1</v>
      </c>
      <c r="AX108" s="16">
        <v>149.1</v>
      </c>
      <c r="AY108" s="10">
        <v>6810</v>
      </c>
      <c r="AZ108" s="5">
        <v>670.6</v>
      </c>
      <c r="BA108" s="16">
        <v>159</v>
      </c>
      <c r="BB108" s="25">
        <v>7560</v>
      </c>
      <c r="BC108" s="26">
        <v>744.4</v>
      </c>
      <c r="BD108" s="27">
        <v>177</v>
      </c>
      <c r="BE108" s="65" t="s">
        <v>136</v>
      </c>
      <c r="BF108" s="18">
        <v>8560</v>
      </c>
      <c r="BG108" s="5">
        <v>842.67</v>
      </c>
      <c r="BH108" s="16">
        <v>200.4006254</v>
      </c>
      <c r="BI108" s="10">
        <v>9570</v>
      </c>
      <c r="BJ108" s="5">
        <v>942.7</v>
      </c>
      <c r="BK108" s="16">
        <v>224.19009650000001</v>
      </c>
      <c r="BL108" s="18">
        <v>10600</v>
      </c>
      <c r="BM108" s="5">
        <v>1043.8</v>
      </c>
      <c r="BN108" s="16">
        <v>248.24854919999999</v>
      </c>
      <c r="BO108" s="18">
        <v>12280</v>
      </c>
      <c r="BP108" s="5">
        <v>1209.8900000000001</v>
      </c>
      <c r="BQ108" s="16">
        <v>287.72493414999997</v>
      </c>
      <c r="BR108" s="18">
        <v>14140</v>
      </c>
      <c r="BS108" s="5">
        <v>1392.26</v>
      </c>
      <c r="BT108" s="16">
        <v>331.09815954000004</v>
      </c>
      <c r="BU108" s="18">
        <v>15500</v>
      </c>
      <c r="BV108" s="5">
        <v>1526.73</v>
      </c>
      <c r="BW108" s="16">
        <v>363.07985092000001</v>
      </c>
    </row>
    <row r="109" spans="1:75" x14ac:dyDescent="0.2">
      <c r="A109" s="21" t="s">
        <v>137</v>
      </c>
      <c r="B109" s="10">
        <v>2080</v>
      </c>
      <c r="C109" s="5">
        <v>206.9</v>
      </c>
      <c r="D109" s="5">
        <v>62.5</v>
      </c>
      <c r="E109" s="18">
        <v>2000</v>
      </c>
      <c r="F109" s="5">
        <v>199</v>
      </c>
      <c r="G109" s="5">
        <v>60.2</v>
      </c>
      <c r="H109" s="18">
        <v>1780</v>
      </c>
      <c r="I109" s="5">
        <v>177.2</v>
      </c>
      <c r="J109" s="16">
        <v>53.5</v>
      </c>
      <c r="K109" s="18">
        <v>1860</v>
      </c>
      <c r="L109" s="5">
        <v>185.2</v>
      </c>
      <c r="M109" s="5">
        <v>56</v>
      </c>
      <c r="N109" s="18">
        <v>2430</v>
      </c>
      <c r="O109" s="5">
        <v>241.9</v>
      </c>
      <c r="P109" s="5">
        <v>73.099999999999994</v>
      </c>
      <c r="Q109" s="18">
        <v>2630</v>
      </c>
      <c r="R109" s="5">
        <v>261.8</v>
      </c>
      <c r="S109" s="5">
        <v>79.099999999999994</v>
      </c>
      <c r="T109" s="18">
        <v>2810</v>
      </c>
      <c r="U109" s="5">
        <v>279.60000000000002</v>
      </c>
      <c r="V109" s="5">
        <v>84.5</v>
      </c>
      <c r="W109" s="18">
        <v>3550</v>
      </c>
      <c r="X109" s="5">
        <v>353.3</v>
      </c>
      <c r="Y109" s="5">
        <v>106.8</v>
      </c>
      <c r="Z109" s="18">
        <v>3030</v>
      </c>
      <c r="AA109" s="5">
        <v>301.60000000000002</v>
      </c>
      <c r="AB109" s="16">
        <v>89</v>
      </c>
      <c r="AC109" s="21" t="s">
        <v>137</v>
      </c>
      <c r="AD109" s="10">
        <v>4480</v>
      </c>
      <c r="AE109" s="5">
        <v>446.1</v>
      </c>
      <c r="AF109" s="16">
        <v>122.7</v>
      </c>
      <c r="AG109" s="10">
        <v>4580</v>
      </c>
      <c r="AH109" s="5">
        <v>456</v>
      </c>
      <c r="AI109" s="16">
        <v>117.2</v>
      </c>
      <c r="AJ109" s="10">
        <v>4380</v>
      </c>
      <c r="AK109" s="5">
        <v>436</v>
      </c>
      <c r="AL109" s="16">
        <v>104.1</v>
      </c>
      <c r="AM109" s="10">
        <v>5290</v>
      </c>
      <c r="AN109" s="5">
        <v>526.70000000000005</v>
      </c>
      <c r="AO109" s="16">
        <v>125.8</v>
      </c>
      <c r="AP109" s="10">
        <v>6360</v>
      </c>
      <c r="AQ109" s="5">
        <v>633.5</v>
      </c>
      <c r="AR109" s="16">
        <v>151.30000000000001</v>
      </c>
      <c r="AS109" s="10">
        <v>7360</v>
      </c>
      <c r="AT109" s="5">
        <v>732.8</v>
      </c>
      <c r="AU109" s="16">
        <v>175</v>
      </c>
      <c r="AV109" s="10">
        <v>7130</v>
      </c>
      <c r="AW109" s="5">
        <v>710.1</v>
      </c>
      <c r="AX109" s="16">
        <v>169.1</v>
      </c>
      <c r="AY109" s="10">
        <v>7570</v>
      </c>
      <c r="AZ109" s="5">
        <v>753.7</v>
      </c>
      <c r="BA109" s="16">
        <v>179.4</v>
      </c>
      <c r="BB109" s="25">
        <v>8280</v>
      </c>
      <c r="BC109" s="26">
        <v>824.2</v>
      </c>
      <c r="BD109" s="27">
        <v>196.8</v>
      </c>
      <c r="BE109" s="65" t="s">
        <v>137</v>
      </c>
      <c r="BF109" s="18">
        <v>9240</v>
      </c>
      <c r="BG109" s="5">
        <v>919.54</v>
      </c>
      <c r="BH109" s="16">
        <v>219.57729162000001</v>
      </c>
      <c r="BI109" s="10">
        <v>10410</v>
      </c>
      <c r="BJ109" s="5">
        <v>1036.3</v>
      </c>
      <c r="BK109" s="16">
        <v>247.45141609999999</v>
      </c>
      <c r="BL109" s="18">
        <v>10710</v>
      </c>
      <c r="BM109" s="5">
        <v>1065.5999999999999</v>
      </c>
      <c r="BN109" s="16">
        <v>254.43937450000001</v>
      </c>
      <c r="BO109" s="18">
        <v>12200</v>
      </c>
      <c r="BP109" s="5">
        <v>1214.4100000000001</v>
      </c>
      <c r="BQ109" s="16">
        <v>289.95143942000004</v>
      </c>
      <c r="BR109" s="18">
        <v>14370</v>
      </c>
      <c r="BS109" s="5">
        <v>1430.21</v>
      </c>
      <c r="BT109" s="16">
        <v>341.47165598999999</v>
      </c>
      <c r="BU109" s="18">
        <v>15750</v>
      </c>
      <c r="BV109" s="5">
        <v>1567.71</v>
      </c>
      <c r="BW109" s="16">
        <v>374.29730907999999</v>
      </c>
    </row>
    <row r="110" spans="1:75" x14ac:dyDescent="0.2">
      <c r="A110" s="21" t="s">
        <v>138</v>
      </c>
      <c r="B110" s="10">
        <v>1540</v>
      </c>
      <c r="C110" s="5">
        <v>154.69999999999999</v>
      </c>
      <c r="D110" s="5">
        <v>46.9</v>
      </c>
      <c r="E110" s="18">
        <v>1710</v>
      </c>
      <c r="F110" s="5">
        <v>171.8</v>
      </c>
      <c r="G110" s="5">
        <v>52.1</v>
      </c>
      <c r="H110" s="18">
        <v>1480</v>
      </c>
      <c r="I110" s="5">
        <v>148.80000000000001</v>
      </c>
      <c r="J110" s="16">
        <v>45.1</v>
      </c>
      <c r="K110" s="18">
        <v>1740</v>
      </c>
      <c r="L110" s="5">
        <v>174.9</v>
      </c>
      <c r="M110" s="5">
        <v>53</v>
      </c>
      <c r="N110" s="18">
        <v>2130</v>
      </c>
      <c r="O110" s="5">
        <v>213.9</v>
      </c>
      <c r="P110" s="5">
        <v>64.8</v>
      </c>
      <c r="Q110" s="18">
        <v>2120</v>
      </c>
      <c r="R110" s="5">
        <v>213</v>
      </c>
      <c r="S110" s="5">
        <v>64.599999999999994</v>
      </c>
      <c r="T110" s="18">
        <v>2490</v>
      </c>
      <c r="U110" s="5">
        <v>250.3</v>
      </c>
      <c r="V110" s="5">
        <v>75.900000000000006</v>
      </c>
      <c r="W110" s="18">
        <v>3080</v>
      </c>
      <c r="X110" s="5">
        <v>309.5</v>
      </c>
      <c r="Y110" s="5">
        <v>93.8</v>
      </c>
      <c r="Z110" s="18">
        <v>3110</v>
      </c>
      <c r="AA110" s="5">
        <v>312.60000000000002</v>
      </c>
      <c r="AB110" s="16">
        <v>92.5</v>
      </c>
      <c r="AC110" s="21" t="s">
        <v>138</v>
      </c>
      <c r="AD110" s="10">
        <v>2920</v>
      </c>
      <c r="AE110" s="5">
        <v>293.2</v>
      </c>
      <c r="AF110" s="16">
        <v>80.900000000000006</v>
      </c>
      <c r="AG110" s="10">
        <v>3600</v>
      </c>
      <c r="AH110" s="5">
        <v>361.9</v>
      </c>
      <c r="AI110" s="16">
        <v>93.3</v>
      </c>
      <c r="AJ110" s="10">
        <v>3830</v>
      </c>
      <c r="AK110" s="5">
        <v>384.8</v>
      </c>
      <c r="AL110" s="16">
        <v>92.2</v>
      </c>
      <c r="AM110" s="10">
        <v>4770</v>
      </c>
      <c r="AN110" s="5">
        <v>479.2</v>
      </c>
      <c r="AO110" s="16">
        <v>114.8</v>
      </c>
      <c r="AP110" s="10">
        <v>4940</v>
      </c>
      <c r="AQ110" s="5">
        <v>496.4</v>
      </c>
      <c r="AR110" s="16">
        <v>119</v>
      </c>
      <c r="AS110" s="10">
        <v>4900</v>
      </c>
      <c r="AT110" s="5">
        <v>492.2</v>
      </c>
      <c r="AU110" s="16">
        <v>117.9</v>
      </c>
      <c r="AV110" s="10">
        <v>6290</v>
      </c>
      <c r="AW110" s="5">
        <v>632.4</v>
      </c>
      <c r="AX110" s="16">
        <v>151</v>
      </c>
      <c r="AY110" s="10">
        <v>6760</v>
      </c>
      <c r="AZ110" s="5">
        <v>679.3</v>
      </c>
      <c r="BA110" s="16">
        <v>162.1</v>
      </c>
      <c r="BB110" s="25">
        <v>7590</v>
      </c>
      <c r="BC110" s="26">
        <v>762.3</v>
      </c>
      <c r="BD110" s="27">
        <v>182.7</v>
      </c>
      <c r="BE110" s="65" t="s">
        <v>138</v>
      </c>
      <c r="BF110" s="18">
        <v>8540</v>
      </c>
      <c r="BG110" s="5">
        <v>858.32</v>
      </c>
      <c r="BH110" s="16">
        <v>205.68536352000001</v>
      </c>
      <c r="BI110" s="10">
        <v>9770</v>
      </c>
      <c r="BJ110" s="5">
        <v>981.7</v>
      </c>
      <c r="BK110" s="16">
        <v>235.23628830000001</v>
      </c>
      <c r="BL110" s="18">
        <v>10480</v>
      </c>
      <c r="BM110" s="5">
        <v>1053.3</v>
      </c>
      <c r="BN110" s="16">
        <v>252.40846690000001</v>
      </c>
      <c r="BO110" s="18">
        <v>12500</v>
      </c>
      <c r="BP110" s="5">
        <v>1255.49</v>
      </c>
      <c r="BQ110" s="16">
        <v>300.84715469999998</v>
      </c>
      <c r="BR110" s="18">
        <v>14670</v>
      </c>
      <c r="BS110" s="5">
        <v>1473.67</v>
      </c>
      <c r="BT110" s="16">
        <v>353.11641976999999</v>
      </c>
      <c r="BU110" s="18">
        <v>16710</v>
      </c>
      <c r="BV110" s="5">
        <v>1679.37</v>
      </c>
      <c r="BW110" s="16">
        <v>402.42736560000003</v>
      </c>
    </row>
    <row r="111" spans="1:75" x14ac:dyDescent="0.2">
      <c r="A111" s="21" t="s">
        <v>139</v>
      </c>
      <c r="B111" s="10">
        <v>1070</v>
      </c>
      <c r="C111" s="5">
        <v>108.6</v>
      </c>
      <c r="D111" s="5">
        <v>33</v>
      </c>
      <c r="E111" s="18">
        <v>1360</v>
      </c>
      <c r="F111" s="5">
        <v>138.1</v>
      </c>
      <c r="G111" s="5">
        <v>42</v>
      </c>
      <c r="H111" s="18">
        <v>1420</v>
      </c>
      <c r="I111" s="5">
        <v>144.1</v>
      </c>
      <c r="J111" s="16">
        <v>43.8</v>
      </c>
      <c r="K111" s="18">
        <v>1860</v>
      </c>
      <c r="L111" s="5">
        <v>188.8</v>
      </c>
      <c r="M111" s="5">
        <v>57.4</v>
      </c>
      <c r="N111" s="18">
        <v>1920</v>
      </c>
      <c r="O111" s="5">
        <v>194.8</v>
      </c>
      <c r="P111" s="5">
        <v>59.2</v>
      </c>
      <c r="Q111" s="18">
        <v>2580</v>
      </c>
      <c r="R111" s="5">
        <v>261.8</v>
      </c>
      <c r="S111" s="5">
        <v>79.599999999999994</v>
      </c>
      <c r="T111" s="18">
        <v>2400</v>
      </c>
      <c r="U111" s="5">
        <v>243.8</v>
      </c>
      <c r="V111" s="5">
        <v>74.099999999999994</v>
      </c>
      <c r="W111" s="18">
        <v>3160</v>
      </c>
      <c r="X111" s="5">
        <v>320.7</v>
      </c>
      <c r="Y111" s="5">
        <v>97.5</v>
      </c>
      <c r="Z111" s="18">
        <v>3370</v>
      </c>
      <c r="AA111" s="5">
        <v>342.1</v>
      </c>
      <c r="AB111" s="16">
        <v>101.5</v>
      </c>
      <c r="AC111" s="21" t="s">
        <v>139</v>
      </c>
      <c r="AD111" s="10">
        <v>3870</v>
      </c>
      <c r="AE111" s="5">
        <v>392.7</v>
      </c>
      <c r="AF111" s="16">
        <v>108.8</v>
      </c>
      <c r="AG111" s="10">
        <v>3830</v>
      </c>
      <c r="AH111" s="5">
        <v>388.6</v>
      </c>
      <c r="AI111" s="16">
        <v>100.6</v>
      </c>
      <c r="AJ111" s="10">
        <v>4040</v>
      </c>
      <c r="AK111" s="5">
        <v>410.1</v>
      </c>
      <c r="AL111" s="16">
        <v>98.7</v>
      </c>
      <c r="AM111" s="10">
        <v>4220</v>
      </c>
      <c r="AN111" s="5">
        <v>428.2</v>
      </c>
      <c r="AO111" s="16">
        <v>103</v>
      </c>
      <c r="AP111" s="10">
        <v>4620</v>
      </c>
      <c r="AQ111" s="5">
        <v>469</v>
      </c>
      <c r="AR111" s="16">
        <v>112.8</v>
      </c>
      <c r="AS111" s="10">
        <v>5640</v>
      </c>
      <c r="AT111" s="5">
        <v>572.6</v>
      </c>
      <c r="AU111" s="16">
        <v>137.69999999999999</v>
      </c>
      <c r="AV111" s="10">
        <v>5890</v>
      </c>
      <c r="AW111" s="5">
        <v>597.70000000000005</v>
      </c>
      <c r="AX111" s="16">
        <v>143.4</v>
      </c>
      <c r="AY111" s="10">
        <v>6230</v>
      </c>
      <c r="AZ111" s="5">
        <v>632.29999999999995</v>
      </c>
      <c r="BA111" s="16">
        <v>151.80000000000001</v>
      </c>
      <c r="BB111" s="25">
        <v>6860</v>
      </c>
      <c r="BC111" s="26">
        <v>696.5</v>
      </c>
      <c r="BD111" s="27">
        <v>167.5</v>
      </c>
      <c r="BE111" s="65" t="s">
        <v>139</v>
      </c>
      <c r="BF111" s="18">
        <v>7760</v>
      </c>
      <c r="BG111" s="5">
        <v>787.46</v>
      </c>
      <c r="BH111" s="16">
        <v>189.42006040000001</v>
      </c>
      <c r="BI111" s="10">
        <v>8880</v>
      </c>
      <c r="BJ111" s="5">
        <v>900.8</v>
      </c>
      <c r="BK111" s="16">
        <v>216.6800126</v>
      </c>
      <c r="BL111" s="18">
        <v>9650</v>
      </c>
      <c r="BM111" s="5">
        <v>979.6</v>
      </c>
      <c r="BN111" s="16">
        <v>235.63915650000001</v>
      </c>
      <c r="BO111" s="18">
        <v>11340</v>
      </c>
      <c r="BP111" s="5">
        <v>1150.44</v>
      </c>
      <c r="BQ111" s="16">
        <v>276.72429452999995</v>
      </c>
      <c r="BR111" s="18">
        <v>13170</v>
      </c>
      <c r="BS111" s="5">
        <v>1336.51</v>
      </c>
      <c r="BT111" s="16">
        <v>321.49086939999995</v>
      </c>
      <c r="BU111" s="18">
        <v>14920</v>
      </c>
      <c r="BV111" s="5">
        <v>1513.92</v>
      </c>
      <c r="BW111" s="16">
        <v>364.16528907999998</v>
      </c>
    </row>
    <row r="112" spans="1:75" x14ac:dyDescent="0.2">
      <c r="A112" s="21" t="s">
        <v>140</v>
      </c>
      <c r="B112" s="10">
        <v>850</v>
      </c>
      <c r="C112" s="5">
        <v>87.1</v>
      </c>
      <c r="D112" s="5">
        <v>26.6</v>
      </c>
      <c r="E112" s="18">
        <v>1310</v>
      </c>
      <c r="F112" s="5">
        <v>134.30000000000001</v>
      </c>
      <c r="G112" s="5">
        <v>40.9</v>
      </c>
      <c r="H112" s="18">
        <v>1400</v>
      </c>
      <c r="I112" s="5">
        <v>143.5</v>
      </c>
      <c r="J112" s="16">
        <v>43.8</v>
      </c>
      <c r="K112" s="18">
        <v>1560</v>
      </c>
      <c r="L112" s="5">
        <v>159.9</v>
      </c>
      <c r="M112" s="5">
        <v>48.7</v>
      </c>
      <c r="N112" s="18">
        <v>1630</v>
      </c>
      <c r="O112" s="5">
        <v>167.1</v>
      </c>
      <c r="P112" s="5">
        <v>50.9</v>
      </c>
      <c r="Q112" s="18">
        <v>1960</v>
      </c>
      <c r="R112" s="5">
        <v>200.9</v>
      </c>
      <c r="S112" s="5">
        <v>61.2</v>
      </c>
      <c r="T112" s="18">
        <v>2340</v>
      </c>
      <c r="U112" s="5">
        <v>239.8</v>
      </c>
      <c r="V112" s="5">
        <v>73.099999999999994</v>
      </c>
      <c r="W112" s="18">
        <v>2750</v>
      </c>
      <c r="X112" s="5">
        <v>281.89999999999998</v>
      </c>
      <c r="Y112" s="5">
        <v>85.9</v>
      </c>
      <c r="Z112" s="18">
        <v>3180</v>
      </c>
      <c r="AA112" s="5">
        <v>325.89999999999998</v>
      </c>
      <c r="AB112" s="16">
        <v>97</v>
      </c>
      <c r="AC112" s="21" t="s">
        <v>140</v>
      </c>
      <c r="AD112" s="10">
        <v>3070</v>
      </c>
      <c r="AE112" s="5">
        <v>314.5</v>
      </c>
      <c r="AF112" s="16">
        <v>87.4</v>
      </c>
      <c r="AG112" s="10">
        <v>2520</v>
      </c>
      <c r="AH112" s="5">
        <v>258.3</v>
      </c>
      <c r="AI112" s="16">
        <v>67.099999999999994</v>
      </c>
      <c r="AJ112" s="10">
        <v>3940</v>
      </c>
      <c r="AK112" s="5">
        <v>403.9</v>
      </c>
      <c r="AL112" s="16">
        <v>97.5</v>
      </c>
      <c r="AM112" s="10">
        <v>4460</v>
      </c>
      <c r="AN112" s="5">
        <v>457.2</v>
      </c>
      <c r="AO112" s="16">
        <v>110.4</v>
      </c>
      <c r="AP112" s="10">
        <v>4490</v>
      </c>
      <c r="AQ112" s="5">
        <v>460.2</v>
      </c>
      <c r="AR112" s="16">
        <v>111.1</v>
      </c>
      <c r="AS112" s="10">
        <v>4900</v>
      </c>
      <c r="AT112" s="5">
        <v>502.1</v>
      </c>
      <c r="AU112" s="16">
        <v>121.2</v>
      </c>
      <c r="AV112" s="10">
        <v>5460</v>
      </c>
      <c r="AW112" s="5">
        <v>559.20000000000005</v>
      </c>
      <c r="AX112" s="16">
        <v>134.5</v>
      </c>
      <c r="AY112" s="10">
        <v>5880</v>
      </c>
      <c r="AZ112" s="5">
        <v>603</v>
      </c>
      <c r="BA112" s="16">
        <v>145.1</v>
      </c>
      <c r="BB112" s="25">
        <v>6560</v>
      </c>
      <c r="BC112" s="26">
        <v>672.7</v>
      </c>
      <c r="BD112" s="27">
        <v>162.4</v>
      </c>
      <c r="BE112" s="65" t="s">
        <v>140</v>
      </c>
      <c r="BF112" s="18">
        <v>7430</v>
      </c>
      <c r="BG112" s="5">
        <v>761.86</v>
      </c>
      <c r="BH112" s="16">
        <v>183.92262771</v>
      </c>
      <c r="BI112" s="10">
        <v>8380</v>
      </c>
      <c r="BJ112" s="5">
        <v>858.9</v>
      </c>
      <c r="BK112" s="16">
        <v>207.35410859999999</v>
      </c>
      <c r="BL112" s="18">
        <v>8940</v>
      </c>
      <c r="BM112" s="5">
        <v>916.6</v>
      </c>
      <c r="BN112" s="16">
        <v>221.26605900000001</v>
      </c>
      <c r="BO112" s="18">
        <v>10700</v>
      </c>
      <c r="BP112" s="5">
        <v>1096.58</v>
      </c>
      <c r="BQ112" s="16">
        <v>264.72438971999998</v>
      </c>
      <c r="BR112" s="18">
        <v>12680</v>
      </c>
      <c r="BS112" s="5">
        <v>1299.2</v>
      </c>
      <c r="BT112" s="16">
        <v>313.63954778999999</v>
      </c>
      <c r="BU112" s="18">
        <v>14800</v>
      </c>
      <c r="BV112" s="5">
        <v>1516.47</v>
      </c>
      <c r="BW112" s="16">
        <v>366.09558200999999</v>
      </c>
    </row>
    <row r="113" spans="1:75" x14ac:dyDescent="0.2">
      <c r="A113" s="21" t="s">
        <v>141</v>
      </c>
      <c r="B113" s="10">
        <v>1330</v>
      </c>
      <c r="C113" s="5">
        <v>137.6</v>
      </c>
      <c r="D113" s="5">
        <v>42.1</v>
      </c>
      <c r="E113" s="18">
        <v>1260</v>
      </c>
      <c r="F113" s="5">
        <v>130.4</v>
      </c>
      <c r="G113" s="5">
        <v>39.9</v>
      </c>
      <c r="H113" s="18">
        <v>1300</v>
      </c>
      <c r="I113" s="5">
        <v>134.5</v>
      </c>
      <c r="J113" s="16">
        <v>41.1</v>
      </c>
      <c r="K113" s="18">
        <v>1410</v>
      </c>
      <c r="L113" s="5">
        <v>146</v>
      </c>
      <c r="M113" s="5">
        <v>44.6</v>
      </c>
      <c r="N113" s="18">
        <v>1640</v>
      </c>
      <c r="O113" s="5">
        <v>169.8</v>
      </c>
      <c r="P113" s="5">
        <v>51.9</v>
      </c>
      <c r="Q113" s="18">
        <v>2170</v>
      </c>
      <c r="R113" s="5">
        <v>224.7</v>
      </c>
      <c r="S113" s="5">
        <v>68.7</v>
      </c>
      <c r="T113" s="18">
        <v>2630</v>
      </c>
      <c r="U113" s="5">
        <v>272.2</v>
      </c>
      <c r="V113" s="5">
        <v>83.2</v>
      </c>
      <c r="W113" s="18">
        <v>2540</v>
      </c>
      <c r="X113" s="5">
        <v>262.8</v>
      </c>
      <c r="Y113" s="5">
        <v>80.3</v>
      </c>
      <c r="Z113" s="18">
        <v>2690</v>
      </c>
      <c r="AA113" s="5">
        <v>278.3</v>
      </c>
      <c r="AB113" s="16">
        <v>83.1</v>
      </c>
      <c r="AC113" s="21" t="s">
        <v>141</v>
      </c>
      <c r="AD113" s="10">
        <v>3350</v>
      </c>
      <c r="AE113" s="5">
        <v>346.9</v>
      </c>
      <c r="AF113" s="16">
        <v>96.8</v>
      </c>
      <c r="AG113" s="10">
        <v>2980</v>
      </c>
      <c r="AH113" s="5">
        <v>308.3</v>
      </c>
      <c r="AI113" s="16">
        <v>80.3</v>
      </c>
      <c r="AJ113" s="10">
        <v>3480</v>
      </c>
      <c r="AK113" s="5">
        <v>360.3</v>
      </c>
      <c r="AL113" s="16">
        <v>87.3</v>
      </c>
      <c r="AM113" s="10">
        <v>3860</v>
      </c>
      <c r="AN113" s="5">
        <v>399.6</v>
      </c>
      <c r="AO113" s="16">
        <v>96.8</v>
      </c>
      <c r="AP113" s="10">
        <v>4490</v>
      </c>
      <c r="AQ113" s="5">
        <v>464.7</v>
      </c>
      <c r="AR113" s="16">
        <v>112.6</v>
      </c>
      <c r="AS113" s="10">
        <v>4790</v>
      </c>
      <c r="AT113" s="5">
        <v>495.7</v>
      </c>
      <c r="AU113" s="16">
        <v>120.1</v>
      </c>
      <c r="AV113" s="10">
        <v>5350</v>
      </c>
      <c r="AW113" s="5">
        <v>553.6</v>
      </c>
      <c r="AX113" s="16">
        <v>133.80000000000001</v>
      </c>
      <c r="AY113" s="10">
        <v>5700</v>
      </c>
      <c r="AZ113" s="5">
        <v>590</v>
      </c>
      <c r="BA113" s="16">
        <v>142.5</v>
      </c>
      <c r="BB113" s="25">
        <v>6300</v>
      </c>
      <c r="BC113" s="26">
        <v>652.5</v>
      </c>
      <c r="BD113" s="27">
        <v>158.1</v>
      </c>
      <c r="BE113" s="65" t="s">
        <v>141</v>
      </c>
      <c r="BF113" s="18">
        <v>7270</v>
      </c>
      <c r="BG113" s="5">
        <v>751.95</v>
      </c>
      <c r="BH113" s="16">
        <v>182.17776596000002</v>
      </c>
      <c r="BI113" s="10">
        <v>7920</v>
      </c>
      <c r="BJ113" s="5">
        <v>819.6</v>
      </c>
      <c r="BK113" s="16">
        <v>198.57859430000002</v>
      </c>
      <c r="BL113" s="18">
        <v>8850</v>
      </c>
      <c r="BM113" s="5">
        <v>915.5</v>
      </c>
      <c r="BN113" s="16">
        <v>221.8169585</v>
      </c>
      <c r="BO113" s="18">
        <v>10270</v>
      </c>
      <c r="BP113" s="5">
        <v>1062.51</v>
      </c>
      <c r="BQ113" s="16">
        <v>257.41403479000002</v>
      </c>
      <c r="BR113" s="18">
        <v>12260</v>
      </c>
      <c r="BS113" s="5">
        <v>1268.49</v>
      </c>
      <c r="BT113" s="16">
        <v>307.31539213000002</v>
      </c>
      <c r="BU113" s="18">
        <v>14230</v>
      </c>
      <c r="BV113" s="5">
        <v>1472.46</v>
      </c>
      <c r="BW113" s="16">
        <v>356.73112556000001</v>
      </c>
    </row>
    <row r="114" spans="1:75" x14ac:dyDescent="0.2">
      <c r="A114" s="21" t="s">
        <v>142</v>
      </c>
      <c r="B114" s="10">
        <v>1150</v>
      </c>
      <c r="C114" s="5">
        <v>120.2</v>
      </c>
      <c r="D114" s="5">
        <v>36.799999999999997</v>
      </c>
      <c r="E114" s="18">
        <v>1180</v>
      </c>
      <c r="F114" s="5">
        <v>123.3</v>
      </c>
      <c r="G114" s="5">
        <v>37.799999999999997</v>
      </c>
      <c r="H114" s="18">
        <v>1270</v>
      </c>
      <c r="I114" s="5">
        <v>132.80000000000001</v>
      </c>
      <c r="J114" s="16">
        <v>40.700000000000003</v>
      </c>
      <c r="K114" s="18">
        <v>1380</v>
      </c>
      <c r="L114" s="5">
        <v>144.19999999999999</v>
      </c>
      <c r="M114" s="5">
        <v>44.2</v>
      </c>
      <c r="N114" s="18">
        <v>1600</v>
      </c>
      <c r="O114" s="5">
        <v>167.2</v>
      </c>
      <c r="P114" s="5">
        <v>51.2</v>
      </c>
      <c r="Q114" s="18">
        <v>1690</v>
      </c>
      <c r="R114" s="5">
        <v>176.7</v>
      </c>
      <c r="S114" s="5">
        <v>54.2</v>
      </c>
      <c r="T114" s="18">
        <v>2350</v>
      </c>
      <c r="U114" s="5">
        <v>245.6</v>
      </c>
      <c r="V114" s="5">
        <v>75.3</v>
      </c>
      <c r="W114" s="18">
        <v>2190</v>
      </c>
      <c r="X114" s="5">
        <v>228.7</v>
      </c>
      <c r="Y114" s="5">
        <v>70.099999999999994</v>
      </c>
      <c r="Z114" s="18">
        <v>2600</v>
      </c>
      <c r="AA114" s="5">
        <v>271.8</v>
      </c>
      <c r="AB114" s="16">
        <v>81.400000000000006</v>
      </c>
      <c r="AC114" s="21" t="s">
        <v>142</v>
      </c>
      <c r="AD114" s="10">
        <v>3090</v>
      </c>
      <c r="AE114" s="5">
        <v>322.8</v>
      </c>
      <c r="AF114" s="16">
        <v>90.4</v>
      </c>
      <c r="AG114" s="10">
        <v>2800</v>
      </c>
      <c r="AH114" s="5">
        <v>292.7</v>
      </c>
      <c r="AI114" s="16">
        <v>76.599999999999994</v>
      </c>
      <c r="AJ114" s="10">
        <v>3820</v>
      </c>
      <c r="AK114" s="5">
        <v>399.2</v>
      </c>
      <c r="AL114" s="16">
        <v>97.1</v>
      </c>
      <c r="AM114" s="10">
        <v>4620</v>
      </c>
      <c r="AN114" s="5">
        <v>482.9</v>
      </c>
      <c r="AO114" s="16">
        <v>117.4</v>
      </c>
      <c r="AP114" s="10">
        <v>3660</v>
      </c>
      <c r="AQ114" s="5">
        <v>382.5</v>
      </c>
      <c r="AR114" s="16">
        <v>93</v>
      </c>
      <c r="AS114" s="10">
        <v>4470</v>
      </c>
      <c r="AT114" s="5">
        <v>467.3</v>
      </c>
      <c r="AU114" s="16">
        <v>113.6</v>
      </c>
      <c r="AV114" s="10">
        <v>5330</v>
      </c>
      <c r="AW114" s="5">
        <v>557.4</v>
      </c>
      <c r="AX114" s="16">
        <v>134.9</v>
      </c>
      <c r="AY114" s="10">
        <v>5780</v>
      </c>
      <c r="AZ114" s="5">
        <v>604.20000000000005</v>
      </c>
      <c r="BA114" s="16">
        <v>146.5</v>
      </c>
      <c r="BB114" s="25">
        <v>6240</v>
      </c>
      <c r="BC114" s="26">
        <v>651.79999999999995</v>
      </c>
      <c r="BD114" s="27">
        <v>158.5</v>
      </c>
      <c r="BE114" s="65" t="s">
        <v>142</v>
      </c>
      <c r="BF114" s="18">
        <v>7100</v>
      </c>
      <c r="BG114" s="5">
        <v>742.01</v>
      </c>
      <c r="BH114" s="16">
        <v>180.39380133</v>
      </c>
      <c r="BI114" s="10">
        <v>7880</v>
      </c>
      <c r="BJ114" s="5">
        <v>823.1</v>
      </c>
      <c r="BK114" s="16">
        <v>200.10251940000001</v>
      </c>
      <c r="BL114" s="18">
        <v>8700</v>
      </c>
      <c r="BM114" s="5">
        <v>909.1</v>
      </c>
      <c r="BN114" s="16">
        <v>221.01086330000001</v>
      </c>
      <c r="BO114" s="18">
        <v>10060</v>
      </c>
      <c r="BP114" s="5">
        <v>1050.75</v>
      </c>
      <c r="BQ114" s="16">
        <v>255.44892899999999</v>
      </c>
      <c r="BR114" s="18">
        <v>11890</v>
      </c>
      <c r="BS114" s="5">
        <v>1242.02</v>
      </c>
      <c r="BT114" s="16">
        <v>301.94082868999999</v>
      </c>
      <c r="BU114" s="18">
        <v>13740</v>
      </c>
      <c r="BV114" s="5">
        <v>1435.51</v>
      </c>
      <c r="BW114" s="16">
        <v>348.98596013000002</v>
      </c>
    </row>
    <row r="115" spans="1:75" x14ac:dyDescent="0.2">
      <c r="A115" s="21" t="s">
        <v>143</v>
      </c>
      <c r="B115" s="10">
        <v>810</v>
      </c>
      <c r="C115" s="5">
        <v>85.4</v>
      </c>
      <c r="D115" s="5">
        <v>26.2</v>
      </c>
      <c r="E115" s="18">
        <v>1360</v>
      </c>
      <c r="F115" s="5">
        <v>143.4</v>
      </c>
      <c r="G115" s="5">
        <v>44.1</v>
      </c>
      <c r="H115" s="18">
        <v>1190</v>
      </c>
      <c r="I115" s="5">
        <v>125.6</v>
      </c>
      <c r="J115" s="16">
        <v>38.6</v>
      </c>
      <c r="K115" s="18">
        <v>1050</v>
      </c>
      <c r="L115" s="5">
        <v>110.7</v>
      </c>
      <c r="M115" s="5">
        <v>34</v>
      </c>
      <c r="N115" s="18">
        <v>1480</v>
      </c>
      <c r="O115" s="5">
        <v>156.19999999999999</v>
      </c>
      <c r="P115" s="5">
        <v>48</v>
      </c>
      <c r="Q115" s="18">
        <v>1960</v>
      </c>
      <c r="R115" s="5">
        <v>206.7</v>
      </c>
      <c r="S115" s="5">
        <v>63.5</v>
      </c>
      <c r="T115" s="18">
        <v>1850</v>
      </c>
      <c r="U115" s="5">
        <v>195</v>
      </c>
      <c r="V115" s="5">
        <v>59.9</v>
      </c>
      <c r="W115" s="18">
        <v>2390</v>
      </c>
      <c r="X115" s="5">
        <v>252.1</v>
      </c>
      <c r="Y115" s="5">
        <v>77.400000000000006</v>
      </c>
      <c r="Z115" s="18">
        <v>2960</v>
      </c>
      <c r="AA115" s="5">
        <v>312.39999999999998</v>
      </c>
      <c r="AB115" s="16">
        <v>93.8</v>
      </c>
      <c r="AC115" s="21" t="s">
        <v>143</v>
      </c>
      <c r="AD115" s="10">
        <v>3350</v>
      </c>
      <c r="AE115" s="5">
        <v>353.4</v>
      </c>
      <c r="AF115" s="16">
        <v>99.3</v>
      </c>
      <c r="AG115" s="10">
        <v>3460</v>
      </c>
      <c r="AH115" s="5">
        <v>365.1</v>
      </c>
      <c r="AI115" s="16">
        <v>95.8</v>
      </c>
      <c r="AJ115" s="10">
        <v>3660</v>
      </c>
      <c r="AK115" s="5">
        <v>386.1</v>
      </c>
      <c r="AL115" s="16">
        <v>94.2</v>
      </c>
      <c r="AM115" s="10">
        <v>3420</v>
      </c>
      <c r="AN115" s="5">
        <v>360.8</v>
      </c>
      <c r="AO115" s="16">
        <v>88</v>
      </c>
      <c r="AP115" s="10">
        <v>4070</v>
      </c>
      <c r="AQ115" s="5">
        <v>429.4</v>
      </c>
      <c r="AR115" s="16">
        <v>104.7</v>
      </c>
      <c r="AS115" s="10">
        <v>5110</v>
      </c>
      <c r="AT115" s="5">
        <v>539.1</v>
      </c>
      <c r="AU115" s="16">
        <v>131.5</v>
      </c>
      <c r="AV115" s="10">
        <v>5060</v>
      </c>
      <c r="AW115" s="5">
        <v>533.29999999999995</v>
      </c>
      <c r="AX115" s="16">
        <v>129.80000000000001</v>
      </c>
      <c r="AY115" s="10">
        <v>5520</v>
      </c>
      <c r="AZ115" s="5">
        <v>581.79999999999995</v>
      </c>
      <c r="BA115" s="16">
        <v>141.6</v>
      </c>
      <c r="BB115" s="25">
        <v>5990</v>
      </c>
      <c r="BC115" s="26">
        <v>631.4</v>
      </c>
      <c r="BD115" s="27">
        <v>154</v>
      </c>
      <c r="BE115" s="65" t="s">
        <v>143</v>
      </c>
      <c r="BF115" s="18">
        <v>6670</v>
      </c>
      <c r="BG115" s="5">
        <v>703.41</v>
      </c>
      <c r="BH115" s="16">
        <v>171.58062292</v>
      </c>
      <c r="BI115" s="10">
        <v>7570</v>
      </c>
      <c r="BJ115" s="5">
        <v>798</v>
      </c>
      <c r="BK115" s="16">
        <v>194.65998159999998</v>
      </c>
      <c r="BL115" s="18">
        <v>8270</v>
      </c>
      <c r="BM115" s="5">
        <v>872.4</v>
      </c>
      <c r="BN115" s="16">
        <v>212.7905567</v>
      </c>
      <c r="BO115" s="18">
        <v>9820</v>
      </c>
      <c r="BP115" s="5">
        <v>1036.27</v>
      </c>
      <c r="BQ115" s="16">
        <v>252.77728416999997</v>
      </c>
      <c r="BR115" s="18">
        <v>11620</v>
      </c>
      <c r="BS115" s="5">
        <v>1225.6600000000001</v>
      </c>
      <c r="BT115" s="16">
        <v>298.96570867000003</v>
      </c>
      <c r="BU115" s="18">
        <v>13340</v>
      </c>
      <c r="BV115" s="5">
        <v>1407.45</v>
      </c>
      <c r="BW115" s="16">
        <v>343.31191832999997</v>
      </c>
    </row>
    <row r="116" spans="1:75" x14ac:dyDescent="0.2">
      <c r="A116" s="21" t="s">
        <v>144</v>
      </c>
      <c r="B116" s="10">
        <v>1140</v>
      </c>
      <c r="C116" s="5">
        <v>121.4</v>
      </c>
      <c r="D116" s="5">
        <v>37.4</v>
      </c>
      <c r="E116" s="18">
        <v>970</v>
      </c>
      <c r="F116" s="5">
        <v>103.3</v>
      </c>
      <c r="G116" s="5">
        <v>31.8</v>
      </c>
      <c r="H116" s="18">
        <v>990</v>
      </c>
      <c r="I116" s="5">
        <v>105.4</v>
      </c>
      <c r="J116" s="16">
        <v>32.5</v>
      </c>
      <c r="K116" s="18">
        <v>1460</v>
      </c>
      <c r="L116" s="5">
        <v>155.5</v>
      </c>
      <c r="M116" s="5">
        <v>47.9</v>
      </c>
      <c r="N116" s="18">
        <v>1730</v>
      </c>
      <c r="O116" s="5">
        <v>184.3</v>
      </c>
      <c r="P116" s="5">
        <v>56.8</v>
      </c>
      <c r="Q116" s="18">
        <v>1730</v>
      </c>
      <c r="R116" s="5">
        <v>184.3</v>
      </c>
      <c r="S116" s="5">
        <v>56.8</v>
      </c>
      <c r="T116" s="18">
        <v>1880</v>
      </c>
      <c r="U116" s="5">
        <v>200.1</v>
      </c>
      <c r="V116" s="5">
        <v>61.6</v>
      </c>
      <c r="W116" s="18">
        <v>2260</v>
      </c>
      <c r="X116" s="5">
        <v>240.7</v>
      </c>
      <c r="Y116" s="5">
        <v>74.099999999999994</v>
      </c>
      <c r="Z116" s="18">
        <v>2840</v>
      </c>
      <c r="AA116" s="5">
        <v>302.39999999999998</v>
      </c>
      <c r="AB116" s="16">
        <v>91.1</v>
      </c>
      <c r="AC116" s="21" t="s">
        <v>144</v>
      </c>
      <c r="AD116" s="10">
        <v>2390</v>
      </c>
      <c r="AE116" s="5">
        <v>254.4</v>
      </c>
      <c r="AF116" s="16">
        <v>71.7</v>
      </c>
      <c r="AG116" s="10">
        <v>2880</v>
      </c>
      <c r="AH116" s="5">
        <v>306.7</v>
      </c>
      <c r="AI116" s="16">
        <v>80.8</v>
      </c>
      <c r="AJ116" s="10">
        <v>3560</v>
      </c>
      <c r="AK116" s="5">
        <v>379.1</v>
      </c>
      <c r="AL116" s="16">
        <v>92.8</v>
      </c>
      <c r="AM116" s="10">
        <v>3070</v>
      </c>
      <c r="AN116" s="5">
        <v>327</v>
      </c>
      <c r="AO116" s="16">
        <v>80</v>
      </c>
      <c r="AP116" s="10">
        <v>3690</v>
      </c>
      <c r="AQ116" s="5">
        <v>392.8</v>
      </c>
      <c r="AR116" s="16">
        <v>96.1</v>
      </c>
      <c r="AS116" s="10">
        <v>3900</v>
      </c>
      <c r="AT116" s="5">
        <v>415.4</v>
      </c>
      <c r="AU116" s="16">
        <v>101.7</v>
      </c>
      <c r="AV116" s="10">
        <v>4840</v>
      </c>
      <c r="AW116" s="5">
        <v>515.4</v>
      </c>
      <c r="AX116" s="16">
        <v>125.8</v>
      </c>
      <c r="AY116" s="10">
        <v>5170</v>
      </c>
      <c r="AZ116" s="5">
        <v>550.29999999999995</v>
      </c>
      <c r="BA116" s="16">
        <v>134.30000000000001</v>
      </c>
      <c r="BB116" s="25">
        <v>5760</v>
      </c>
      <c r="BC116" s="26">
        <v>613.1</v>
      </c>
      <c r="BD116" s="27">
        <v>150.1</v>
      </c>
      <c r="BE116" s="65" t="s">
        <v>144</v>
      </c>
      <c r="BF116" s="18">
        <v>6310</v>
      </c>
      <c r="BG116" s="5">
        <v>672.48</v>
      </c>
      <c r="BH116" s="16">
        <v>164.58594621</v>
      </c>
      <c r="BI116" s="10">
        <v>7190</v>
      </c>
      <c r="BJ116" s="5">
        <v>765.3</v>
      </c>
      <c r="BK116" s="16">
        <v>187.29833009999999</v>
      </c>
      <c r="BL116" s="18">
        <v>7760</v>
      </c>
      <c r="BM116" s="5">
        <v>826.5</v>
      </c>
      <c r="BN116" s="16">
        <v>202.28847119999998</v>
      </c>
      <c r="BO116" s="18">
        <v>9350</v>
      </c>
      <c r="BP116" s="5">
        <v>995.3</v>
      </c>
      <c r="BQ116" s="16">
        <v>243.58760319999999</v>
      </c>
      <c r="BR116" s="18">
        <v>11000</v>
      </c>
      <c r="BS116" s="5">
        <v>1171.9000000000001</v>
      </c>
      <c r="BT116" s="16">
        <v>286.81069731000002</v>
      </c>
      <c r="BU116" s="18">
        <v>12800</v>
      </c>
      <c r="BV116" s="5">
        <v>1363.47</v>
      </c>
      <c r="BW116" s="16">
        <v>333.69324337</v>
      </c>
    </row>
    <row r="117" spans="1:75" x14ac:dyDescent="0.2">
      <c r="A117" s="21" t="s">
        <v>145</v>
      </c>
      <c r="B117" s="10">
        <v>710</v>
      </c>
      <c r="C117" s="5">
        <v>76.3</v>
      </c>
      <c r="D117" s="5">
        <v>23.6</v>
      </c>
      <c r="E117" s="18">
        <v>1100</v>
      </c>
      <c r="F117" s="5">
        <v>118.2</v>
      </c>
      <c r="G117" s="5">
        <v>36.5</v>
      </c>
      <c r="H117" s="18">
        <v>1260</v>
      </c>
      <c r="I117" s="5">
        <v>135.5</v>
      </c>
      <c r="J117" s="16">
        <v>41.8</v>
      </c>
      <c r="K117" s="18">
        <v>1140</v>
      </c>
      <c r="L117" s="5">
        <v>122.6</v>
      </c>
      <c r="M117" s="5">
        <v>37.9</v>
      </c>
      <c r="N117" s="18">
        <v>1570</v>
      </c>
      <c r="O117" s="5">
        <v>168.8</v>
      </c>
      <c r="P117" s="5">
        <v>52.1</v>
      </c>
      <c r="Q117" s="18">
        <v>1680</v>
      </c>
      <c r="R117" s="5">
        <v>180.6</v>
      </c>
      <c r="S117" s="5">
        <v>55.8</v>
      </c>
      <c r="T117" s="18">
        <v>2030</v>
      </c>
      <c r="U117" s="5">
        <v>218.2</v>
      </c>
      <c r="V117" s="5">
        <v>67.400000000000006</v>
      </c>
      <c r="W117" s="18">
        <v>2460</v>
      </c>
      <c r="X117" s="5">
        <v>264.39999999999998</v>
      </c>
      <c r="Y117" s="5">
        <v>81.7</v>
      </c>
      <c r="Z117" s="18">
        <v>2500</v>
      </c>
      <c r="AA117" s="5">
        <v>268.7</v>
      </c>
      <c r="AB117" s="16">
        <v>81.099999999999994</v>
      </c>
      <c r="AC117" s="21" t="s">
        <v>145</v>
      </c>
      <c r="AD117" s="10">
        <v>2570</v>
      </c>
      <c r="AE117" s="5">
        <v>276.3</v>
      </c>
      <c r="AF117" s="16">
        <v>78.099999999999994</v>
      </c>
      <c r="AG117" s="10">
        <v>2890</v>
      </c>
      <c r="AH117" s="5">
        <v>310.8</v>
      </c>
      <c r="AI117" s="16">
        <v>82.1</v>
      </c>
      <c r="AJ117" s="10">
        <v>2900</v>
      </c>
      <c r="AK117" s="5">
        <v>311.8</v>
      </c>
      <c r="AL117" s="16">
        <v>76.599999999999994</v>
      </c>
      <c r="AM117" s="10">
        <v>3300</v>
      </c>
      <c r="AN117" s="5">
        <v>354.8</v>
      </c>
      <c r="AO117" s="16">
        <v>87.1</v>
      </c>
      <c r="AP117" s="10">
        <v>4140</v>
      </c>
      <c r="AQ117" s="5">
        <v>445.1</v>
      </c>
      <c r="AR117" s="16">
        <v>109.3</v>
      </c>
      <c r="AS117" s="10">
        <v>4020</v>
      </c>
      <c r="AT117" s="5">
        <v>432</v>
      </c>
      <c r="AU117" s="16">
        <v>106.1</v>
      </c>
      <c r="AV117" s="10">
        <v>4860</v>
      </c>
      <c r="AW117" s="5">
        <v>521.9</v>
      </c>
      <c r="AX117" s="16">
        <v>127.7</v>
      </c>
      <c r="AY117" s="10">
        <v>5030</v>
      </c>
      <c r="AZ117" s="5">
        <v>541.1</v>
      </c>
      <c r="BA117" s="16">
        <v>132.5</v>
      </c>
      <c r="BB117" s="25">
        <v>5540</v>
      </c>
      <c r="BC117" s="26">
        <v>595.29999999999995</v>
      </c>
      <c r="BD117" s="27">
        <v>146.19999999999999</v>
      </c>
      <c r="BE117" s="65" t="s">
        <v>145</v>
      </c>
      <c r="BF117" s="18">
        <v>6190</v>
      </c>
      <c r="BG117" s="5">
        <v>665.33</v>
      </c>
      <c r="BH117" s="16">
        <v>163.36315230000002</v>
      </c>
      <c r="BI117" s="10">
        <v>6930</v>
      </c>
      <c r="BJ117" s="5">
        <v>744.6</v>
      </c>
      <c r="BK117" s="16">
        <v>182.81856280000002</v>
      </c>
      <c r="BL117" s="18">
        <v>7780</v>
      </c>
      <c r="BM117" s="5">
        <v>835.9</v>
      </c>
      <c r="BN117" s="16">
        <v>205.23087150000001</v>
      </c>
      <c r="BO117" s="18">
        <v>9010</v>
      </c>
      <c r="BP117" s="5">
        <v>968.57</v>
      </c>
      <c r="BQ117" s="16">
        <v>237.81684779</v>
      </c>
      <c r="BR117" s="18">
        <v>10700</v>
      </c>
      <c r="BS117" s="5">
        <v>1149.8900000000001</v>
      </c>
      <c r="BT117" s="16">
        <v>282.33429688000001</v>
      </c>
      <c r="BU117" s="18">
        <v>12440</v>
      </c>
      <c r="BV117" s="5">
        <v>1336.72</v>
      </c>
      <c r="BW117" s="16">
        <v>328.20642075000001</v>
      </c>
    </row>
    <row r="118" spans="1:75" x14ac:dyDescent="0.2">
      <c r="A118" s="21" t="s">
        <v>146</v>
      </c>
      <c r="B118" s="10">
        <v>790</v>
      </c>
      <c r="C118" s="5">
        <v>85.7</v>
      </c>
      <c r="D118" s="5">
        <v>26.5</v>
      </c>
      <c r="E118" s="18">
        <v>1020</v>
      </c>
      <c r="F118" s="5">
        <v>110.7</v>
      </c>
      <c r="G118" s="5">
        <v>34.299999999999997</v>
      </c>
      <c r="H118" s="18">
        <v>1160</v>
      </c>
      <c r="I118" s="5">
        <v>125.8</v>
      </c>
      <c r="J118" s="16">
        <v>38.9</v>
      </c>
      <c r="K118" s="18">
        <v>1380</v>
      </c>
      <c r="L118" s="5">
        <v>149.80000000000001</v>
      </c>
      <c r="M118" s="5">
        <v>46.4</v>
      </c>
      <c r="N118" s="18">
        <v>1190</v>
      </c>
      <c r="O118" s="5">
        <v>129.1</v>
      </c>
      <c r="P118" s="5">
        <v>40</v>
      </c>
      <c r="Q118" s="18">
        <v>1740</v>
      </c>
      <c r="R118" s="5">
        <v>188.9</v>
      </c>
      <c r="S118" s="5">
        <v>58.5</v>
      </c>
      <c r="T118" s="18">
        <v>1680</v>
      </c>
      <c r="U118" s="5">
        <v>182.3</v>
      </c>
      <c r="V118" s="5">
        <v>56.4</v>
      </c>
      <c r="W118" s="18">
        <v>2030</v>
      </c>
      <c r="X118" s="5">
        <v>220.2</v>
      </c>
      <c r="Y118" s="5">
        <v>68.2</v>
      </c>
      <c r="Z118" s="18">
        <v>2530</v>
      </c>
      <c r="AA118" s="5">
        <v>274.5</v>
      </c>
      <c r="AB118" s="16">
        <v>83.1</v>
      </c>
      <c r="AC118" s="21" t="s">
        <v>146</v>
      </c>
      <c r="AD118" s="10">
        <v>2210</v>
      </c>
      <c r="AE118" s="5">
        <v>239.7</v>
      </c>
      <c r="AF118" s="16">
        <v>68</v>
      </c>
      <c r="AG118" s="10">
        <v>2700</v>
      </c>
      <c r="AH118" s="5">
        <v>293.10000000000002</v>
      </c>
      <c r="AI118" s="16">
        <v>77.7</v>
      </c>
      <c r="AJ118" s="10">
        <v>3270</v>
      </c>
      <c r="AK118" s="5">
        <v>354.9</v>
      </c>
      <c r="AL118" s="16">
        <v>87.4</v>
      </c>
      <c r="AM118" s="10">
        <v>2780</v>
      </c>
      <c r="AN118" s="5">
        <v>301.5</v>
      </c>
      <c r="AO118" s="16">
        <v>74.3</v>
      </c>
      <c r="AP118" s="10">
        <v>4110</v>
      </c>
      <c r="AQ118" s="5">
        <v>445.9</v>
      </c>
      <c r="AR118" s="16">
        <v>109.8</v>
      </c>
      <c r="AS118" s="10">
        <v>3810</v>
      </c>
      <c r="AT118" s="5">
        <v>413.4</v>
      </c>
      <c r="AU118" s="16">
        <v>101.8</v>
      </c>
      <c r="AV118" s="10">
        <v>4340</v>
      </c>
      <c r="AW118" s="5">
        <v>470.7</v>
      </c>
      <c r="AX118" s="16">
        <v>115.6</v>
      </c>
      <c r="AY118" s="10">
        <v>4850</v>
      </c>
      <c r="AZ118" s="5">
        <v>526.70000000000005</v>
      </c>
      <c r="BA118" s="16">
        <v>129.19999999999999</v>
      </c>
      <c r="BB118" s="25">
        <v>5360</v>
      </c>
      <c r="BC118" s="26">
        <v>581.4</v>
      </c>
      <c r="BD118" s="27">
        <v>143.19999999999999</v>
      </c>
      <c r="BE118" s="65" t="s">
        <v>146</v>
      </c>
      <c r="BF118" s="18">
        <v>6010</v>
      </c>
      <c r="BG118" s="5">
        <v>651.97</v>
      </c>
      <c r="BH118" s="16">
        <v>160.58869608000001</v>
      </c>
      <c r="BI118" s="10">
        <v>6800</v>
      </c>
      <c r="BJ118" s="5">
        <v>737.9</v>
      </c>
      <c r="BK118" s="16">
        <v>181.74741219999999</v>
      </c>
      <c r="BL118" s="18">
        <v>7460</v>
      </c>
      <c r="BM118" s="5">
        <v>809.6</v>
      </c>
      <c r="BN118" s="16">
        <v>199.41281180000001</v>
      </c>
      <c r="BO118" s="18">
        <v>8920</v>
      </c>
      <c r="BP118" s="5">
        <v>967.43</v>
      </c>
      <c r="BQ118" s="16">
        <v>238.29325653000001</v>
      </c>
      <c r="BR118" s="18">
        <v>10500</v>
      </c>
      <c r="BS118" s="5">
        <v>1139</v>
      </c>
      <c r="BT118" s="16">
        <v>280.54756723000003</v>
      </c>
      <c r="BU118" s="18">
        <v>12070</v>
      </c>
      <c r="BV118" s="5">
        <v>1309.25</v>
      </c>
      <c r="BW118" s="16">
        <v>322.48436249000002</v>
      </c>
    </row>
    <row r="119" spans="1:75" x14ac:dyDescent="0.2">
      <c r="A119" s="21" t="s">
        <v>147</v>
      </c>
      <c r="B119" s="10">
        <v>750</v>
      </c>
      <c r="C119" s="5">
        <v>82.1</v>
      </c>
      <c r="D119" s="5">
        <v>25.5</v>
      </c>
      <c r="E119" s="18">
        <v>950</v>
      </c>
      <c r="F119" s="5">
        <v>104.1</v>
      </c>
      <c r="G119" s="5">
        <v>32.299999999999997</v>
      </c>
      <c r="H119" s="18">
        <v>880</v>
      </c>
      <c r="I119" s="5">
        <v>96.4</v>
      </c>
      <c r="J119" s="16">
        <v>29.9</v>
      </c>
      <c r="K119" s="18">
        <v>1140</v>
      </c>
      <c r="L119" s="5">
        <v>124.8</v>
      </c>
      <c r="M119" s="5">
        <v>38.700000000000003</v>
      </c>
      <c r="N119" s="18">
        <v>1710</v>
      </c>
      <c r="O119" s="5">
        <v>187.3</v>
      </c>
      <c r="P119" s="5">
        <v>58.1</v>
      </c>
      <c r="Q119" s="18">
        <v>1450</v>
      </c>
      <c r="R119" s="5">
        <v>158.80000000000001</v>
      </c>
      <c r="S119" s="5">
        <v>49.3</v>
      </c>
      <c r="T119" s="18">
        <v>2040</v>
      </c>
      <c r="U119" s="5">
        <v>223.5</v>
      </c>
      <c r="V119" s="5">
        <v>69.3</v>
      </c>
      <c r="W119" s="18">
        <v>2070</v>
      </c>
      <c r="X119" s="5">
        <v>226.8</v>
      </c>
      <c r="Y119" s="5">
        <v>70.400000000000006</v>
      </c>
      <c r="Z119" s="18">
        <v>2720</v>
      </c>
      <c r="AA119" s="5">
        <v>297.8</v>
      </c>
      <c r="AB119" s="16">
        <v>90.4</v>
      </c>
      <c r="AC119" s="21" t="s">
        <v>147</v>
      </c>
      <c r="AD119" s="10">
        <v>2510</v>
      </c>
      <c r="AE119" s="5">
        <v>274.89999999999998</v>
      </c>
      <c r="AF119" s="16">
        <v>78.2</v>
      </c>
      <c r="AG119" s="10">
        <v>2510</v>
      </c>
      <c r="AH119" s="5">
        <v>274.89999999999998</v>
      </c>
      <c r="AI119" s="16">
        <v>73.099999999999994</v>
      </c>
      <c r="AJ119" s="10">
        <v>3270</v>
      </c>
      <c r="AK119" s="5">
        <v>358.1</v>
      </c>
      <c r="AL119" s="16">
        <v>88.5</v>
      </c>
      <c r="AM119" s="10">
        <v>3790</v>
      </c>
      <c r="AN119" s="5">
        <v>415.3</v>
      </c>
      <c r="AO119" s="16">
        <v>102.6</v>
      </c>
      <c r="AP119" s="10">
        <v>3290</v>
      </c>
      <c r="AQ119" s="5">
        <v>360.3</v>
      </c>
      <c r="AR119" s="16">
        <v>89</v>
      </c>
      <c r="AS119" s="10">
        <v>4300</v>
      </c>
      <c r="AT119" s="5">
        <v>471.1</v>
      </c>
      <c r="AU119" s="16">
        <v>116.4</v>
      </c>
      <c r="AV119" s="10">
        <v>4670</v>
      </c>
      <c r="AW119" s="5">
        <v>511.2</v>
      </c>
      <c r="AX119" s="16">
        <v>125.9</v>
      </c>
      <c r="AY119" s="10">
        <v>5050</v>
      </c>
      <c r="AZ119" s="5">
        <v>553.20000000000005</v>
      </c>
      <c r="BA119" s="16">
        <v>136.5</v>
      </c>
      <c r="BB119" s="25">
        <v>5640</v>
      </c>
      <c r="BC119" s="26">
        <v>617.70000000000005</v>
      </c>
      <c r="BD119" s="27">
        <v>152.6</v>
      </c>
      <c r="BE119" s="65" t="s">
        <v>147</v>
      </c>
      <c r="BF119" s="18">
        <v>6130</v>
      </c>
      <c r="BG119" s="5">
        <v>671.71</v>
      </c>
      <c r="BH119" s="16">
        <v>165.97525622999999</v>
      </c>
      <c r="BI119" s="10">
        <v>6920</v>
      </c>
      <c r="BJ119" s="5">
        <v>758.2</v>
      </c>
      <c r="BK119" s="16">
        <v>187.3507085</v>
      </c>
      <c r="BL119" s="18">
        <v>7420</v>
      </c>
      <c r="BM119" s="5">
        <v>812.5</v>
      </c>
      <c r="BN119" s="16">
        <v>200.7614916</v>
      </c>
      <c r="BO119" s="18">
        <v>8490</v>
      </c>
      <c r="BP119" s="5">
        <v>929.59</v>
      </c>
      <c r="BQ119" s="16">
        <v>229.68568907</v>
      </c>
      <c r="BR119" s="18">
        <v>10350</v>
      </c>
      <c r="BS119" s="5">
        <v>1133.8399999999999</v>
      </c>
      <c r="BT119" s="16">
        <v>280.15317548000002</v>
      </c>
      <c r="BU119" s="18">
        <v>11990</v>
      </c>
      <c r="BV119" s="5">
        <v>1312.77</v>
      </c>
      <c r="BW119" s="16">
        <v>324.36320610000001</v>
      </c>
    </row>
    <row r="120" spans="1:75" x14ac:dyDescent="0.2">
      <c r="A120" s="21" t="s">
        <v>148</v>
      </c>
      <c r="B120" s="10">
        <v>920</v>
      </c>
      <c r="C120" s="5">
        <v>101.7</v>
      </c>
      <c r="D120" s="5">
        <v>31.6</v>
      </c>
      <c r="E120" s="18">
        <v>940</v>
      </c>
      <c r="F120" s="5">
        <v>103.9</v>
      </c>
      <c r="G120" s="5">
        <v>32.299999999999997</v>
      </c>
      <c r="H120" s="18">
        <v>1110</v>
      </c>
      <c r="I120" s="5">
        <v>122.7</v>
      </c>
      <c r="J120" s="16">
        <v>38.1</v>
      </c>
      <c r="K120" s="18">
        <v>1330</v>
      </c>
      <c r="L120" s="5">
        <v>147</v>
      </c>
      <c r="M120" s="5">
        <v>45.7</v>
      </c>
      <c r="N120" s="18">
        <v>1710</v>
      </c>
      <c r="O120" s="5">
        <v>188.9</v>
      </c>
      <c r="P120" s="5">
        <v>58.8</v>
      </c>
      <c r="Q120" s="18">
        <v>1810</v>
      </c>
      <c r="R120" s="5">
        <v>200.1</v>
      </c>
      <c r="S120" s="5">
        <v>62.2</v>
      </c>
      <c r="T120" s="18">
        <v>2020</v>
      </c>
      <c r="U120" s="5">
        <v>223.4</v>
      </c>
      <c r="V120" s="5">
        <v>69.5</v>
      </c>
      <c r="W120" s="18">
        <v>2270</v>
      </c>
      <c r="X120" s="5">
        <v>250.9</v>
      </c>
      <c r="Y120" s="5">
        <v>78</v>
      </c>
      <c r="Z120" s="18">
        <v>2350</v>
      </c>
      <c r="AA120" s="5">
        <v>259.7</v>
      </c>
      <c r="AB120" s="16">
        <v>79</v>
      </c>
      <c r="AC120" s="21" t="s">
        <v>148</v>
      </c>
      <c r="AD120" s="10">
        <v>2120</v>
      </c>
      <c r="AE120" s="5">
        <v>234.2</v>
      </c>
      <c r="AF120" s="16">
        <v>66.8</v>
      </c>
      <c r="AG120" s="10">
        <v>2480</v>
      </c>
      <c r="AH120" s="5">
        <v>274</v>
      </c>
      <c r="AI120" s="16">
        <v>73</v>
      </c>
      <c r="AJ120" s="10">
        <v>2370</v>
      </c>
      <c r="AK120" s="5">
        <v>261.8</v>
      </c>
      <c r="AL120" s="16">
        <v>64.900000000000006</v>
      </c>
      <c r="AM120" s="10">
        <v>3020</v>
      </c>
      <c r="AN120" s="5">
        <v>333.7</v>
      </c>
      <c r="AO120" s="16">
        <v>82.7</v>
      </c>
      <c r="AP120" s="10">
        <v>2900</v>
      </c>
      <c r="AQ120" s="5">
        <v>320.39999999999998</v>
      </c>
      <c r="AR120" s="16">
        <v>79.400000000000006</v>
      </c>
      <c r="AS120" s="10">
        <v>4020</v>
      </c>
      <c r="AT120" s="5">
        <v>444.1</v>
      </c>
      <c r="AU120" s="16">
        <v>110.1</v>
      </c>
      <c r="AV120" s="10">
        <v>4580</v>
      </c>
      <c r="AW120" s="5">
        <v>505.9</v>
      </c>
      <c r="AX120" s="16">
        <v>124.7</v>
      </c>
      <c r="AY120" s="10">
        <v>4630</v>
      </c>
      <c r="AZ120" s="5">
        <v>511.8</v>
      </c>
      <c r="BA120" s="16">
        <v>126.4</v>
      </c>
      <c r="BB120" s="25">
        <v>5200</v>
      </c>
      <c r="BC120" s="26">
        <v>574.70000000000005</v>
      </c>
      <c r="BD120" s="27">
        <v>142.4</v>
      </c>
      <c r="BE120" s="65" t="s">
        <v>148</v>
      </c>
      <c r="BF120" s="18">
        <v>5860</v>
      </c>
      <c r="BG120" s="5">
        <v>647.26</v>
      </c>
      <c r="BH120" s="16">
        <v>160.40437716</v>
      </c>
      <c r="BI120" s="10">
        <v>6540</v>
      </c>
      <c r="BJ120" s="5">
        <v>722.9</v>
      </c>
      <c r="BK120" s="16">
        <v>179.1485706</v>
      </c>
      <c r="BL120" s="18">
        <v>7360</v>
      </c>
      <c r="BM120" s="5">
        <v>813.3</v>
      </c>
      <c r="BN120" s="16">
        <v>201.5401741</v>
      </c>
      <c r="BO120" s="18">
        <v>8630</v>
      </c>
      <c r="BP120" s="5">
        <v>953.52</v>
      </c>
      <c r="BQ120" s="16">
        <v>236.29303831000001</v>
      </c>
      <c r="BR120" s="18">
        <v>9950</v>
      </c>
      <c r="BS120" s="5">
        <v>1099.68</v>
      </c>
      <c r="BT120" s="16">
        <v>272.51247583999998</v>
      </c>
      <c r="BU120" s="18">
        <v>11990</v>
      </c>
      <c r="BV120" s="5">
        <v>1324.38</v>
      </c>
      <c r="BW120" s="16">
        <v>328.20187987000003</v>
      </c>
    </row>
    <row r="121" spans="1:75" x14ac:dyDescent="0.2">
      <c r="A121" s="21" t="s">
        <v>149</v>
      </c>
      <c r="B121" s="10">
        <v>840</v>
      </c>
      <c r="C121" s="5">
        <v>93.6</v>
      </c>
      <c r="D121" s="5">
        <v>29.2</v>
      </c>
      <c r="E121" s="18">
        <v>880</v>
      </c>
      <c r="F121" s="5">
        <v>98.1</v>
      </c>
      <c r="G121" s="5">
        <v>30.6</v>
      </c>
      <c r="H121" s="18">
        <v>780</v>
      </c>
      <c r="I121" s="5">
        <v>87</v>
      </c>
      <c r="J121" s="16">
        <v>27.1</v>
      </c>
      <c r="K121" s="18">
        <v>1070</v>
      </c>
      <c r="L121" s="5">
        <v>119.3</v>
      </c>
      <c r="M121" s="5">
        <v>37.200000000000003</v>
      </c>
      <c r="N121" s="18">
        <v>1440</v>
      </c>
      <c r="O121" s="5">
        <v>160.69999999999999</v>
      </c>
      <c r="P121" s="5">
        <v>50.1</v>
      </c>
      <c r="Q121" s="18">
        <v>1790</v>
      </c>
      <c r="R121" s="5">
        <v>199.6</v>
      </c>
      <c r="S121" s="5">
        <v>62.2</v>
      </c>
      <c r="T121" s="18">
        <v>1690</v>
      </c>
      <c r="U121" s="5">
        <v>188.5</v>
      </c>
      <c r="V121" s="5">
        <v>58.7</v>
      </c>
      <c r="W121" s="18">
        <v>2440</v>
      </c>
      <c r="X121" s="5">
        <v>271.89999999999998</v>
      </c>
      <c r="Y121" s="5">
        <v>84.8</v>
      </c>
      <c r="Z121" s="18">
        <v>3000</v>
      </c>
      <c r="AA121" s="5">
        <v>334.4</v>
      </c>
      <c r="AB121" s="16">
        <v>102.1</v>
      </c>
      <c r="AC121" s="21" t="s">
        <v>149</v>
      </c>
      <c r="AD121" s="10">
        <v>2340</v>
      </c>
      <c r="AE121" s="5">
        <v>260.89999999999998</v>
      </c>
      <c r="AF121" s="16">
        <v>74.7</v>
      </c>
      <c r="AG121" s="10">
        <v>2450</v>
      </c>
      <c r="AH121" s="5">
        <v>273.2</v>
      </c>
      <c r="AI121" s="16">
        <v>73.099999999999994</v>
      </c>
      <c r="AJ121" s="10">
        <v>2880</v>
      </c>
      <c r="AK121" s="5">
        <v>321.2</v>
      </c>
      <c r="AL121" s="16">
        <v>79.900000000000006</v>
      </c>
      <c r="AM121" s="10">
        <v>3710</v>
      </c>
      <c r="AN121" s="5">
        <v>413.8</v>
      </c>
      <c r="AO121" s="16">
        <v>102.9</v>
      </c>
      <c r="AP121" s="10">
        <v>3400</v>
      </c>
      <c r="AQ121" s="5">
        <v>379.1</v>
      </c>
      <c r="AR121" s="16">
        <v>94.2</v>
      </c>
      <c r="AS121" s="10">
        <v>3530</v>
      </c>
      <c r="AT121" s="5">
        <v>393.6</v>
      </c>
      <c r="AU121" s="16">
        <v>97.9</v>
      </c>
      <c r="AV121" s="10">
        <v>4210</v>
      </c>
      <c r="AW121" s="5">
        <v>469.7</v>
      </c>
      <c r="AX121" s="16">
        <v>116.4</v>
      </c>
      <c r="AY121" s="10">
        <v>4470</v>
      </c>
      <c r="AZ121" s="5">
        <v>498.1</v>
      </c>
      <c r="BA121" s="16">
        <v>123.4</v>
      </c>
      <c r="BB121" s="25">
        <v>4850</v>
      </c>
      <c r="BC121" s="26">
        <v>540.6</v>
      </c>
      <c r="BD121" s="27">
        <v>134.4</v>
      </c>
      <c r="BE121" s="65" t="s">
        <v>149</v>
      </c>
      <c r="BF121" s="18">
        <v>5590</v>
      </c>
      <c r="BG121" s="5">
        <v>623.24</v>
      </c>
      <c r="BH121" s="16">
        <v>154.91169912000001</v>
      </c>
      <c r="BI121" s="10">
        <v>6240</v>
      </c>
      <c r="BJ121" s="5">
        <v>695.9</v>
      </c>
      <c r="BK121" s="16">
        <v>172.97301709999999</v>
      </c>
      <c r="BL121" s="18">
        <v>6640</v>
      </c>
      <c r="BM121" s="5">
        <v>740.6</v>
      </c>
      <c r="BN121" s="16">
        <v>184.09191060000001</v>
      </c>
      <c r="BO121" s="18">
        <v>7730</v>
      </c>
      <c r="BP121" s="5">
        <v>861.93</v>
      </c>
      <c r="BQ121" s="16">
        <v>214.24816791000001</v>
      </c>
      <c r="BR121" s="18">
        <v>9720</v>
      </c>
      <c r="BS121" s="5">
        <v>1083.8699999999999</v>
      </c>
      <c r="BT121" s="16">
        <v>269.40962695999997</v>
      </c>
      <c r="BU121" s="18">
        <v>11180</v>
      </c>
      <c r="BV121" s="5">
        <v>1246.6300000000001</v>
      </c>
      <c r="BW121" s="16">
        <v>309.86303895999998</v>
      </c>
    </row>
    <row r="122" spans="1:75" x14ac:dyDescent="0.2">
      <c r="A122" s="21" t="s">
        <v>150</v>
      </c>
      <c r="B122" s="10">
        <v>910</v>
      </c>
      <c r="C122" s="5">
        <v>102.4</v>
      </c>
      <c r="D122" s="5">
        <v>32</v>
      </c>
      <c r="E122" s="18">
        <v>830</v>
      </c>
      <c r="F122" s="5">
        <v>93.4</v>
      </c>
      <c r="G122" s="5">
        <v>29.2</v>
      </c>
      <c r="H122" s="18">
        <v>840</v>
      </c>
      <c r="I122" s="5">
        <v>94.6</v>
      </c>
      <c r="J122" s="16">
        <v>29.5</v>
      </c>
      <c r="K122" s="18">
        <v>1150</v>
      </c>
      <c r="L122" s="5">
        <v>129.4</v>
      </c>
      <c r="M122" s="5">
        <v>40.4</v>
      </c>
      <c r="N122" s="18">
        <v>1310</v>
      </c>
      <c r="O122" s="5">
        <v>147.4</v>
      </c>
      <c r="P122" s="5">
        <v>46</v>
      </c>
      <c r="Q122" s="18">
        <v>1660</v>
      </c>
      <c r="R122" s="5">
        <v>186.7</v>
      </c>
      <c r="S122" s="5">
        <v>58.3</v>
      </c>
      <c r="T122" s="18">
        <v>1370</v>
      </c>
      <c r="U122" s="5">
        <v>154.19999999999999</v>
      </c>
      <c r="V122" s="5">
        <v>48.2</v>
      </c>
      <c r="W122" s="18">
        <v>1990</v>
      </c>
      <c r="X122" s="5">
        <v>223.8</v>
      </c>
      <c r="Y122" s="5">
        <v>69.900000000000006</v>
      </c>
      <c r="Z122" s="18">
        <v>2280</v>
      </c>
      <c r="AA122" s="5">
        <v>256.39999999999998</v>
      </c>
      <c r="AB122" s="16">
        <v>78.400000000000006</v>
      </c>
      <c r="AC122" s="21" t="s">
        <v>150</v>
      </c>
      <c r="AD122" s="10">
        <v>2880</v>
      </c>
      <c r="AE122" s="5">
        <v>324</v>
      </c>
      <c r="AF122" s="16">
        <v>93</v>
      </c>
      <c r="AG122" s="10">
        <v>2650</v>
      </c>
      <c r="AH122" s="5">
        <v>298.10000000000002</v>
      </c>
      <c r="AI122" s="16">
        <v>79.900000000000006</v>
      </c>
      <c r="AJ122" s="10">
        <v>3000</v>
      </c>
      <c r="AK122" s="5">
        <v>337.5</v>
      </c>
      <c r="AL122" s="16">
        <v>84.1</v>
      </c>
      <c r="AM122" s="10">
        <v>2640</v>
      </c>
      <c r="AN122" s="5">
        <v>297</v>
      </c>
      <c r="AO122" s="16">
        <v>74</v>
      </c>
      <c r="AP122" s="10">
        <v>3610</v>
      </c>
      <c r="AQ122" s="5">
        <v>406.2</v>
      </c>
      <c r="AR122" s="16">
        <v>101.3</v>
      </c>
      <c r="AS122" s="10">
        <v>3810</v>
      </c>
      <c r="AT122" s="5">
        <v>428.7</v>
      </c>
      <c r="AU122" s="16">
        <v>106.9</v>
      </c>
      <c r="AV122" s="10">
        <v>3980</v>
      </c>
      <c r="AW122" s="5">
        <v>447.5</v>
      </c>
      <c r="AX122" s="16">
        <v>111.1</v>
      </c>
      <c r="AY122" s="10">
        <v>4290</v>
      </c>
      <c r="AZ122" s="5">
        <v>482.9</v>
      </c>
      <c r="BA122" s="16">
        <v>119.9</v>
      </c>
      <c r="BB122" s="25">
        <v>4760</v>
      </c>
      <c r="BC122" s="26">
        <v>535.29999999999995</v>
      </c>
      <c r="BD122" s="27">
        <v>133.4</v>
      </c>
      <c r="BE122" s="65" t="s">
        <v>150</v>
      </c>
      <c r="BF122" s="18">
        <v>5450</v>
      </c>
      <c r="BG122" s="5">
        <v>612.79999999999995</v>
      </c>
      <c r="BH122" s="16">
        <v>152.76470663999999</v>
      </c>
      <c r="BI122" s="10">
        <v>6040</v>
      </c>
      <c r="BJ122" s="5">
        <v>679.9</v>
      </c>
      <c r="BK122" s="16">
        <v>169.49624299999999</v>
      </c>
      <c r="BL122" s="18">
        <v>6650</v>
      </c>
      <c r="BM122" s="5">
        <v>748</v>
      </c>
      <c r="BN122" s="16">
        <v>186.45430500000001</v>
      </c>
      <c r="BO122" s="18">
        <v>7820</v>
      </c>
      <c r="BP122" s="5">
        <v>879.24</v>
      </c>
      <c r="BQ122" s="16">
        <v>219.18747583999999</v>
      </c>
      <c r="BR122" s="18">
        <v>9130</v>
      </c>
      <c r="BS122" s="5">
        <v>1027.4000000000001</v>
      </c>
      <c r="BT122" s="16">
        <v>256.11531563</v>
      </c>
      <c r="BU122" s="18">
        <v>10990</v>
      </c>
      <c r="BV122" s="5">
        <v>1236.1099999999999</v>
      </c>
      <c r="BW122" s="16">
        <v>308.14299441000003</v>
      </c>
    </row>
    <row r="123" spans="1:75" x14ac:dyDescent="0.2">
      <c r="A123" s="21" t="s">
        <v>151</v>
      </c>
      <c r="B123" s="10">
        <v>640</v>
      </c>
      <c r="C123" s="5">
        <v>72.7</v>
      </c>
      <c r="D123" s="5">
        <v>22.8</v>
      </c>
      <c r="E123" s="18">
        <v>700</v>
      </c>
      <c r="F123" s="5">
        <v>79.5</v>
      </c>
      <c r="G123" s="5">
        <v>24.9</v>
      </c>
      <c r="H123" s="18">
        <v>690</v>
      </c>
      <c r="I123" s="5">
        <v>78.3</v>
      </c>
      <c r="J123" s="16">
        <v>24.5</v>
      </c>
      <c r="K123" s="18">
        <v>910</v>
      </c>
      <c r="L123" s="5">
        <v>103.3</v>
      </c>
      <c r="M123" s="5">
        <v>32.299999999999997</v>
      </c>
      <c r="N123" s="18">
        <v>1030</v>
      </c>
      <c r="O123" s="5">
        <v>116.9</v>
      </c>
      <c r="P123" s="5">
        <v>36.6</v>
      </c>
      <c r="Q123" s="18">
        <v>1170</v>
      </c>
      <c r="R123" s="5">
        <v>132.69999999999999</v>
      </c>
      <c r="S123" s="5">
        <v>41.6</v>
      </c>
      <c r="T123" s="18">
        <v>1800</v>
      </c>
      <c r="U123" s="5">
        <v>204.2</v>
      </c>
      <c r="V123" s="5">
        <v>63.9</v>
      </c>
      <c r="W123" s="18">
        <v>2010</v>
      </c>
      <c r="X123" s="5">
        <v>228.2</v>
      </c>
      <c r="Y123" s="5">
        <v>71.400000000000006</v>
      </c>
      <c r="Z123" s="18">
        <v>2020</v>
      </c>
      <c r="AA123" s="5">
        <v>229.3</v>
      </c>
      <c r="AB123" s="16">
        <v>70.3</v>
      </c>
      <c r="AC123" s="21" t="s">
        <v>151</v>
      </c>
      <c r="AD123" s="10">
        <v>1960</v>
      </c>
      <c r="AE123" s="5">
        <v>222.5</v>
      </c>
      <c r="AF123" s="16">
        <v>64.099999999999994</v>
      </c>
      <c r="AG123" s="10">
        <v>2320</v>
      </c>
      <c r="AH123" s="5">
        <v>263.3</v>
      </c>
      <c r="AI123" s="16">
        <v>70.8</v>
      </c>
      <c r="AJ123" s="10">
        <v>2800</v>
      </c>
      <c r="AK123" s="5">
        <v>317.8</v>
      </c>
      <c r="AL123" s="16">
        <v>79.400000000000006</v>
      </c>
      <c r="AM123" s="10">
        <v>2780</v>
      </c>
      <c r="AN123" s="5">
        <v>315.60000000000002</v>
      </c>
      <c r="AO123" s="16">
        <v>78.900000000000006</v>
      </c>
      <c r="AP123" s="10">
        <v>2990</v>
      </c>
      <c r="AQ123" s="5">
        <v>339.5</v>
      </c>
      <c r="AR123" s="16">
        <v>84.9</v>
      </c>
      <c r="AS123" s="10">
        <v>3260</v>
      </c>
      <c r="AT123" s="5">
        <v>370.1</v>
      </c>
      <c r="AU123" s="16">
        <v>92.5</v>
      </c>
      <c r="AV123" s="10">
        <v>3780</v>
      </c>
      <c r="AW123" s="5">
        <v>429.1</v>
      </c>
      <c r="AX123" s="16">
        <v>106.9</v>
      </c>
      <c r="AY123" s="10">
        <v>4060</v>
      </c>
      <c r="AZ123" s="5">
        <v>461.1</v>
      </c>
      <c r="BA123" s="16">
        <v>115</v>
      </c>
      <c r="BB123" s="25">
        <v>4480</v>
      </c>
      <c r="BC123" s="26">
        <v>508.6</v>
      </c>
      <c r="BD123" s="27">
        <v>127.2</v>
      </c>
      <c r="BE123" s="65" t="s">
        <v>151</v>
      </c>
      <c r="BF123" s="18">
        <v>5200</v>
      </c>
      <c r="BG123" s="5">
        <v>590.66999999999996</v>
      </c>
      <c r="BH123" s="16">
        <v>147.66715083000003</v>
      </c>
      <c r="BI123" s="10">
        <v>5680</v>
      </c>
      <c r="BJ123" s="5">
        <v>645</v>
      </c>
      <c r="BK123" s="16">
        <v>161.2588921</v>
      </c>
      <c r="BL123" s="18">
        <v>6140</v>
      </c>
      <c r="BM123" s="5">
        <v>697.3</v>
      </c>
      <c r="BN123" s="16">
        <v>174.32132009999998</v>
      </c>
      <c r="BO123" s="18">
        <v>7390</v>
      </c>
      <c r="BP123" s="5">
        <v>838.61</v>
      </c>
      <c r="BQ123" s="16">
        <v>209.64955553000001</v>
      </c>
      <c r="BR123" s="18">
        <v>8940</v>
      </c>
      <c r="BS123" s="5">
        <v>1015.12</v>
      </c>
      <c r="BT123" s="16">
        <v>253.77793641</v>
      </c>
      <c r="BU123" s="18">
        <v>10590</v>
      </c>
      <c r="BV123" s="5">
        <v>1201.44</v>
      </c>
      <c r="BW123" s="16">
        <v>300.35489423000001</v>
      </c>
    </row>
    <row r="124" spans="1:75" x14ac:dyDescent="0.2">
      <c r="A124" s="21" t="s">
        <v>152</v>
      </c>
      <c r="B124" s="10">
        <v>690</v>
      </c>
      <c r="C124" s="5">
        <v>79</v>
      </c>
      <c r="D124" s="5">
        <v>24.8</v>
      </c>
      <c r="E124" s="18">
        <v>700</v>
      </c>
      <c r="F124" s="5">
        <v>80.099999999999994</v>
      </c>
      <c r="G124" s="5">
        <v>25.1</v>
      </c>
      <c r="H124" s="18">
        <v>660</v>
      </c>
      <c r="I124" s="5">
        <v>75.599999999999994</v>
      </c>
      <c r="J124" s="16">
        <v>23.7</v>
      </c>
      <c r="K124" s="18">
        <v>1060</v>
      </c>
      <c r="L124" s="5">
        <v>121.4</v>
      </c>
      <c r="M124" s="5">
        <v>38.1</v>
      </c>
      <c r="N124" s="18">
        <v>1040</v>
      </c>
      <c r="O124" s="5">
        <v>119.1</v>
      </c>
      <c r="P124" s="5">
        <v>37.4</v>
      </c>
      <c r="Q124" s="18">
        <v>1120</v>
      </c>
      <c r="R124" s="5">
        <v>128.30000000000001</v>
      </c>
      <c r="S124" s="5">
        <v>40.200000000000003</v>
      </c>
      <c r="T124" s="18">
        <v>1430</v>
      </c>
      <c r="U124" s="5">
        <v>163.80000000000001</v>
      </c>
      <c r="V124" s="5">
        <v>51.4</v>
      </c>
      <c r="W124" s="18">
        <v>1770</v>
      </c>
      <c r="X124" s="5">
        <v>202.7</v>
      </c>
      <c r="Y124" s="5">
        <v>63.6</v>
      </c>
      <c r="Z124" s="18">
        <v>1880</v>
      </c>
      <c r="AA124" s="5">
        <v>215.3</v>
      </c>
      <c r="AB124" s="16">
        <v>66.2</v>
      </c>
      <c r="AC124" s="21" t="s">
        <v>152</v>
      </c>
      <c r="AD124" s="10">
        <v>2150</v>
      </c>
      <c r="AE124" s="5">
        <v>246</v>
      </c>
      <c r="AF124" s="16">
        <v>71</v>
      </c>
      <c r="AG124" s="10">
        <v>2110</v>
      </c>
      <c r="AH124" s="5">
        <v>241.6</v>
      </c>
      <c r="AI124" s="16">
        <v>65.2</v>
      </c>
      <c r="AJ124" s="10">
        <v>2230</v>
      </c>
      <c r="AK124" s="5">
        <v>255.4</v>
      </c>
      <c r="AL124" s="16">
        <v>64</v>
      </c>
      <c r="AM124" s="10">
        <v>2720</v>
      </c>
      <c r="AN124" s="5">
        <v>311.5</v>
      </c>
      <c r="AO124" s="16">
        <v>78.099999999999994</v>
      </c>
      <c r="AP124" s="10">
        <v>3080</v>
      </c>
      <c r="AQ124" s="5">
        <v>352.6</v>
      </c>
      <c r="AR124" s="16">
        <v>88.4</v>
      </c>
      <c r="AS124" s="10">
        <v>3290</v>
      </c>
      <c r="AT124" s="5">
        <v>376.5</v>
      </c>
      <c r="AU124" s="16">
        <v>94.4</v>
      </c>
      <c r="AV124" s="10">
        <v>3900</v>
      </c>
      <c r="AW124" s="5">
        <v>447</v>
      </c>
      <c r="AX124" s="16">
        <v>111.6</v>
      </c>
      <c r="AY124" s="10">
        <v>4160</v>
      </c>
      <c r="AZ124" s="5">
        <v>475.8</v>
      </c>
      <c r="BA124" s="16">
        <v>119.2</v>
      </c>
      <c r="BB124" s="25">
        <v>4630</v>
      </c>
      <c r="BC124" s="26">
        <v>529.6</v>
      </c>
      <c r="BD124" s="27">
        <v>132.80000000000001</v>
      </c>
      <c r="BE124" s="65" t="s">
        <v>152</v>
      </c>
      <c r="BF124" s="18">
        <v>4980</v>
      </c>
      <c r="BG124" s="5">
        <v>570.16</v>
      </c>
      <c r="BH124" s="16">
        <v>142.94304865999999</v>
      </c>
      <c r="BI124" s="10">
        <v>5780</v>
      </c>
      <c r="BJ124" s="5">
        <v>662</v>
      </c>
      <c r="BK124" s="16">
        <v>165.95910269999999</v>
      </c>
      <c r="BL124" s="18">
        <v>6290</v>
      </c>
      <c r="BM124" s="5">
        <v>720.5</v>
      </c>
      <c r="BN124" s="16">
        <v>180.6218849</v>
      </c>
      <c r="BO124" s="18">
        <v>7300</v>
      </c>
      <c r="BP124" s="5">
        <v>836.01</v>
      </c>
      <c r="BQ124" s="16">
        <v>209.59060578999998</v>
      </c>
      <c r="BR124" s="18">
        <v>8750</v>
      </c>
      <c r="BS124" s="5">
        <v>1001.99</v>
      </c>
      <c r="BT124" s="16">
        <v>251.19769009999999</v>
      </c>
      <c r="BU124" s="18">
        <v>10480</v>
      </c>
      <c r="BV124" s="5">
        <v>1199.3699999999999</v>
      </c>
      <c r="BW124" s="16">
        <v>300.68063195999997</v>
      </c>
    </row>
    <row r="125" spans="1:75" x14ac:dyDescent="0.2">
      <c r="A125" s="21" t="s">
        <v>153</v>
      </c>
      <c r="B125" s="10">
        <v>640</v>
      </c>
      <c r="C125" s="5">
        <v>74</v>
      </c>
      <c r="D125" s="5">
        <v>23.3</v>
      </c>
      <c r="E125" s="18">
        <v>610</v>
      </c>
      <c r="F125" s="5">
        <v>70.5</v>
      </c>
      <c r="G125" s="5">
        <v>22.1</v>
      </c>
      <c r="H125" s="18">
        <v>1020</v>
      </c>
      <c r="I125" s="5">
        <v>117.6</v>
      </c>
      <c r="J125" s="16">
        <v>37</v>
      </c>
      <c r="K125" s="18">
        <v>850</v>
      </c>
      <c r="L125" s="5">
        <v>98.1</v>
      </c>
      <c r="M125" s="5">
        <v>30.9</v>
      </c>
      <c r="N125" s="18">
        <v>930</v>
      </c>
      <c r="O125" s="5">
        <v>107.4</v>
      </c>
      <c r="P125" s="5">
        <v>33.799999999999997</v>
      </c>
      <c r="Q125" s="18">
        <v>1230</v>
      </c>
      <c r="R125" s="5">
        <v>142.1</v>
      </c>
      <c r="S125" s="5">
        <v>44.7</v>
      </c>
      <c r="T125" s="18">
        <v>1480</v>
      </c>
      <c r="U125" s="5">
        <v>171</v>
      </c>
      <c r="V125" s="5">
        <v>53.8</v>
      </c>
      <c r="W125" s="18">
        <v>1690</v>
      </c>
      <c r="X125" s="5">
        <v>195.2</v>
      </c>
      <c r="Y125" s="5">
        <v>61.4</v>
      </c>
      <c r="Z125" s="18">
        <v>2150</v>
      </c>
      <c r="AA125" s="5">
        <v>248.4</v>
      </c>
      <c r="AB125" s="16">
        <v>76.5</v>
      </c>
      <c r="AC125" s="21" t="s">
        <v>153</v>
      </c>
      <c r="AD125" s="10">
        <v>1550</v>
      </c>
      <c r="AE125" s="5">
        <v>179.1</v>
      </c>
      <c r="AF125" s="16">
        <v>51.8</v>
      </c>
      <c r="AG125" s="10">
        <v>1780</v>
      </c>
      <c r="AH125" s="5">
        <v>205.6</v>
      </c>
      <c r="AI125" s="16">
        <v>55.6</v>
      </c>
      <c r="AJ125" s="10">
        <v>2360</v>
      </c>
      <c r="AK125" s="5">
        <v>272.5</v>
      </c>
      <c r="AL125" s="16">
        <v>68.5</v>
      </c>
      <c r="AM125" s="10">
        <v>2380</v>
      </c>
      <c r="AN125" s="5">
        <v>274.7</v>
      </c>
      <c r="AO125" s="16">
        <v>69</v>
      </c>
      <c r="AP125" s="10">
        <v>2770</v>
      </c>
      <c r="AQ125" s="5">
        <v>319.8</v>
      </c>
      <c r="AR125" s="16">
        <v>80.400000000000006</v>
      </c>
      <c r="AS125" s="10">
        <v>3160</v>
      </c>
      <c r="AT125" s="5">
        <v>364.9</v>
      </c>
      <c r="AU125" s="16">
        <v>91.7</v>
      </c>
      <c r="AV125" s="10">
        <v>3720</v>
      </c>
      <c r="AW125" s="5">
        <v>429.1</v>
      </c>
      <c r="AX125" s="16">
        <v>107.5</v>
      </c>
      <c r="AY125" s="10">
        <v>3930</v>
      </c>
      <c r="AZ125" s="5">
        <v>453.4</v>
      </c>
      <c r="BA125" s="16">
        <v>113.7</v>
      </c>
      <c r="BB125" s="25">
        <v>4400</v>
      </c>
      <c r="BC125" s="26">
        <v>507.7</v>
      </c>
      <c r="BD125" s="27">
        <v>127.6</v>
      </c>
      <c r="BE125" s="65" t="s">
        <v>153</v>
      </c>
      <c r="BF125" s="18">
        <v>4980</v>
      </c>
      <c r="BG125" s="5">
        <v>575.09</v>
      </c>
      <c r="BH125" s="16">
        <v>144.56850971</v>
      </c>
      <c r="BI125" s="10">
        <v>5550</v>
      </c>
      <c r="BJ125" s="5">
        <v>641</v>
      </c>
      <c r="BK125" s="16">
        <v>161.13125249999999</v>
      </c>
      <c r="BL125" s="18">
        <v>6240</v>
      </c>
      <c r="BM125" s="5">
        <v>721.1</v>
      </c>
      <c r="BN125" s="16">
        <v>181.26542860000001</v>
      </c>
      <c r="BO125" s="18">
        <v>7270</v>
      </c>
      <c r="BP125" s="5">
        <v>839.02</v>
      </c>
      <c r="BQ125" s="16">
        <v>210.91051125999999</v>
      </c>
      <c r="BR125" s="18">
        <v>8670</v>
      </c>
      <c r="BS125" s="5">
        <v>1001.76</v>
      </c>
      <c r="BT125" s="16">
        <v>251.81882280000002</v>
      </c>
      <c r="BU125" s="18">
        <v>10270</v>
      </c>
      <c r="BV125" s="5">
        <v>1185.48</v>
      </c>
      <c r="BW125" s="16">
        <v>298.0016023</v>
      </c>
    </row>
    <row r="126" spans="1:75" x14ac:dyDescent="0.2">
      <c r="A126" s="21" t="s">
        <v>154</v>
      </c>
      <c r="B126" s="10">
        <v>660</v>
      </c>
      <c r="C126" s="5">
        <v>76.900000000000006</v>
      </c>
      <c r="D126" s="5">
        <v>24.2</v>
      </c>
      <c r="E126" s="18">
        <v>780</v>
      </c>
      <c r="F126" s="5">
        <v>90.9</v>
      </c>
      <c r="G126" s="5">
        <v>28.6</v>
      </c>
      <c r="H126" s="18">
        <v>790</v>
      </c>
      <c r="I126" s="5">
        <v>92</v>
      </c>
      <c r="J126" s="16">
        <v>29</v>
      </c>
      <c r="K126" s="18">
        <v>910</v>
      </c>
      <c r="L126" s="5">
        <v>106</v>
      </c>
      <c r="M126" s="5">
        <v>33.4</v>
      </c>
      <c r="N126" s="18">
        <v>1120</v>
      </c>
      <c r="O126" s="5">
        <v>130.4</v>
      </c>
      <c r="P126" s="5">
        <v>41.1</v>
      </c>
      <c r="Q126" s="18">
        <v>1230</v>
      </c>
      <c r="R126" s="5">
        <v>143.30000000000001</v>
      </c>
      <c r="S126" s="5">
        <v>45.2</v>
      </c>
      <c r="T126" s="18">
        <v>1340</v>
      </c>
      <c r="U126" s="5">
        <v>156.1</v>
      </c>
      <c r="V126" s="5">
        <v>49.2</v>
      </c>
      <c r="W126" s="18">
        <v>1680</v>
      </c>
      <c r="X126" s="5">
        <v>195.6</v>
      </c>
      <c r="Y126" s="5">
        <v>61.6</v>
      </c>
      <c r="Z126" s="18">
        <v>1770</v>
      </c>
      <c r="AA126" s="5">
        <v>206.3</v>
      </c>
      <c r="AB126" s="16">
        <v>63.7</v>
      </c>
      <c r="AC126" s="21" t="s">
        <v>154</v>
      </c>
      <c r="AD126" s="10">
        <v>1860</v>
      </c>
      <c r="AE126" s="5">
        <v>216.6</v>
      </c>
      <c r="AF126" s="16">
        <v>62.9</v>
      </c>
      <c r="AG126" s="10">
        <v>2180</v>
      </c>
      <c r="AH126" s="5">
        <v>254</v>
      </c>
      <c r="AI126" s="16">
        <v>68.900000000000006</v>
      </c>
      <c r="AJ126" s="10">
        <v>2240</v>
      </c>
      <c r="AK126" s="5">
        <v>261.10000000000002</v>
      </c>
      <c r="AL126" s="16">
        <v>65.8</v>
      </c>
      <c r="AM126" s="10">
        <v>2630</v>
      </c>
      <c r="AN126" s="5">
        <v>306.39999999999998</v>
      </c>
      <c r="AO126" s="16">
        <v>77.2</v>
      </c>
      <c r="AP126" s="10">
        <v>2910</v>
      </c>
      <c r="AQ126" s="5">
        <v>339.1</v>
      </c>
      <c r="AR126" s="16">
        <v>85.5</v>
      </c>
      <c r="AS126" s="10">
        <v>2880</v>
      </c>
      <c r="AT126" s="5">
        <v>335.3</v>
      </c>
      <c r="AU126" s="16">
        <v>84.5</v>
      </c>
      <c r="AV126" s="10">
        <v>3590</v>
      </c>
      <c r="AW126" s="5">
        <v>418</v>
      </c>
      <c r="AX126" s="16">
        <v>105.1</v>
      </c>
      <c r="AY126" s="10">
        <v>3830</v>
      </c>
      <c r="AZ126" s="5">
        <v>446.5</v>
      </c>
      <c r="BA126" s="16">
        <v>112.1</v>
      </c>
      <c r="BB126" s="25">
        <v>4250</v>
      </c>
      <c r="BC126" s="26">
        <v>495.5</v>
      </c>
      <c r="BD126" s="27">
        <v>124.9</v>
      </c>
      <c r="BE126" s="65" t="s">
        <v>154</v>
      </c>
      <c r="BF126" s="18">
        <v>4750</v>
      </c>
      <c r="BG126" s="5">
        <v>552.80999999999995</v>
      </c>
      <c r="BH126" s="16">
        <v>139.34208622999998</v>
      </c>
      <c r="BI126" s="10">
        <v>5300</v>
      </c>
      <c r="BJ126" s="5">
        <v>617</v>
      </c>
      <c r="BK126" s="16">
        <v>155.52010519999999</v>
      </c>
      <c r="BL126" s="18">
        <v>5940</v>
      </c>
      <c r="BM126" s="5">
        <v>691.6</v>
      </c>
      <c r="BN126" s="16">
        <v>174.31841230000001</v>
      </c>
      <c r="BO126" s="18">
        <v>6850</v>
      </c>
      <c r="BP126" s="5">
        <v>798.41</v>
      </c>
      <c r="BQ126" s="16">
        <v>201.25019372</v>
      </c>
      <c r="BR126" s="18">
        <v>8320</v>
      </c>
      <c r="BS126" s="5">
        <v>968.97</v>
      </c>
      <c r="BT126" s="16">
        <v>244.24207499000002</v>
      </c>
      <c r="BU126" s="18">
        <v>10000</v>
      </c>
      <c r="BV126" s="5">
        <v>1165.1099999999999</v>
      </c>
      <c r="BW126" s="16">
        <v>293.67713827999995</v>
      </c>
    </row>
    <row r="127" spans="1:75" x14ac:dyDescent="0.2">
      <c r="A127" s="21" t="s">
        <v>155</v>
      </c>
      <c r="B127" s="10">
        <v>680</v>
      </c>
      <c r="C127" s="5">
        <v>79.900000000000006</v>
      </c>
      <c r="D127" s="5">
        <v>25.2</v>
      </c>
      <c r="E127" s="18">
        <v>780</v>
      </c>
      <c r="F127" s="5">
        <v>91.6</v>
      </c>
      <c r="G127" s="5">
        <v>28.9</v>
      </c>
      <c r="H127" s="18">
        <v>860</v>
      </c>
      <c r="I127" s="5">
        <v>101</v>
      </c>
      <c r="J127" s="16">
        <v>31.9</v>
      </c>
      <c r="K127" s="18">
        <v>800</v>
      </c>
      <c r="L127" s="5">
        <v>94</v>
      </c>
      <c r="M127" s="5">
        <v>29.7</v>
      </c>
      <c r="N127" s="18">
        <v>1100</v>
      </c>
      <c r="O127" s="5">
        <v>129.19999999999999</v>
      </c>
      <c r="P127" s="5">
        <v>40.799999999999997</v>
      </c>
      <c r="Q127" s="18">
        <v>1250</v>
      </c>
      <c r="R127" s="5">
        <v>146.80000000000001</v>
      </c>
      <c r="S127" s="5">
        <v>46.3</v>
      </c>
      <c r="T127" s="18">
        <v>1720</v>
      </c>
      <c r="U127" s="5">
        <v>202.1</v>
      </c>
      <c r="V127" s="5">
        <v>63.8</v>
      </c>
      <c r="W127" s="18">
        <v>1460</v>
      </c>
      <c r="X127" s="5">
        <v>171.7</v>
      </c>
      <c r="Y127" s="5">
        <v>54.2</v>
      </c>
      <c r="Z127" s="18">
        <v>1810</v>
      </c>
      <c r="AA127" s="5">
        <v>212.7</v>
      </c>
      <c r="AB127" s="16">
        <v>65.8</v>
      </c>
      <c r="AC127" s="21" t="s">
        <v>155</v>
      </c>
      <c r="AD127" s="10">
        <v>1410</v>
      </c>
      <c r="AE127" s="5">
        <v>165.7</v>
      </c>
      <c r="AF127" s="16">
        <v>48.2</v>
      </c>
      <c r="AG127" s="10">
        <v>2070</v>
      </c>
      <c r="AH127" s="5">
        <v>243.2</v>
      </c>
      <c r="AI127" s="16">
        <v>66.099999999999994</v>
      </c>
      <c r="AJ127" s="10">
        <v>2630</v>
      </c>
      <c r="AK127" s="5">
        <v>309.10000000000002</v>
      </c>
      <c r="AL127" s="16">
        <v>78.099999999999994</v>
      </c>
      <c r="AM127" s="10">
        <v>2870</v>
      </c>
      <c r="AN127" s="5">
        <v>337.2</v>
      </c>
      <c r="AO127" s="16">
        <v>85.2</v>
      </c>
      <c r="AP127" s="10">
        <v>2710</v>
      </c>
      <c r="AQ127" s="5">
        <v>318.60000000000002</v>
      </c>
      <c r="AR127" s="16">
        <v>80.5</v>
      </c>
      <c r="AS127" s="10">
        <v>3380</v>
      </c>
      <c r="AT127" s="5">
        <v>397.2</v>
      </c>
      <c r="AU127" s="16">
        <v>100.4</v>
      </c>
      <c r="AV127" s="10">
        <v>3500</v>
      </c>
      <c r="AW127" s="5">
        <v>411.6</v>
      </c>
      <c r="AX127" s="16">
        <v>103.5</v>
      </c>
      <c r="AY127" s="10">
        <v>3850</v>
      </c>
      <c r="AZ127" s="5">
        <v>452.4</v>
      </c>
      <c r="BA127" s="16">
        <v>114.1</v>
      </c>
      <c r="BB127" s="25">
        <v>4120</v>
      </c>
      <c r="BC127" s="26">
        <v>484.1</v>
      </c>
      <c r="BD127" s="27">
        <v>122.4</v>
      </c>
      <c r="BE127" s="65" t="s">
        <v>155</v>
      </c>
      <c r="BF127" s="18">
        <v>4630</v>
      </c>
      <c r="BG127" s="5">
        <v>544.03</v>
      </c>
      <c r="BH127" s="16">
        <v>137.48814106999998</v>
      </c>
      <c r="BI127" s="10">
        <v>5290</v>
      </c>
      <c r="BJ127" s="5">
        <v>621.20000000000005</v>
      </c>
      <c r="BK127" s="16">
        <v>156.99731459999998</v>
      </c>
      <c r="BL127" s="18">
        <v>5870</v>
      </c>
      <c r="BM127" s="5">
        <v>689.2</v>
      </c>
      <c r="BN127" s="16">
        <v>174.16647880000002</v>
      </c>
      <c r="BO127" s="18">
        <v>6660</v>
      </c>
      <c r="BP127" s="5">
        <v>783.05</v>
      </c>
      <c r="BQ127" s="16">
        <v>197.89525244000001</v>
      </c>
      <c r="BR127" s="18">
        <v>7910</v>
      </c>
      <c r="BS127" s="5">
        <v>928.92</v>
      </c>
      <c r="BT127" s="16">
        <v>234.7582668</v>
      </c>
      <c r="BU127" s="18">
        <v>9530</v>
      </c>
      <c r="BV127" s="5">
        <v>1120.0999999999999</v>
      </c>
      <c r="BW127" s="16">
        <v>283.07475491000002</v>
      </c>
    </row>
    <row r="128" spans="1:75" x14ac:dyDescent="0.2">
      <c r="A128" s="21" t="s">
        <v>156</v>
      </c>
      <c r="B128" s="10">
        <v>630</v>
      </c>
      <c r="C128" s="5">
        <v>74.7</v>
      </c>
      <c r="D128" s="5">
        <v>23.6</v>
      </c>
      <c r="E128" s="18">
        <v>620</v>
      </c>
      <c r="F128" s="5">
        <v>73.5</v>
      </c>
      <c r="G128" s="5">
        <v>23.3</v>
      </c>
      <c r="H128" s="18">
        <v>860</v>
      </c>
      <c r="I128" s="5">
        <v>101.9</v>
      </c>
      <c r="J128" s="16">
        <v>32.200000000000003</v>
      </c>
      <c r="K128" s="18">
        <v>900</v>
      </c>
      <c r="L128" s="5">
        <v>106.6</v>
      </c>
      <c r="M128" s="5">
        <v>33.700000000000003</v>
      </c>
      <c r="N128" s="18">
        <v>1170</v>
      </c>
      <c r="O128" s="5">
        <v>138.69999999999999</v>
      </c>
      <c r="P128" s="5">
        <v>43.9</v>
      </c>
      <c r="Q128" s="18">
        <v>1210</v>
      </c>
      <c r="R128" s="5">
        <v>143.4</v>
      </c>
      <c r="S128" s="5">
        <v>45.4</v>
      </c>
      <c r="T128" s="18">
        <v>1450</v>
      </c>
      <c r="U128" s="5">
        <v>171.7</v>
      </c>
      <c r="V128" s="5">
        <v>54.3</v>
      </c>
      <c r="W128" s="18">
        <v>1690</v>
      </c>
      <c r="X128" s="5">
        <v>200.3</v>
      </c>
      <c r="Y128" s="5">
        <v>63.4</v>
      </c>
      <c r="Z128" s="18">
        <v>1880</v>
      </c>
      <c r="AA128" s="5">
        <v>222.8</v>
      </c>
      <c r="AB128" s="16">
        <v>69.099999999999994</v>
      </c>
      <c r="AC128" s="21" t="s">
        <v>156</v>
      </c>
      <c r="AD128" s="10">
        <v>2230</v>
      </c>
      <c r="AE128" s="5">
        <v>264.2</v>
      </c>
      <c r="AF128" s="16">
        <v>77.099999999999994</v>
      </c>
      <c r="AG128" s="10">
        <v>2150</v>
      </c>
      <c r="AH128" s="5">
        <v>254.8</v>
      </c>
      <c r="AI128" s="16">
        <v>69.5</v>
      </c>
      <c r="AJ128" s="10">
        <v>2520</v>
      </c>
      <c r="AK128" s="5">
        <v>298.7</v>
      </c>
      <c r="AL128" s="16">
        <v>75.7</v>
      </c>
      <c r="AM128" s="10">
        <v>2900</v>
      </c>
      <c r="AN128" s="5">
        <v>343.7</v>
      </c>
      <c r="AO128" s="16">
        <v>87.1</v>
      </c>
      <c r="AP128" s="10">
        <v>2890</v>
      </c>
      <c r="AQ128" s="5">
        <v>342.4</v>
      </c>
      <c r="AR128" s="16">
        <v>86.8</v>
      </c>
      <c r="AS128" s="10">
        <v>2780</v>
      </c>
      <c r="AT128" s="5">
        <v>329.5</v>
      </c>
      <c r="AU128" s="16">
        <v>83.5</v>
      </c>
      <c r="AV128" s="10">
        <v>3330</v>
      </c>
      <c r="AW128" s="5">
        <v>394</v>
      </c>
      <c r="AX128" s="16">
        <v>99.6</v>
      </c>
      <c r="AY128" s="10">
        <v>3530</v>
      </c>
      <c r="AZ128" s="5">
        <v>417.9</v>
      </c>
      <c r="BA128" s="16">
        <v>105.4</v>
      </c>
      <c r="BB128" s="25">
        <v>3950</v>
      </c>
      <c r="BC128" s="26">
        <v>468.4</v>
      </c>
      <c r="BD128" s="27">
        <v>118.7</v>
      </c>
      <c r="BE128" s="65" t="s">
        <v>156</v>
      </c>
      <c r="BF128" s="18">
        <v>4420</v>
      </c>
      <c r="BG128" s="5">
        <v>523.66999999999996</v>
      </c>
      <c r="BH128" s="16">
        <v>132.68581412</v>
      </c>
      <c r="BI128" s="10">
        <v>5000</v>
      </c>
      <c r="BJ128" s="5">
        <v>592.29999999999995</v>
      </c>
      <c r="BK128" s="16">
        <v>150.06283280000002</v>
      </c>
      <c r="BL128" s="18">
        <v>5480</v>
      </c>
      <c r="BM128" s="5">
        <v>648.9</v>
      </c>
      <c r="BN128" s="16">
        <v>164.40977709999999</v>
      </c>
      <c r="BO128" s="18">
        <v>6480</v>
      </c>
      <c r="BP128" s="5">
        <v>767.84</v>
      </c>
      <c r="BQ128" s="16">
        <v>194.54778789</v>
      </c>
      <c r="BR128" s="18">
        <v>7620</v>
      </c>
      <c r="BS128" s="5">
        <v>902.57</v>
      </c>
      <c r="BT128" s="16">
        <v>228.68405118000001</v>
      </c>
      <c r="BU128" s="18">
        <v>9370</v>
      </c>
      <c r="BV128" s="5">
        <v>1109.78</v>
      </c>
      <c r="BW128" s="16">
        <v>281.19475177999999</v>
      </c>
    </row>
    <row r="129" spans="1:75" x14ac:dyDescent="0.2">
      <c r="A129" s="21" t="s">
        <v>157</v>
      </c>
      <c r="B129" s="10">
        <v>670</v>
      </c>
      <c r="C129" s="5">
        <v>80.099999999999994</v>
      </c>
      <c r="D129" s="5">
        <v>25.4</v>
      </c>
      <c r="E129" s="18">
        <v>1170</v>
      </c>
      <c r="F129" s="5">
        <v>139.9</v>
      </c>
      <c r="G129" s="5">
        <v>44.3</v>
      </c>
      <c r="H129" s="18">
        <v>890</v>
      </c>
      <c r="I129" s="5">
        <v>106.4</v>
      </c>
      <c r="J129" s="16">
        <v>33.700000000000003</v>
      </c>
      <c r="K129" s="18">
        <v>960</v>
      </c>
      <c r="L129" s="5">
        <v>114.8</v>
      </c>
      <c r="M129" s="5">
        <v>36.4</v>
      </c>
      <c r="N129" s="18">
        <v>1410</v>
      </c>
      <c r="O129" s="5">
        <v>168.6</v>
      </c>
      <c r="P129" s="5">
        <v>53.5</v>
      </c>
      <c r="Q129" s="18">
        <v>1030</v>
      </c>
      <c r="R129" s="5">
        <v>123.2</v>
      </c>
      <c r="S129" s="5">
        <v>39</v>
      </c>
      <c r="T129" s="18">
        <v>990</v>
      </c>
      <c r="U129" s="5">
        <v>118.4</v>
      </c>
      <c r="V129" s="5">
        <v>37.5</v>
      </c>
      <c r="W129" s="18">
        <v>1510</v>
      </c>
      <c r="X129" s="5">
        <v>180.6</v>
      </c>
      <c r="Y129" s="5">
        <v>57.2</v>
      </c>
      <c r="Z129" s="18">
        <v>1960</v>
      </c>
      <c r="AA129" s="5">
        <v>234.3</v>
      </c>
      <c r="AB129" s="16">
        <v>72.8</v>
      </c>
      <c r="AC129" s="21" t="s">
        <v>157</v>
      </c>
      <c r="AD129" s="10">
        <v>1920</v>
      </c>
      <c r="AE129" s="5">
        <v>229.5</v>
      </c>
      <c r="AF129" s="16">
        <v>67.2</v>
      </c>
      <c r="AG129" s="10">
        <v>1770</v>
      </c>
      <c r="AH129" s="5">
        <v>211.4</v>
      </c>
      <c r="AI129" s="16">
        <v>57.8</v>
      </c>
      <c r="AJ129" s="10">
        <v>2790</v>
      </c>
      <c r="AK129" s="5">
        <v>333.5</v>
      </c>
      <c r="AL129" s="16">
        <v>84.7</v>
      </c>
      <c r="AM129" s="10">
        <v>3200</v>
      </c>
      <c r="AN129" s="5">
        <v>382.6</v>
      </c>
      <c r="AO129" s="16">
        <v>97.2</v>
      </c>
      <c r="AP129" s="10">
        <v>3090</v>
      </c>
      <c r="AQ129" s="5">
        <v>369.5</v>
      </c>
      <c r="AR129" s="16">
        <v>93.9</v>
      </c>
      <c r="AS129" s="10">
        <v>3560</v>
      </c>
      <c r="AT129" s="5">
        <v>425.9</v>
      </c>
      <c r="AU129" s="16">
        <v>108.2</v>
      </c>
      <c r="AV129" s="10">
        <v>3750</v>
      </c>
      <c r="AW129" s="5">
        <v>447.8</v>
      </c>
      <c r="AX129" s="16">
        <v>113.5</v>
      </c>
      <c r="AY129" s="10">
        <v>4030</v>
      </c>
      <c r="AZ129" s="5">
        <v>482.1</v>
      </c>
      <c r="BA129" s="16">
        <v>122.1</v>
      </c>
      <c r="BB129" s="25">
        <v>4490</v>
      </c>
      <c r="BC129" s="26">
        <v>537</v>
      </c>
      <c r="BD129" s="27">
        <v>136.4</v>
      </c>
      <c r="BE129" s="65" t="s">
        <v>157</v>
      </c>
      <c r="BF129" s="18">
        <v>4770</v>
      </c>
      <c r="BG129" s="5">
        <v>570.19000000000005</v>
      </c>
      <c r="BH129" s="16">
        <v>144.83123502000001</v>
      </c>
      <c r="BI129" s="10">
        <v>5460</v>
      </c>
      <c r="BJ129" s="5">
        <v>652.20000000000005</v>
      </c>
      <c r="BK129" s="16">
        <v>165.6820147</v>
      </c>
      <c r="BL129" s="18">
        <v>5800</v>
      </c>
      <c r="BM129" s="5">
        <v>693.8</v>
      </c>
      <c r="BN129" s="16">
        <v>176.24681819999998</v>
      </c>
      <c r="BO129" s="18">
        <v>6870</v>
      </c>
      <c r="BP129" s="5">
        <v>821.08</v>
      </c>
      <c r="BQ129" s="16">
        <v>208.58536387999999</v>
      </c>
      <c r="BR129" s="18">
        <v>7690</v>
      </c>
      <c r="BS129" s="5">
        <v>919.51</v>
      </c>
      <c r="BT129" s="16">
        <v>233.58718555000002</v>
      </c>
      <c r="BU129" s="18">
        <v>9510</v>
      </c>
      <c r="BV129" s="5">
        <v>1136.33</v>
      </c>
      <c r="BW129" s="16">
        <v>288.65616879000004</v>
      </c>
    </row>
    <row r="130" spans="1:75" x14ac:dyDescent="0.2">
      <c r="A130" s="21" t="s">
        <v>158</v>
      </c>
      <c r="B130" s="10">
        <v>750</v>
      </c>
      <c r="C130" s="5">
        <v>90.4</v>
      </c>
      <c r="D130" s="5">
        <v>28.7</v>
      </c>
      <c r="E130" s="18">
        <v>620</v>
      </c>
      <c r="F130" s="5">
        <v>74.7</v>
      </c>
      <c r="G130" s="5">
        <v>23.7</v>
      </c>
      <c r="H130" s="18">
        <v>700</v>
      </c>
      <c r="I130" s="5">
        <v>84.3</v>
      </c>
      <c r="J130" s="16">
        <v>26.8</v>
      </c>
      <c r="K130" s="18">
        <v>850</v>
      </c>
      <c r="L130" s="5">
        <v>102.5</v>
      </c>
      <c r="M130" s="5">
        <v>32.5</v>
      </c>
      <c r="N130" s="18">
        <v>980</v>
      </c>
      <c r="O130" s="5">
        <v>118.1</v>
      </c>
      <c r="P130" s="5">
        <v>37.5</v>
      </c>
      <c r="Q130" s="18">
        <v>1000</v>
      </c>
      <c r="R130" s="5">
        <v>120.5</v>
      </c>
      <c r="S130" s="5">
        <v>38.299999999999997</v>
      </c>
      <c r="T130" s="18">
        <v>1310</v>
      </c>
      <c r="U130" s="5">
        <v>157.80000000000001</v>
      </c>
      <c r="V130" s="5">
        <v>50.1</v>
      </c>
      <c r="W130" s="18">
        <v>1260</v>
      </c>
      <c r="X130" s="5">
        <v>151.9</v>
      </c>
      <c r="Y130" s="5">
        <v>48.2</v>
      </c>
      <c r="Z130" s="18">
        <v>1530</v>
      </c>
      <c r="AA130" s="5">
        <v>184.4</v>
      </c>
      <c r="AB130" s="16">
        <v>57.4</v>
      </c>
      <c r="AC130" s="21" t="s">
        <v>158</v>
      </c>
      <c r="AD130" s="10">
        <v>1920</v>
      </c>
      <c r="AE130" s="5">
        <v>231.3</v>
      </c>
      <c r="AF130" s="16">
        <v>67.8</v>
      </c>
      <c r="AG130" s="10">
        <v>2500</v>
      </c>
      <c r="AH130" s="5">
        <v>301.2</v>
      </c>
      <c r="AI130" s="16">
        <v>82.5</v>
      </c>
      <c r="AJ130" s="10">
        <v>2360</v>
      </c>
      <c r="AK130" s="5">
        <v>284.3</v>
      </c>
      <c r="AL130" s="16">
        <v>72.400000000000006</v>
      </c>
      <c r="AM130" s="10">
        <v>2370</v>
      </c>
      <c r="AN130" s="5">
        <v>285.60000000000002</v>
      </c>
      <c r="AO130" s="16">
        <v>72.7</v>
      </c>
      <c r="AP130" s="10">
        <v>2400</v>
      </c>
      <c r="AQ130" s="5">
        <v>289.10000000000002</v>
      </c>
      <c r="AR130" s="16">
        <v>73.599999999999994</v>
      </c>
      <c r="AS130" s="10">
        <v>2970</v>
      </c>
      <c r="AT130" s="5">
        <v>357.8</v>
      </c>
      <c r="AU130" s="16">
        <v>91.1</v>
      </c>
      <c r="AV130" s="10">
        <v>3410</v>
      </c>
      <c r="AW130" s="5">
        <v>410.3</v>
      </c>
      <c r="AX130" s="16">
        <v>104</v>
      </c>
      <c r="AY130" s="10">
        <v>3640</v>
      </c>
      <c r="AZ130" s="5">
        <v>439</v>
      </c>
      <c r="BA130" s="16">
        <v>111.4</v>
      </c>
      <c r="BB130" s="25">
        <v>4150</v>
      </c>
      <c r="BC130" s="26">
        <v>499.4</v>
      </c>
      <c r="BD130" s="27">
        <v>127.2</v>
      </c>
      <c r="BE130" s="65" t="s">
        <v>158</v>
      </c>
      <c r="BF130" s="18">
        <v>4490</v>
      </c>
      <c r="BG130" s="5">
        <v>540.85</v>
      </c>
      <c r="BH130" s="16">
        <v>137.72039053</v>
      </c>
      <c r="BI130" s="10">
        <v>5290</v>
      </c>
      <c r="BJ130" s="5">
        <v>637.6</v>
      </c>
      <c r="BK130" s="16">
        <v>162.35140319999999</v>
      </c>
      <c r="BL130" s="18">
        <v>5660</v>
      </c>
      <c r="BM130" s="5">
        <v>681.5</v>
      </c>
      <c r="BN130" s="16">
        <v>173.5254339</v>
      </c>
      <c r="BO130" s="18">
        <v>6890</v>
      </c>
      <c r="BP130" s="5">
        <v>829.94</v>
      </c>
      <c r="BQ130" s="16">
        <v>211.31827437999999</v>
      </c>
      <c r="BR130" s="18">
        <v>8250</v>
      </c>
      <c r="BS130" s="5">
        <v>993.43</v>
      </c>
      <c r="BT130" s="16">
        <v>252.94685106</v>
      </c>
      <c r="BU130" s="18">
        <v>9780</v>
      </c>
      <c r="BV130" s="5">
        <v>1178.1099999999999</v>
      </c>
      <c r="BW130" s="16">
        <v>299.98186250999998</v>
      </c>
    </row>
    <row r="131" spans="1:75" x14ac:dyDescent="0.2">
      <c r="A131" s="21" t="s">
        <v>159</v>
      </c>
      <c r="B131" s="10">
        <v>410</v>
      </c>
      <c r="C131" s="5">
        <v>49.8</v>
      </c>
      <c r="D131" s="5">
        <v>15.8</v>
      </c>
      <c r="E131" s="18">
        <v>610</v>
      </c>
      <c r="F131" s="5">
        <v>74.099999999999994</v>
      </c>
      <c r="G131" s="5">
        <v>23.6</v>
      </c>
      <c r="H131" s="18">
        <v>600</v>
      </c>
      <c r="I131" s="5">
        <v>72.900000000000006</v>
      </c>
      <c r="J131" s="16">
        <v>23.2</v>
      </c>
      <c r="K131" s="18">
        <v>830</v>
      </c>
      <c r="L131" s="5">
        <v>100.8</v>
      </c>
      <c r="M131" s="5">
        <v>32.1</v>
      </c>
      <c r="N131" s="18">
        <v>970</v>
      </c>
      <c r="O131" s="5">
        <v>117.8</v>
      </c>
      <c r="P131" s="5">
        <v>37.5</v>
      </c>
      <c r="Q131" s="18">
        <v>1070</v>
      </c>
      <c r="R131" s="5">
        <v>130</v>
      </c>
      <c r="S131" s="5">
        <v>41.4</v>
      </c>
      <c r="T131" s="18">
        <v>1500</v>
      </c>
      <c r="U131" s="5">
        <v>182.2</v>
      </c>
      <c r="V131" s="5">
        <v>58</v>
      </c>
      <c r="W131" s="18">
        <v>1190</v>
      </c>
      <c r="X131" s="5">
        <v>144.6</v>
      </c>
      <c r="Y131" s="5">
        <v>46</v>
      </c>
      <c r="Z131" s="18">
        <v>1550</v>
      </c>
      <c r="AA131" s="5">
        <v>188.3</v>
      </c>
      <c r="AB131" s="16">
        <v>58.8</v>
      </c>
      <c r="AC131" s="21" t="s">
        <v>159</v>
      </c>
      <c r="AD131" s="10">
        <v>1410</v>
      </c>
      <c r="AE131" s="5">
        <v>171.4</v>
      </c>
      <c r="AF131" s="16">
        <v>50.4</v>
      </c>
      <c r="AG131" s="10">
        <v>2210</v>
      </c>
      <c r="AH131" s="5">
        <v>268.60000000000002</v>
      </c>
      <c r="AI131" s="16">
        <v>73.8</v>
      </c>
      <c r="AJ131" s="10">
        <v>2430</v>
      </c>
      <c r="AK131" s="5">
        <v>295.39999999999998</v>
      </c>
      <c r="AL131" s="16">
        <v>75.400000000000006</v>
      </c>
      <c r="AM131" s="10">
        <v>3160</v>
      </c>
      <c r="AN131" s="5">
        <v>384</v>
      </c>
      <c r="AO131" s="16">
        <v>98</v>
      </c>
      <c r="AP131" s="10">
        <v>2960</v>
      </c>
      <c r="AQ131" s="5">
        <v>359.5</v>
      </c>
      <c r="AR131" s="16">
        <v>91.8</v>
      </c>
      <c r="AS131" s="10">
        <v>2810</v>
      </c>
      <c r="AT131" s="5">
        <v>341.4</v>
      </c>
      <c r="AU131" s="16">
        <v>87.1</v>
      </c>
      <c r="AV131" s="10">
        <v>3240</v>
      </c>
      <c r="AW131" s="5">
        <v>393.2</v>
      </c>
      <c r="AX131" s="16">
        <v>100.1</v>
      </c>
      <c r="AY131" s="10">
        <v>3370</v>
      </c>
      <c r="AZ131" s="5">
        <v>410</v>
      </c>
      <c r="BA131" s="16">
        <v>104.5</v>
      </c>
      <c r="BB131" s="25">
        <v>3610</v>
      </c>
      <c r="BC131" s="26">
        <v>438</v>
      </c>
      <c r="BD131" s="27">
        <v>111.8</v>
      </c>
      <c r="BE131" s="65" t="s">
        <v>159</v>
      </c>
      <c r="BF131" s="18">
        <v>4290</v>
      </c>
      <c r="BG131" s="5">
        <v>521</v>
      </c>
      <c r="BH131" s="16">
        <v>132.9952236</v>
      </c>
      <c r="BI131" s="10">
        <v>4790</v>
      </c>
      <c r="BJ131" s="5">
        <v>582.4</v>
      </c>
      <c r="BK131" s="16">
        <v>148.66052300000001</v>
      </c>
      <c r="BL131" s="18">
        <v>5140</v>
      </c>
      <c r="BM131" s="5">
        <v>624.9</v>
      </c>
      <c r="BN131" s="16">
        <v>159.5112421</v>
      </c>
      <c r="BO131" s="18">
        <v>6220</v>
      </c>
      <c r="BP131" s="5">
        <v>755.84</v>
      </c>
      <c r="BQ131" s="16">
        <v>192.93944804</v>
      </c>
      <c r="BR131" s="18">
        <v>7530</v>
      </c>
      <c r="BS131" s="5">
        <v>914.47</v>
      </c>
      <c r="BT131" s="16">
        <v>233.42877934999999</v>
      </c>
      <c r="BU131" s="18">
        <v>8820</v>
      </c>
      <c r="BV131" s="5">
        <v>1070.9100000000001</v>
      </c>
      <c r="BW131" s="16">
        <v>273.36152582</v>
      </c>
    </row>
    <row r="132" spans="1:75" x14ac:dyDescent="0.2">
      <c r="A132" s="21" t="s">
        <v>160</v>
      </c>
      <c r="B132" s="10">
        <v>530</v>
      </c>
      <c r="C132" s="5">
        <v>64.900000000000006</v>
      </c>
      <c r="D132" s="5">
        <v>20.7</v>
      </c>
      <c r="E132" s="18">
        <v>490</v>
      </c>
      <c r="F132" s="5">
        <v>60</v>
      </c>
      <c r="G132" s="5">
        <v>19.100000000000001</v>
      </c>
      <c r="H132" s="18">
        <v>770</v>
      </c>
      <c r="I132" s="5">
        <v>94.3</v>
      </c>
      <c r="J132" s="16">
        <v>30</v>
      </c>
      <c r="K132" s="18">
        <v>1000</v>
      </c>
      <c r="L132" s="5">
        <v>122.5</v>
      </c>
      <c r="M132" s="5">
        <v>39</v>
      </c>
      <c r="N132" s="18">
        <v>840</v>
      </c>
      <c r="O132" s="5">
        <v>102.9</v>
      </c>
      <c r="P132" s="5">
        <v>32.799999999999997</v>
      </c>
      <c r="Q132" s="18">
        <v>940</v>
      </c>
      <c r="R132" s="5">
        <v>115.1</v>
      </c>
      <c r="S132" s="5">
        <v>36.700000000000003</v>
      </c>
      <c r="T132" s="18">
        <v>1170</v>
      </c>
      <c r="U132" s="5">
        <v>143.30000000000001</v>
      </c>
      <c r="V132" s="5">
        <v>45.7</v>
      </c>
      <c r="W132" s="18">
        <v>1790</v>
      </c>
      <c r="X132" s="5">
        <v>219.3</v>
      </c>
      <c r="Y132" s="5">
        <v>69.900000000000006</v>
      </c>
      <c r="Z132" s="18">
        <v>2030</v>
      </c>
      <c r="AA132" s="5">
        <v>248.7</v>
      </c>
      <c r="AB132" s="16">
        <v>77.8</v>
      </c>
      <c r="AC132" s="21" t="s">
        <v>160</v>
      </c>
      <c r="AD132" s="10">
        <v>1460</v>
      </c>
      <c r="AE132" s="5">
        <v>178.9</v>
      </c>
      <c r="AF132" s="16">
        <v>52.7</v>
      </c>
      <c r="AG132" s="10">
        <v>1600</v>
      </c>
      <c r="AH132" s="5">
        <v>195.9</v>
      </c>
      <c r="AI132" s="16">
        <v>53.9</v>
      </c>
      <c r="AJ132" s="10">
        <v>1830</v>
      </c>
      <c r="AK132" s="5">
        <v>224.2</v>
      </c>
      <c r="AL132" s="16">
        <v>57.4</v>
      </c>
      <c r="AM132" s="10">
        <v>2340</v>
      </c>
      <c r="AN132" s="5">
        <v>286.7</v>
      </c>
      <c r="AO132" s="16">
        <v>73.400000000000006</v>
      </c>
      <c r="AP132" s="10">
        <v>2870</v>
      </c>
      <c r="AQ132" s="5">
        <v>351.5</v>
      </c>
      <c r="AR132" s="16">
        <v>89.9</v>
      </c>
      <c r="AS132" s="10">
        <v>2860</v>
      </c>
      <c r="AT132" s="5">
        <v>350.4</v>
      </c>
      <c r="AU132" s="16">
        <v>89.7</v>
      </c>
      <c r="AV132" s="10">
        <v>3130</v>
      </c>
      <c r="AW132" s="5">
        <v>383.8</v>
      </c>
      <c r="AX132" s="16">
        <v>97.8</v>
      </c>
      <c r="AY132" s="10">
        <v>3300</v>
      </c>
      <c r="AZ132" s="5">
        <v>403.7</v>
      </c>
      <c r="BA132" s="16">
        <v>102.9</v>
      </c>
      <c r="BB132" s="25">
        <v>3610</v>
      </c>
      <c r="BC132" s="26">
        <v>442.3</v>
      </c>
      <c r="BD132" s="27">
        <v>113.2</v>
      </c>
      <c r="BE132" s="65" t="s">
        <v>160</v>
      </c>
      <c r="BF132" s="18">
        <v>4240</v>
      </c>
      <c r="BG132" s="5">
        <v>519.24</v>
      </c>
      <c r="BH132" s="16">
        <v>132.85847716000001</v>
      </c>
      <c r="BI132" s="10">
        <v>4790</v>
      </c>
      <c r="BJ132" s="5">
        <v>586.70000000000005</v>
      </c>
      <c r="BK132" s="16">
        <v>150.11653769999998</v>
      </c>
      <c r="BL132" s="18">
        <v>5040</v>
      </c>
      <c r="BM132" s="5">
        <v>617.9</v>
      </c>
      <c r="BN132" s="16">
        <v>158.09965560000001</v>
      </c>
      <c r="BO132" s="18">
        <v>5920</v>
      </c>
      <c r="BP132" s="5">
        <v>724.77</v>
      </c>
      <c r="BQ132" s="16">
        <v>185.44801876</v>
      </c>
      <c r="BR132" s="18">
        <v>7140</v>
      </c>
      <c r="BS132" s="5">
        <v>874.77</v>
      </c>
      <c r="BT132" s="16">
        <v>223.83485062</v>
      </c>
      <c r="BU132" s="18">
        <v>8490</v>
      </c>
      <c r="BV132" s="5">
        <v>1040.32</v>
      </c>
      <c r="BW132" s="16">
        <v>266.19870988999998</v>
      </c>
    </row>
    <row r="133" spans="1:75" x14ac:dyDescent="0.2">
      <c r="A133" s="21" t="s">
        <v>161</v>
      </c>
      <c r="B133" s="10">
        <v>630</v>
      </c>
      <c r="C133" s="5">
        <v>77.8</v>
      </c>
      <c r="D133" s="5">
        <v>24.8</v>
      </c>
      <c r="E133" s="18">
        <v>400</v>
      </c>
      <c r="F133" s="5">
        <v>49.4</v>
      </c>
      <c r="G133" s="5">
        <v>15.8</v>
      </c>
      <c r="H133" s="18">
        <v>860</v>
      </c>
      <c r="I133" s="5">
        <v>106.3</v>
      </c>
      <c r="J133" s="16">
        <v>33.9</v>
      </c>
      <c r="K133" s="18">
        <v>1010</v>
      </c>
      <c r="L133" s="5">
        <v>124.7</v>
      </c>
      <c r="M133" s="5">
        <v>39.799999999999997</v>
      </c>
      <c r="N133" s="18">
        <v>880</v>
      </c>
      <c r="O133" s="5">
        <v>108.7</v>
      </c>
      <c r="P133" s="5">
        <v>34.700000000000003</v>
      </c>
      <c r="Q133" s="18">
        <v>950</v>
      </c>
      <c r="R133" s="5">
        <v>117.4</v>
      </c>
      <c r="S133" s="5">
        <v>37.5</v>
      </c>
      <c r="T133" s="18">
        <v>1320</v>
      </c>
      <c r="U133" s="5">
        <v>163</v>
      </c>
      <c r="V133" s="5">
        <v>52</v>
      </c>
      <c r="W133" s="18">
        <v>1170</v>
      </c>
      <c r="X133" s="5">
        <v>144.5</v>
      </c>
      <c r="Y133" s="5">
        <v>46.1</v>
      </c>
      <c r="Z133" s="18">
        <v>1630</v>
      </c>
      <c r="AA133" s="5">
        <v>201.3</v>
      </c>
      <c r="AB133" s="16">
        <v>63.1</v>
      </c>
      <c r="AC133" s="21" t="s">
        <v>161</v>
      </c>
      <c r="AD133" s="10">
        <v>1570</v>
      </c>
      <c r="AE133" s="5">
        <v>193.9</v>
      </c>
      <c r="AF133" s="16">
        <v>57.3</v>
      </c>
      <c r="AG133" s="10">
        <v>1920</v>
      </c>
      <c r="AH133" s="5">
        <v>237.2</v>
      </c>
      <c r="AI133" s="16">
        <v>65.400000000000006</v>
      </c>
      <c r="AJ133" s="10">
        <v>2090</v>
      </c>
      <c r="AK133" s="5">
        <v>258.10000000000002</v>
      </c>
      <c r="AL133" s="16">
        <v>66.2</v>
      </c>
      <c r="AM133" s="10">
        <v>2060</v>
      </c>
      <c r="AN133" s="5">
        <v>254.4</v>
      </c>
      <c r="AO133" s="16">
        <v>65.2</v>
      </c>
      <c r="AP133" s="10">
        <v>2680</v>
      </c>
      <c r="AQ133" s="5">
        <v>330.9</v>
      </c>
      <c r="AR133" s="16">
        <v>84.9</v>
      </c>
      <c r="AS133" s="10">
        <v>2210</v>
      </c>
      <c r="AT133" s="5">
        <v>272.89999999999998</v>
      </c>
      <c r="AU133" s="16">
        <v>70</v>
      </c>
      <c r="AV133" s="10">
        <v>2820</v>
      </c>
      <c r="AW133" s="5">
        <v>348.4</v>
      </c>
      <c r="AX133" s="16">
        <v>89.1</v>
      </c>
      <c r="AY133" s="10">
        <v>3090</v>
      </c>
      <c r="AZ133" s="5">
        <v>381.9</v>
      </c>
      <c r="BA133" s="16">
        <v>97.7</v>
      </c>
      <c r="BB133" s="25">
        <v>3620</v>
      </c>
      <c r="BC133" s="26">
        <v>446.5</v>
      </c>
      <c r="BD133" s="27">
        <v>114.5</v>
      </c>
      <c r="BE133" s="65" t="s">
        <v>161</v>
      </c>
      <c r="BF133" s="18">
        <v>3930</v>
      </c>
      <c r="BG133" s="5">
        <v>485.37</v>
      </c>
      <c r="BH133" s="16">
        <v>124.48621165</v>
      </c>
      <c r="BI133" s="10">
        <v>4340</v>
      </c>
      <c r="BJ133" s="5">
        <v>535.5</v>
      </c>
      <c r="BK133" s="16">
        <v>137.33945509999998</v>
      </c>
      <c r="BL133" s="18">
        <v>4750</v>
      </c>
      <c r="BM133" s="5">
        <v>586.4</v>
      </c>
      <c r="BN133" s="16">
        <v>150.397614</v>
      </c>
      <c r="BO133" s="18">
        <v>5670</v>
      </c>
      <c r="BP133" s="5">
        <v>700.6</v>
      </c>
      <c r="BQ133" s="16">
        <v>179.6885714</v>
      </c>
      <c r="BR133" s="18">
        <v>6980</v>
      </c>
      <c r="BS133" s="5">
        <v>862.39</v>
      </c>
      <c r="BT133" s="16">
        <v>221.18416391</v>
      </c>
      <c r="BU133" s="18">
        <v>8260</v>
      </c>
      <c r="BV133" s="5">
        <v>1019.59</v>
      </c>
      <c r="BW133" s="16">
        <v>261.50106392999999</v>
      </c>
    </row>
    <row r="134" spans="1:75" x14ac:dyDescent="0.2">
      <c r="A134" s="21" t="s">
        <v>162</v>
      </c>
      <c r="B134" s="10">
        <v>510</v>
      </c>
      <c r="C134" s="5">
        <v>63.5</v>
      </c>
      <c r="D134" s="5">
        <v>20.3</v>
      </c>
      <c r="E134" s="18">
        <v>460</v>
      </c>
      <c r="F134" s="5">
        <v>57.3</v>
      </c>
      <c r="G134" s="5">
        <v>18.3</v>
      </c>
      <c r="H134" s="18">
        <v>630</v>
      </c>
      <c r="I134" s="5">
        <v>78.5</v>
      </c>
      <c r="J134" s="16">
        <v>25.1</v>
      </c>
      <c r="K134" s="18">
        <v>660</v>
      </c>
      <c r="L134" s="5">
        <v>82.1</v>
      </c>
      <c r="M134" s="5">
        <v>26.2</v>
      </c>
      <c r="N134" s="18">
        <v>580</v>
      </c>
      <c r="O134" s="5">
        <v>72.2</v>
      </c>
      <c r="P134" s="5">
        <v>23.1</v>
      </c>
      <c r="Q134" s="18">
        <v>1030</v>
      </c>
      <c r="R134" s="5">
        <v>128.30000000000001</v>
      </c>
      <c r="S134" s="5">
        <v>41</v>
      </c>
      <c r="T134" s="18">
        <v>1210</v>
      </c>
      <c r="U134" s="5">
        <v>150.6</v>
      </c>
      <c r="V134" s="5">
        <v>48.2</v>
      </c>
      <c r="W134" s="18">
        <v>1710</v>
      </c>
      <c r="X134" s="5">
        <v>213.1</v>
      </c>
      <c r="Y134" s="5">
        <v>68.2</v>
      </c>
      <c r="Z134" s="18">
        <v>1920</v>
      </c>
      <c r="AA134" s="5">
        <v>239.2</v>
      </c>
      <c r="AB134" s="16">
        <v>75.099999999999994</v>
      </c>
      <c r="AC134" s="21" t="s">
        <v>162</v>
      </c>
      <c r="AD134" s="10">
        <v>1810</v>
      </c>
      <c r="AE134" s="5">
        <v>225.4</v>
      </c>
      <c r="AF134" s="16">
        <v>66.7</v>
      </c>
      <c r="AG134" s="10">
        <v>2010</v>
      </c>
      <c r="AH134" s="5">
        <v>250.3</v>
      </c>
      <c r="AI134" s="16">
        <v>69.2</v>
      </c>
      <c r="AJ134" s="10">
        <v>2110</v>
      </c>
      <c r="AK134" s="5">
        <v>262.8</v>
      </c>
      <c r="AL134" s="16">
        <v>67.599999999999994</v>
      </c>
      <c r="AM134" s="10">
        <v>2210</v>
      </c>
      <c r="AN134" s="5">
        <v>275.2</v>
      </c>
      <c r="AO134" s="16">
        <v>70.8</v>
      </c>
      <c r="AP134" s="10">
        <v>2420</v>
      </c>
      <c r="AQ134" s="5">
        <v>301.3</v>
      </c>
      <c r="AR134" s="16">
        <v>77.5</v>
      </c>
      <c r="AS134" s="10">
        <v>2650</v>
      </c>
      <c r="AT134" s="5">
        <v>330</v>
      </c>
      <c r="AU134" s="16">
        <v>84.8</v>
      </c>
      <c r="AV134" s="10">
        <v>2960</v>
      </c>
      <c r="AW134" s="5">
        <v>368.1</v>
      </c>
      <c r="AX134" s="16">
        <v>94.4</v>
      </c>
      <c r="AY134" s="10">
        <v>3210</v>
      </c>
      <c r="AZ134" s="5">
        <v>400</v>
      </c>
      <c r="BA134" s="16">
        <v>102.5</v>
      </c>
      <c r="BB134" s="25">
        <v>3630</v>
      </c>
      <c r="BC134" s="26">
        <v>451.4</v>
      </c>
      <c r="BD134" s="27">
        <v>116.1</v>
      </c>
      <c r="BE134" s="65" t="s">
        <v>162</v>
      </c>
      <c r="BF134" s="18">
        <v>3920</v>
      </c>
      <c r="BG134" s="5">
        <v>488.65</v>
      </c>
      <c r="BH134" s="16">
        <v>125.62386476</v>
      </c>
      <c r="BI134" s="10">
        <v>4660</v>
      </c>
      <c r="BJ134" s="5">
        <v>580.4</v>
      </c>
      <c r="BK134" s="16">
        <v>149.20756880000002</v>
      </c>
      <c r="BL134" s="18">
        <v>4960</v>
      </c>
      <c r="BM134" s="5">
        <v>616.9</v>
      </c>
      <c r="BN134" s="16">
        <v>158.5948281</v>
      </c>
      <c r="BO134" s="18">
        <v>5710</v>
      </c>
      <c r="BP134" s="5">
        <v>710.34</v>
      </c>
      <c r="BQ134" s="16">
        <v>182.61041958999999</v>
      </c>
      <c r="BR134" s="18">
        <v>6870</v>
      </c>
      <c r="BS134" s="5">
        <v>855.64</v>
      </c>
      <c r="BT134" s="16">
        <v>219.96203258</v>
      </c>
      <c r="BU134" s="18">
        <v>8160</v>
      </c>
      <c r="BV134" s="5">
        <v>1015.49</v>
      </c>
      <c r="BW134" s="16">
        <v>261.05467895999999</v>
      </c>
    </row>
    <row r="135" spans="1:75" x14ac:dyDescent="0.2">
      <c r="A135" s="21" t="s">
        <v>163</v>
      </c>
      <c r="B135" s="10">
        <v>450</v>
      </c>
      <c r="C135" s="5">
        <v>56.5</v>
      </c>
      <c r="D135" s="5">
        <v>18.100000000000001</v>
      </c>
      <c r="E135" s="18">
        <v>570</v>
      </c>
      <c r="F135" s="5">
        <v>71.5</v>
      </c>
      <c r="G135" s="5">
        <v>22.9</v>
      </c>
      <c r="H135" s="18">
        <v>780</v>
      </c>
      <c r="I135" s="5">
        <v>97.9</v>
      </c>
      <c r="J135" s="16">
        <v>31.4</v>
      </c>
      <c r="K135" s="18">
        <v>730</v>
      </c>
      <c r="L135" s="5">
        <v>91.7</v>
      </c>
      <c r="M135" s="5">
        <v>29.4</v>
      </c>
      <c r="N135" s="18">
        <v>780</v>
      </c>
      <c r="O135" s="5">
        <v>97.9</v>
      </c>
      <c r="P135" s="5">
        <v>31.4</v>
      </c>
      <c r="Q135" s="18">
        <v>1130</v>
      </c>
      <c r="R135" s="5">
        <v>141.80000000000001</v>
      </c>
      <c r="S135" s="5">
        <v>45.4</v>
      </c>
      <c r="T135" s="18">
        <v>930</v>
      </c>
      <c r="U135" s="5">
        <v>116.7</v>
      </c>
      <c r="V135" s="5">
        <v>37.4</v>
      </c>
      <c r="W135" s="18">
        <v>1030</v>
      </c>
      <c r="X135" s="5">
        <v>129.19999999999999</v>
      </c>
      <c r="Y135" s="5">
        <v>41.4</v>
      </c>
      <c r="Z135" s="18">
        <v>1580</v>
      </c>
      <c r="AA135" s="5">
        <v>198.3</v>
      </c>
      <c r="AB135" s="16">
        <v>62.4</v>
      </c>
      <c r="AC135" s="21" t="s">
        <v>163</v>
      </c>
      <c r="AD135" s="10">
        <v>1430</v>
      </c>
      <c r="AE135" s="5">
        <v>179.5</v>
      </c>
      <c r="AF135" s="16">
        <v>53.3</v>
      </c>
      <c r="AG135" s="10">
        <v>1800</v>
      </c>
      <c r="AH135" s="5">
        <v>225.9</v>
      </c>
      <c r="AI135" s="16">
        <v>62.6</v>
      </c>
      <c r="AJ135" s="10">
        <v>1970</v>
      </c>
      <c r="AK135" s="5">
        <v>247.3</v>
      </c>
      <c r="AL135" s="16">
        <v>63.7</v>
      </c>
      <c r="AM135" s="10">
        <v>2310</v>
      </c>
      <c r="AN135" s="5">
        <v>289.89999999999998</v>
      </c>
      <c r="AO135" s="16">
        <v>74.7</v>
      </c>
      <c r="AP135" s="10">
        <v>2880</v>
      </c>
      <c r="AQ135" s="5">
        <v>361.4</v>
      </c>
      <c r="AR135" s="16">
        <v>93.1</v>
      </c>
      <c r="AS135" s="10">
        <v>2140</v>
      </c>
      <c r="AT135" s="5">
        <v>268.7</v>
      </c>
      <c r="AU135" s="16">
        <v>69.2</v>
      </c>
      <c r="AV135" s="10">
        <v>2790</v>
      </c>
      <c r="AW135" s="5">
        <v>349.7</v>
      </c>
      <c r="AX135" s="16">
        <v>89.7</v>
      </c>
      <c r="AY135" s="10">
        <v>3030</v>
      </c>
      <c r="AZ135" s="5">
        <v>380.7</v>
      </c>
      <c r="BA135" s="16">
        <v>97.7</v>
      </c>
      <c r="BB135" s="25">
        <v>3440</v>
      </c>
      <c r="BC135" s="26">
        <v>431.1</v>
      </c>
      <c r="BD135" s="27">
        <v>111.1</v>
      </c>
      <c r="BE135" s="65" t="s">
        <v>163</v>
      </c>
      <c r="BF135" s="18">
        <v>3780</v>
      </c>
      <c r="BG135" s="5">
        <v>474.35</v>
      </c>
      <c r="BH135" s="16">
        <v>122.21410145</v>
      </c>
      <c r="BI135" s="10">
        <v>4310</v>
      </c>
      <c r="BJ135" s="5">
        <v>540.9</v>
      </c>
      <c r="BK135" s="16">
        <v>139.35415740000002</v>
      </c>
      <c r="BL135" s="18">
        <v>4600</v>
      </c>
      <c r="BM135" s="5">
        <v>577.1</v>
      </c>
      <c r="BN135" s="16">
        <v>148.6779076</v>
      </c>
      <c r="BO135" s="18">
        <v>5660</v>
      </c>
      <c r="BP135" s="5">
        <v>710.16</v>
      </c>
      <c r="BQ135" s="16">
        <v>182.96757746</v>
      </c>
      <c r="BR135" s="18">
        <v>6950</v>
      </c>
      <c r="BS135" s="5">
        <v>871.84</v>
      </c>
      <c r="BT135" s="16">
        <v>224.62054694999998</v>
      </c>
      <c r="BU135" s="18">
        <v>8160</v>
      </c>
      <c r="BV135" s="5">
        <v>1024.45</v>
      </c>
      <c r="BW135" s="16">
        <v>263.93962338</v>
      </c>
    </row>
    <row r="136" spans="1:75" x14ac:dyDescent="0.2">
      <c r="A136" s="21" t="s">
        <v>164</v>
      </c>
      <c r="B136" s="10">
        <v>440</v>
      </c>
      <c r="C136" s="5">
        <v>55.7</v>
      </c>
      <c r="D136" s="5">
        <v>17.899999999999999</v>
      </c>
      <c r="E136" s="18">
        <v>660</v>
      </c>
      <c r="F136" s="5">
        <v>83.5</v>
      </c>
      <c r="G136" s="5">
        <v>26.8</v>
      </c>
      <c r="H136" s="18">
        <v>820</v>
      </c>
      <c r="I136" s="5">
        <v>103.7</v>
      </c>
      <c r="J136" s="16">
        <v>33.299999999999997</v>
      </c>
      <c r="K136" s="18">
        <v>660</v>
      </c>
      <c r="L136" s="5">
        <v>83.5</v>
      </c>
      <c r="M136" s="5">
        <v>26.8</v>
      </c>
      <c r="N136" s="18">
        <v>590</v>
      </c>
      <c r="O136" s="5">
        <v>74.599999999999994</v>
      </c>
      <c r="P136" s="5">
        <v>23.9</v>
      </c>
      <c r="Q136" s="18">
        <v>1110</v>
      </c>
      <c r="R136" s="5">
        <v>140.4</v>
      </c>
      <c r="S136" s="5">
        <v>45.1</v>
      </c>
      <c r="T136" s="18">
        <v>920</v>
      </c>
      <c r="U136" s="5">
        <v>116.4</v>
      </c>
      <c r="V136" s="5">
        <v>37.4</v>
      </c>
      <c r="W136" s="18">
        <v>1210</v>
      </c>
      <c r="X136" s="5">
        <v>153.1</v>
      </c>
      <c r="Y136" s="5">
        <v>49.1</v>
      </c>
      <c r="Z136" s="18">
        <v>1510</v>
      </c>
      <c r="AA136" s="5">
        <v>191.1</v>
      </c>
      <c r="AB136" s="16">
        <v>60.2</v>
      </c>
      <c r="AC136" s="21" t="s">
        <v>164</v>
      </c>
      <c r="AD136" s="10">
        <v>1720</v>
      </c>
      <c r="AE136" s="5">
        <v>217.6</v>
      </c>
      <c r="AF136" s="16">
        <v>64.7</v>
      </c>
      <c r="AG136" s="10">
        <v>1450</v>
      </c>
      <c r="AH136" s="5">
        <v>183.4</v>
      </c>
      <c r="AI136" s="16">
        <v>51</v>
      </c>
      <c r="AJ136" s="10">
        <v>1730</v>
      </c>
      <c r="AK136" s="5">
        <v>218.9</v>
      </c>
      <c r="AL136" s="16">
        <v>56.5</v>
      </c>
      <c r="AM136" s="10">
        <v>1870</v>
      </c>
      <c r="AN136" s="5">
        <v>236.5</v>
      </c>
      <c r="AO136" s="16">
        <v>61.1</v>
      </c>
      <c r="AP136" s="10">
        <v>2570</v>
      </c>
      <c r="AQ136" s="5">
        <v>325.2</v>
      </c>
      <c r="AR136" s="16">
        <v>84</v>
      </c>
      <c r="AS136" s="10">
        <v>2410</v>
      </c>
      <c r="AT136" s="5">
        <v>304.8</v>
      </c>
      <c r="AU136" s="16">
        <v>78.7</v>
      </c>
      <c r="AV136" s="10">
        <v>2700</v>
      </c>
      <c r="AW136" s="5">
        <v>340.9</v>
      </c>
      <c r="AX136" s="16">
        <v>87.6</v>
      </c>
      <c r="AY136" s="10">
        <v>2950</v>
      </c>
      <c r="AZ136" s="5">
        <v>373.1</v>
      </c>
      <c r="BA136" s="16">
        <v>95.9</v>
      </c>
      <c r="BB136" s="25">
        <v>3230</v>
      </c>
      <c r="BC136" s="26">
        <v>408.6</v>
      </c>
      <c r="BD136" s="27">
        <v>105.5</v>
      </c>
      <c r="BE136" s="65" t="s">
        <v>164</v>
      </c>
      <c r="BF136" s="18">
        <v>3610</v>
      </c>
      <c r="BG136" s="5">
        <v>457.04</v>
      </c>
      <c r="BH136" s="16">
        <v>118.01621645</v>
      </c>
      <c r="BI136" s="10">
        <v>4010</v>
      </c>
      <c r="BJ136" s="5">
        <v>506.9</v>
      </c>
      <c r="BK136" s="16">
        <v>130.8890226</v>
      </c>
      <c r="BL136" s="18">
        <v>4380</v>
      </c>
      <c r="BM136" s="5">
        <v>553.4</v>
      </c>
      <c r="BN136" s="16">
        <v>142.90193859999999</v>
      </c>
      <c r="BO136" s="18">
        <v>5270</v>
      </c>
      <c r="BP136" s="5">
        <v>666.13</v>
      </c>
      <c r="BQ136" s="16">
        <v>172.00916608</v>
      </c>
      <c r="BR136" s="18">
        <v>6450</v>
      </c>
      <c r="BS136" s="5">
        <v>816.14</v>
      </c>
      <c r="BT136" s="16">
        <v>210.73998616999998</v>
      </c>
      <c r="BU136" s="18">
        <v>7790</v>
      </c>
      <c r="BV136" s="5">
        <v>985.3</v>
      </c>
      <c r="BW136" s="16">
        <v>254.42637725</v>
      </c>
    </row>
    <row r="137" spans="1:75" x14ac:dyDescent="0.2">
      <c r="A137" s="21" t="s">
        <v>165</v>
      </c>
      <c r="B137" s="10">
        <v>470</v>
      </c>
      <c r="C137" s="5">
        <v>60</v>
      </c>
      <c r="D137" s="5">
        <v>19.3</v>
      </c>
      <c r="E137" s="18">
        <v>560</v>
      </c>
      <c r="F137" s="5">
        <v>71.400000000000006</v>
      </c>
      <c r="G137" s="5">
        <v>23</v>
      </c>
      <c r="H137" s="18">
        <v>620</v>
      </c>
      <c r="I137" s="5">
        <v>79.099999999999994</v>
      </c>
      <c r="J137" s="16">
        <v>25.4</v>
      </c>
      <c r="K137" s="18">
        <v>650</v>
      </c>
      <c r="L137" s="5">
        <v>82.9</v>
      </c>
      <c r="M137" s="5">
        <v>26.7</v>
      </c>
      <c r="N137" s="18">
        <v>770</v>
      </c>
      <c r="O137" s="5">
        <v>98.1</v>
      </c>
      <c r="P137" s="5">
        <v>31.5</v>
      </c>
      <c r="Q137" s="18">
        <v>1100</v>
      </c>
      <c r="R137" s="5">
        <v>140.30000000000001</v>
      </c>
      <c r="S137" s="5">
        <v>45.1</v>
      </c>
      <c r="T137" s="18">
        <v>1040</v>
      </c>
      <c r="U137" s="5">
        <v>132.5</v>
      </c>
      <c r="V137" s="5">
        <v>42.6</v>
      </c>
      <c r="W137" s="18">
        <v>1320</v>
      </c>
      <c r="X137" s="5">
        <v>168.2</v>
      </c>
      <c r="Y137" s="5">
        <v>54.1</v>
      </c>
      <c r="Z137" s="18">
        <v>1120</v>
      </c>
      <c r="AA137" s="5">
        <v>142.80000000000001</v>
      </c>
      <c r="AB137" s="16">
        <v>45.1</v>
      </c>
      <c r="AC137" s="21" t="s">
        <v>165</v>
      </c>
      <c r="AD137" s="10">
        <v>1760</v>
      </c>
      <c r="AE137" s="5">
        <v>224.4</v>
      </c>
      <c r="AF137" s="16">
        <v>66.900000000000006</v>
      </c>
      <c r="AG137" s="10">
        <v>1080</v>
      </c>
      <c r="AH137" s="5">
        <v>137.69999999999999</v>
      </c>
      <c r="AI137" s="16">
        <v>38.299999999999997</v>
      </c>
      <c r="AJ137" s="10">
        <v>1920</v>
      </c>
      <c r="AK137" s="5">
        <v>244.8</v>
      </c>
      <c r="AL137" s="16">
        <v>63.4</v>
      </c>
      <c r="AM137" s="10">
        <v>2010</v>
      </c>
      <c r="AN137" s="5">
        <v>256.3</v>
      </c>
      <c r="AO137" s="16">
        <v>66.3</v>
      </c>
      <c r="AP137" s="10">
        <v>2520</v>
      </c>
      <c r="AQ137" s="5">
        <v>321.2</v>
      </c>
      <c r="AR137" s="16">
        <v>83.1</v>
      </c>
      <c r="AS137" s="10">
        <v>2670</v>
      </c>
      <c r="AT137" s="5">
        <v>340.4</v>
      </c>
      <c r="AU137" s="16">
        <v>88.1</v>
      </c>
      <c r="AV137" s="10">
        <v>2720</v>
      </c>
      <c r="AW137" s="5">
        <v>346.2</v>
      </c>
      <c r="AX137" s="16">
        <v>89.1</v>
      </c>
      <c r="AY137" s="10">
        <v>2810</v>
      </c>
      <c r="AZ137" s="5">
        <v>358.7</v>
      </c>
      <c r="BA137" s="16">
        <v>92.6</v>
      </c>
      <c r="BB137" s="25">
        <v>3150</v>
      </c>
      <c r="BC137" s="26">
        <v>401.8</v>
      </c>
      <c r="BD137" s="27">
        <v>104</v>
      </c>
      <c r="BE137" s="65" t="s">
        <v>165</v>
      </c>
      <c r="BF137" s="18">
        <v>3510</v>
      </c>
      <c r="BG137" s="5">
        <v>446.9</v>
      </c>
      <c r="BH137" s="16">
        <v>115.65230432</v>
      </c>
      <c r="BI137" s="10">
        <v>4000</v>
      </c>
      <c r="BJ137" s="5">
        <v>509.3</v>
      </c>
      <c r="BK137" s="16">
        <v>131.8064636</v>
      </c>
      <c r="BL137" s="18">
        <v>4200</v>
      </c>
      <c r="BM137" s="5">
        <v>535</v>
      </c>
      <c r="BN137" s="16">
        <v>138.44832550000001</v>
      </c>
      <c r="BO137" s="18">
        <v>5190</v>
      </c>
      <c r="BP137" s="5">
        <v>661.72</v>
      </c>
      <c r="BQ137" s="16">
        <v>171.24283980999999</v>
      </c>
      <c r="BR137" s="18">
        <v>6230</v>
      </c>
      <c r="BS137" s="5">
        <v>794.81</v>
      </c>
      <c r="BT137" s="16">
        <v>205.68336262</v>
      </c>
      <c r="BU137" s="18">
        <v>7630</v>
      </c>
      <c r="BV137" s="5">
        <v>972.69</v>
      </c>
      <c r="BW137" s="16">
        <v>251.71788040999999</v>
      </c>
    </row>
    <row r="138" spans="1:75" x14ac:dyDescent="0.2">
      <c r="A138" s="21" t="s">
        <v>166</v>
      </c>
      <c r="B138" s="10">
        <v>470</v>
      </c>
      <c r="C138" s="5">
        <v>60.4</v>
      </c>
      <c r="D138" s="5">
        <v>19.399999999999999</v>
      </c>
      <c r="E138" s="18">
        <v>480</v>
      </c>
      <c r="F138" s="5">
        <v>61.7</v>
      </c>
      <c r="G138" s="5">
        <v>19.899999999999999</v>
      </c>
      <c r="H138" s="18">
        <v>620</v>
      </c>
      <c r="I138" s="5">
        <v>79.7</v>
      </c>
      <c r="J138" s="16">
        <v>25.7</v>
      </c>
      <c r="K138" s="18">
        <v>770</v>
      </c>
      <c r="L138" s="5">
        <v>98.9</v>
      </c>
      <c r="M138" s="5">
        <v>31.9</v>
      </c>
      <c r="N138" s="18">
        <v>730</v>
      </c>
      <c r="O138" s="5">
        <v>93.8</v>
      </c>
      <c r="P138" s="5">
        <v>30.2</v>
      </c>
      <c r="Q138" s="18">
        <v>850</v>
      </c>
      <c r="R138" s="5">
        <v>109.2</v>
      </c>
      <c r="S138" s="5">
        <v>35.200000000000003</v>
      </c>
      <c r="T138" s="18">
        <v>920</v>
      </c>
      <c r="U138" s="5">
        <v>118.3</v>
      </c>
      <c r="V138" s="5">
        <v>38.1</v>
      </c>
      <c r="W138" s="18">
        <v>1270</v>
      </c>
      <c r="X138" s="5">
        <v>163.1</v>
      </c>
      <c r="Y138" s="5">
        <v>52.5</v>
      </c>
      <c r="Z138" s="18">
        <v>1470</v>
      </c>
      <c r="AA138" s="5">
        <v>188.9</v>
      </c>
      <c r="AB138" s="16">
        <v>59.8</v>
      </c>
      <c r="AC138" s="21" t="s">
        <v>166</v>
      </c>
      <c r="AD138" s="10">
        <v>1340</v>
      </c>
      <c r="AE138" s="5">
        <v>172.2</v>
      </c>
      <c r="AF138" s="16">
        <v>51.4</v>
      </c>
      <c r="AG138" s="10">
        <v>1620</v>
      </c>
      <c r="AH138" s="5">
        <v>208.1</v>
      </c>
      <c r="AI138" s="16">
        <v>58.1</v>
      </c>
      <c r="AJ138" s="10">
        <v>2260</v>
      </c>
      <c r="AK138" s="5">
        <v>290.5</v>
      </c>
      <c r="AL138" s="16">
        <v>75.3</v>
      </c>
      <c r="AM138" s="10">
        <v>1900</v>
      </c>
      <c r="AN138" s="5">
        <v>244.3</v>
      </c>
      <c r="AO138" s="16">
        <v>63.4</v>
      </c>
      <c r="AP138" s="10">
        <v>1900</v>
      </c>
      <c r="AQ138" s="5">
        <v>244</v>
      </c>
      <c r="AR138" s="16">
        <v>63.3</v>
      </c>
      <c r="AS138" s="10">
        <v>3000</v>
      </c>
      <c r="AT138" s="5">
        <v>385.5</v>
      </c>
      <c r="AU138" s="16">
        <v>100</v>
      </c>
      <c r="AV138" s="10">
        <v>2620</v>
      </c>
      <c r="AW138" s="5">
        <v>337.1</v>
      </c>
      <c r="AX138" s="16">
        <v>87.1</v>
      </c>
      <c r="AY138" s="10">
        <v>2680</v>
      </c>
      <c r="AZ138" s="5">
        <v>343.9</v>
      </c>
      <c r="BA138" s="16">
        <v>88.9</v>
      </c>
      <c r="BB138" s="25">
        <v>3010</v>
      </c>
      <c r="BC138" s="26">
        <v>386.1</v>
      </c>
      <c r="BD138" s="27">
        <v>100.1</v>
      </c>
      <c r="BE138" s="65" t="s">
        <v>166</v>
      </c>
      <c r="BF138" s="18">
        <v>3400</v>
      </c>
      <c r="BG138" s="5">
        <v>436.91</v>
      </c>
      <c r="BH138" s="16">
        <v>113.30912592</v>
      </c>
      <c r="BI138" s="10">
        <v>3730</v>
      </c>
      <c r="BJ138" s="5">
        <v>479.6</v>
      </c>
      <c r="BK138" s="16">
        <v>124.3665688</v>
      </c>
      <c r="BL138" s="18">
        <v>4040</v>
      </c>
      <c r="BM138" s="5">
        <v>518.70000000000005</v>
      </c>
      <c r="BN138" s="16">
        <v>134.52944859999999</v>
      </c>
      <c r="BO138" s="18">
        <v>4870</v>
      </c>
      <c r="BP138" s="5">
        <v>625.66999999999996</v>
      </c>
      <c r="BQ138" s="16">
        <v>162.26134378999998</v>
      </c>
      <c r="BR138" s="18">
        <v>5950</v>
      </c>
      <c r="BS138" s="5">
        <v>764.7</v>
      </c>
      <c r="BT138" s="16">
        <v>198.31449491000001</v>
      </c>
      <c r="BU138" s="18">
        <v>7480</v>
      </c>
      <c r="BV138" s="5">
        <v>961.26</v>
      </c>
      <c r="BW138" s="16">
        <v>249.28722524</v>
      </c>
    </row>
    <row r="139" spans="1:75" x14ac:dyDescent="0.2">
      <c r="A139" s="21" t="s">
        <v>167</v>
      </c>
      <c r="B139" s="10">
        <v>560</v>
      </c>
      <c r="C139" s="5">
        <v>72.5</v>
      </c>
      <c r="D139" s="5">
        <v>23.4</v>
      </c>
      <c r="E139" s="18">
        <v>430</v>
      </c>
      <c r="F139" s="5">
        <v>55.7</v>
      </c>
      <c r="G139" s="5">
        <v>18</v>
      </c>
      <c r="H139" s="18">
        <v>670</v>
      </c>
      <c r="I139" s="5">
        <v>86.8</v>
      </c>
      <c r="J139" s="16">
        <v>28</v>
      </c>
      <c r="K139" s="18">
        <v>810</v>
      </c>
      <c r="L139" s="5">
        <v>104.9</v>
      </c>
      <c r="M139" s="5">
        <v>33.799999999999997</v>
      </c>
      <c r="N139" s="18">
        <v>830</v>
      </c>
      <c r="O139" s="5">
        <v>107.5</v>
      </c>
      <c r="P139" s="5">
        <v>34.700000000000003</v>
      </c>
      <c r="Q139" s="18">
        <v>800</v>
      </c>
      <c r="R139" s="5">
        <v>103.6</v>
      </c>
      <c r="S139" s="5">
        <v>33.4</v>
      </c>
      <c r="T139" s="18">
        <v>870</v>
      </c>
      <c r="U139" s="5">
        <v>112.6</v>
      </c>
      <c r="V139" s="5">
        <v>36.299999999999997</v>
      </c>
      <c r="W139" s="18">
        <v>1220</v>
      </c>
      <c r="X139" s="5">
        <v>158</v>
      </c>
      <c r="Y139" s="5">
        <v>51</v>
      </c>
      <c r="Z139" s="18">
        <v>1450</v>
      </c>
      <c r="AA139" s="5">
        <v>187.8</v>
      </c>
      <c r="AB139" s="16">
        <v>59.5</v>
      </c>
      <c r="AC139" s="21" t="s">
        <v>167</v>
      </c>
      <c r="AD139" s="10">
        <v>1690</v>
      </c>
      <c r="AE139" s="5">
        <v>219</v>
      </c>
      <c r="AF139" s="16">
        <v>65.599999999999994</v>
      </c>
      <c r="AG139" s="10">
        <v>1290</v>
      </c>
      <c r="AH139" s="5">
        <v>167.1</v>
      </c>
      <c r="AI139" s="16">
        <v>46.7</v>
      </c>
      <c r="AJ139" s="10">
        <v>1890</v>
      </c>
      <c r="AK139" s="5">
        <v>244.8</v>
      </c>
      <c r="AL139" s="16">
        <v>63.6</v>
      </c>
      <c r="AM139" s="10">
        <v>2350</v>
      </c>
      <c r="AN139" s="5">
        <v>304.39999999999998</v>
      </c>
      <c r="AO139" s="16">
        <v>79.099999999999994</v>
      </c>
      <c r="AP139" s="10">
        <v>2510</v>
      </c>
      <c r="AQ139" s="5">
        <v>325.2</v>
      </c>
      <c r="AR139" s="16">
        <v>84.5</v>
      </c>
      <c r="AS139" s="10">
        <v>2290</v>
      </c>
      <c r="AT139" s="5">
        <v>296.5</v>
      </c>
      <c r="AU139" s="16">
        <v>77.099999999999994</v>
      </c>
      <c r="AV139" s="10">
        <v>2600</v>
      </c>
      <c r="AW139" s="5">
        <v>337.2</v>
      </c>
      <c r="AX139" s="16">
        <v>87.4</v>
      </c>
      <c r="AY139" s="10">
        <v>2980</v>
      </c>
      <c r="AZ139" s="5">
        <v>385.8</v>
      </c>
      <c r="BA139" s="16">
        <v>99.8</v>
      </c>
      <c r="BB139" s="25">
        <v>3260</v>
      </c>
      <c r="BC139" s="26">
        <v>421.8</v>
      </c>
      <c r="BD139" s="27">
        <v>109.6</v>
      </c>
      <c r="BE139" s="65" t="s">
        <v>167</v>
      </c>
      <c r="BF139" s="18">
        <v>3610</v>
      </c>
      <c r="BG139" s="5">
        <v>467.51</v>
      </c>
      <c r="BH139" s="16">
        <v>121.50793401999999</v>
      </c>
      <c r="BI139" s="10">
        <v>4010</v>
      </c>
      <c r="BJ139" s="5">
        <v>519.9</v>
      </c>
      <c r="BK139" s="16">
        <v>135.12790319999999</v>
      </c>
      <c r="BL139" s="18">
        <v>4150</v>
      </c>
      <c r="BM139" s="5">
        <v>537.1</v>
      </c>
      <c r="BN139" s="16">
        <v>139.60143819999999</v>
      </c>
      <c r="BO139" s="18">
        <v>4960</v>
      </c>
      <c r="BP139" s="5">
        <v>642.62</v>
      </c>
      <c r="BQ139" s="16">
        <v>167.00841762000002</v>
      </c>
      <c r="BR139" s="18">
        <v>6000</v>
      </c>
      <c r="BS139" s="5">
        <v>776.96</v>
      </c>
      <c r="BT139" s="16">
        <v>201.92622057</v>
      </c>
      <c r="BU139" s="18">
        <v>7390</v>
      </c>
      <c r="BV139" s="5">
        <v>956.55</v>
      </c>
      <c r="BW139" s="16">
        <v>248.59757088999999</v>
      </c>
    </row>
    <row r="140" spans="1:75" x14ac:dyDescent="0.2">
      <c r="A140" s="21" t="s">
        <v>168</v>
      </c>
      <c r="B140" s="10">
        <v>730</v>
      </c>
      <c r="C140" s="5">
        <v>95.2</v>
      </c>
      <c r="D140" s="5">
        <v>30.8</v>
      </c>
      <c r="E140" s="18">
        <v>620</v>
      </c>
      <c r="F140" s="5">
        <v>80.900000000000006</v>
      </c>
      <c r="G140" s="5">
        <v>26.1</v>
      </c>
      <c r="H140" s="18">
        <v>600</v>
      </c>
      <c r="I140" s="5">
        <v>78.3</v>
      </c>
      <c r="J140" s="16">
        <v>25.3</v>
      </c>
      <c r="K140" s="18">
        <v>500</v>
      </c>
      <c r="L140" s="5">
        <v>65.3</v>
      </c>
      <c r="M140" s="5">
        <v>21.1</v>
      </c>
      <c r="N140" s="18">
        <v>760</v>
      </c>
      <c r="O140" s="5">
        <v>99.2</v>
      </c>
      <c r="P140" s="5">
        <v>32</v>
      </c>
      <c r="Q140" s="18">
        <v>790</v>
      </c>
      <c r="R140" s="5">
        <v>103</v>
      </c>
      <c r="S140" s="5">
        <v>33.299999999999997</v>
      </c>
      <c r="T140" s="18">
        <v>900</v>
      </c>
      <c r="U140" s="5">
        <v>117.5</v>
      </c>
      <c r="V140" s="5">
        <v>38</v>
      </c>
      <c r="W140" s="18">
        <v>1370</v>
      </c>
      <c r="X140" s="5">
        <v>178.8</v>
      </c>
      <c r="Y140" s="5">
        <v>57.8</v>
      </c>
      <c r="Z140" s="18">
        <v>1570</v>
      </c>
      <c r="AA140" s="5">
        <v>204.9</v>
      </c>
      <c r="AB140" s="16">
        <v>65.099999999999994</v>
      </c>
      <c r="AC140" s="21" t="s">
        <v>168</v>
      </c>
      <c r="AD140" s="10">
        <v>980</v>
      </c>
      <c r="AE140" s="5">
        <v>128</v>
      </c>
      <c r="AF140" s="16">
        <v>38.4</v>
      </c>
      <c r="AG140" s="10">
        <v>1720</v>
      </c>
      <c r="AH140" s="5">
        <v>224.5</v>
      </c>
      <c r="AI140" s="16">
        <v>62.9</v>
      </c>
      <c r="AJ140" s="10">
        <v>1870</v>
      </c>
      <c r="AK140" s="5">
        <v>243.9</v>
      </c>
      <c r="AL140" s="16">
        <v>63.5</v>
      </c>
      <c r="AM140" s="10">
        <v>1900</v>
      </c>
      <c r="AN140" s="5">
        <v>248.1</v>
      </c>
      <c r="AO140" s="16">
        <v>64.599999999999994</v>
      </c>
      <c r="AP140" s="10">
        <v>1670</v>
      </c>
      <c r="AQ140" s="5">
        <v>217.9</v>
      </c>
      <c r="AR140" s="16">
        <v>56.7</v>
      </c>
      <c r="AS140" s="10">
        <v>2530</v>
      </c>
      <c r="AT140" s="5">
        <v>330.2</v>
      </c>
      <c r="AU140" s="16">
        <v>86</v>
      </c>
      <c r="AV140" s="10">
        <v>2480</v>
      </c>
      <c r="AW140" s="5">
        <v>323.10000000000002</v>
      </c>
      <c r="AX140" s="16">
        <v>83.9</v>
      </c>
      <c r="AY140" s="10">
        <v>2700</v>
      </c>
      <c r="AZ140" s="5">
        <v>352.1</v>
      </c>
      <c r="BA140" s="16">
        <v>91.1</v>
      </c>
      <c r="BB140" s="25">
        <v>2970</v>
      </c>
      <c r="BC140" s="26">
        <v>387.4</v>
      </c>
      <c r="BD140" s="27">
        <v>100.9</v>
      </c>
      <c r="BE140" s="65" t="s">
        <v>168</v>
      </c>
      <c r="BF140" s="18">
        <v>3370</v>
      </c>
      <c r="BG140" s="5">
        <v>439.74</v>
      </c>
      <c r="BH140" s="16">
        <v>114.51477679999999</v>
      </c>
      <c r="BI140" s="10">
        <v>3780</v>
      </c>
      <c r="BJ140" s="5">
        <v>493.4</v>
      </c>
      <c r="BK140" s="16">
        <v>128.47950019999999</v>
      </c>
      <c r="BL140" s="18">
        <v>4220</v>
      </c>
      <c r="BM140" s="5">
        <v>550.5</v>
      </c>
      <c r="BN140" s="16">
        <v>143.35006440000001</v>
      </c>
      <c r="BO140" s="18">
        <v>5180</v>
      </c>
      <c r="BP140" s="5">
        <v>676</v>
      </c>
      <c r="BQ140" s="16">
        <v>176.03606181000001</v>
      </c>
      <c r="BR140" s="18">
        <v>6020</v>
      </c>
      <c r="BS140" s="5">
        <v>785.97</v>
      </c>
      <c r="BT140" s="16">
        <v>204.67082194999998</v>
      </c>
      <c r="BU140" s="18">
        <v>7290</v>
      </c>
      <c r="BV140" s="5">
        <v>951.5</v>
      </c>
      <c r="BW140" s="16">
        <v>247.78500625000001</v>
      </c>
    </row>
    <row r="141" spans="1:75" x14ac:dyDescent="0.2">
      <c r="A141" s="21" t="s">
        <v>169</v>
      </c>
      <c r="B141" s="10">
        <v>550</v>
      </c>
      <c r="C141" s="5">
        <v>72.3</v>
      </c>
      <c r="D141" s="5">
        <v>23.4</v>
      </c>
      <c r="E141" s="18">
        <v>670</v>
      </c>
      <c r="F141" s="5">
        <v>88.1</v>
      </c>
      <c r="G141" s="5">
        <v>28.5</v>
      </c>
      <c r="H141" s="18">
        <v>420</v>
      </c>
      <c r="I141" s="5">
        <v>55.2</v>
      </c>
      <c r="J141" s="16">
        <v>17.899999999999999</v>
      </c>
      <c r="K141" s="18">
        <v>680</v>
      </c>
      <c r="L141" s="5">
        <v>89.4</v>
      </c>
      <c r="M141" s="5">
        <v>28.9</v>
      </c>
      <c r="N141" s="18">
        <v>590</v>
      </c>
      <c r="O141" s="5">
        <v>77.599999999999994</v>
      </c>
      <c r="P141" s="5">
        <v>25.1</v>
      </c>
      <c r="Q141" s="18">
        <v>660</v>
      </c>
      <c r="R141" s="5">
        <v>86.8</v>
      </c>
      <c r="S141" s="5">
        <v>28.1</v>
      </c>
      <c r="T141" s="18">
        <v>700</v>
      </c>
      <c r="U141" s="5">
        <v>92.1</v>
      </c>
      <c r="V141" s="5">
        <v>29.8</v>
      </c>
      <c r="W141" s="18">
        <v>970</v>
      </c>
      <c r="X141" s="5">
        <v>127.6</v>
      </c>
      <c r="Y141" s="5">
        <v>41.3</v>
      </c>
      <c r="Z141" s="18">
        <v>1050</v>
      </c>
      <c r="AA141" s="5">
        <v>138.1</v>
      </c>
      <c r="AB141" s="16">
        <v>43.9</v>
      </c>
      <c r="AC141" s="21" t="s">
        <v>169</v>
      </c>
      <c r="AD141" s="10">
        <v>1320</v>
      </c>
      <c r="AE141" s="5">
        <v>173.6</v>
      </c>
      <c r="AF141" s="16">
        <v>52.2</v>
      </c>
      <c r="AG141" s="10">
        <v>1430</v>
      </c>
      <c r="AH141" s="5">
        <v>187.9</v>
      </c>
      <c r="AI141" s="16">
        <v>52.8</v>
      </c>
      <c r="AJ141" s="10">
        <v>1830</v>
      </c>
      <c r="AK141" s="5">
        <v>240.6</v>
      </c>
      <c r="AL141" s="16">
        <v>62.8</v>
      </c>
      <c r="AM141" s="10">
        <v>2030</v>
      </c>
      <c r="AN141" s="5">
        <v>266.89999999999998</v>
      </c>
      <c r="AO141" s="16">
        <v>69.599999999999994</v>
      </c>
      <c r="AP141" s="10">
        <v>1900</v>
      </c>
      <c r="AQ141" s="5">
        <v>249.8</v>
      </c>
      <c r="AR141" s="16">
        <v>65.2</v>
      </c>
      <c r="AS141" s="10">
        <v>2040</v>
      </c>
      <c r="AT141" s="5">
        <v>268.2</v>
      </c>
      <c r="AU141" s="16">
        <v>70</v>
      </c>
      <c r="AV141" s="10">
        <v>2400</v>
      </c>
      <c r="AW141" s="5">
        <v>315.89999999999998</v>
      </c>
      <c r="AX141" s="16">
        <v>82.3</v>
      </c>
      <c r="AY141" s="10">
        <v>2530</v>
      </c>
      <c r="AZ141" s="5">
        <v>332.9</v>
      </c>
      <c r="BA141" s="16">
        <v>86.5</v>
      </c>
      <c r="BB141" s="25">
        <v>2880</v>
      </c>
      <c r="BC141" s="26">
        <v>378.3</v>
      </c>
      <c r="BD141" s="27">
        <v>98.7</v>
      </c>
      <c r="BE141" s="65" t="s">
        <v>169</v>
      </c>
      <c r="BF141" s="18">
        <v>3250</v>
      </c>
      <c r="BG141" s="5">
        <v>427.77</v>
      </c>
      <c r="BH141" s="16">
        <v>111.62707406999999</v>
      </c>
      <c r="BI141" s="10">
        <v>3630</v>
      </c>
      <c r="BJ141" s="5">
        <v>477.9</v>
      </c>
      <c r="BK141" s="16">
        <v>124.7038675</v>
      </c>
      <c r="BL141" s="18">
        <v>3910</v>
      </c>
      <c r="BM141" s="5">
        <v>513.5</v>
      </c>
      <c r="BN141" s="16">
        <v>134.00442279999999</v>
      </c>
      <c r="BO141" s="18">
        <v>4600</v>
      </c>
      <c r="BP141" s="5">
        <v>605.28</v>
      </c>
      <c r="BQ141" s="16">
        <v>157.94728302999999</v>
      </c>
      <c r="BR141" s="18">
        <v>5430</v>
      </c>
      <c r="BS141" s="5">
        <v>714.53</v>
      </c>
      <c r="BT141" s="16">
        <v>186.45243833000001</v>
      </c>
      <c r="BU141" s="18">
        <v>6950</v>
      </c>
      <c r="BV141" s="5">
        <v>914.2</v>
      </c>
      <c r="BW141" s="16">
        <v>238.56109394999999</v>
      </c>
    </row>
    <row r="142" spans="1:75" x14ac:dyDescent="0.2">
      <c r="A142" s="21" t="s">
        <v>170</v>
      </c>
      <c r="B142" s="10">
        <v>470</v>
      </c>
      <c r="C142" s="5">
        <v>62.2</v>
      </c>
      <c r="D142" s="5">
        <v>20.2</v>
      </c>
      <c r="E142" s="18">
        <v>510</v>
      </c>
      <c r="F142" s="5">
        <v>67.599999999999994</v>
      </c>
      <c r="G142" s="5">
        <v>21.9</v>
      </c>
      <c r="H142" s="18">
        <v>530</v>
      </c>
      <c r="I142" s="5">
        <v>70.2</v>
      </c>
      <c r="J142" s="16">
        <v>22.7</v>
      </c>
      <c r="K142" s="18">
        <v>520</v>
      </c>
      <c r="L142" s="5">
        <v>68.900000000000006</v>
      </c>
      <c r="M142" s="5">
        <v>22.4</v>
      </c>
      <c r="N142" s="18">
        <v>730</v>
      </c>
      <c r="O142" s="5">
        <v>96.8</v>
      </c>
      <c r="P142" s="5">
        <v>31.4</v>
      </c>
      <c r="Q142" s="18">
        <v>850</v>
      </c>
      <c r="R142" s="5">
        <v>112.6</v>
      </c>
      <c r="S142" s="5">
        <v>36.5</v>
      </c>
      <c r="T142" s="18">
        <v>1070</v>
      </c>
      <c r="U142" s="5">
        <v>141.80000000000001</v>
      </c>
      <c r="V142" s="5">
        <v>46</v>
      </c>
      <c r="W142" s="18">
        <v>930</v>
      </c>
      <c r="X142" s="5">
        <v>123.2</v>
      </c>
      <c r="Y142" s="5">
        <v>39.9</v>
      </c>
      <c r="Z142" s="18">
        <v>1030</v>
      </c>
      <c r="AA142" s="5">
        <v>136.5</v>
      </c>
      <c r="AB142" s="16">
        <v>43.5</v>
      </c>
      <c r="AC142" s="21" t="s">
        <v>170</v>
      </c>
      <c r="AD142" s="10">
        <v>1100</v>
      </c>
      <c r="AE142" s="5">
        <v>145.80000000000001</v>
      </c>
      <c r="AF142" s="16">
        <v>43.9</v>
      </c>
      <c r="AG142" s="10">
        <v>1280</v>
      </c>
      <c r="AH142" s="5">
        <v>169.6</v>
      </c>
      <c r="AI142" s="16">
        <v>47.7</v>
      </c>
      <c r="AJ142" s="10">
        <v>1760</v>
      </c>
      <c r="AK142" s="5">
        <v>233.1</v>
      </c>
      <c r="AL142" s="16">
        <v>60.9</v>
      </c>
      <c r="AM142" s="10">
        <v>1550</v>
      </c>
      <c r="AN142" s="5">
        <v>205.4</v>
      </c>
      <c r="AO142" s="16">
        <v>53.7</v>
      </c>
      <c r="AP142" s="10">
        <v>1900</v>
      </c>
      <c r="AQ142" s="5">
        <v>251.8</v>
      </c>
      <c r="AR142" s="16">
        <v>65.8</v>
      </c>
      <c r="AS142" s="10">
        <v>1820</v>
      </c>
      <c r="AT142" s="5">
        <v>241.1</v>
      </c>
      <c r="AU142" s="16">
        <v>63.1</v>
      </c>
      <c r="AV142" s="10">
        <v>2250</v>
      </c>
      <c r="AW142" s="5">
        <v>298.5</v>
      </c>
      <c r="AX142" s="16">
        <v>77.8</v>
      </c>
      <c r="AY142" s="10">
        <v>2520</v>
      </c>
      <c r="AZ142" s="5">
        <v>333.8</v>
      </c>
      <c r="BA142" s="16">
        <v>87.2</v>
      </c>
      <c r="BB142" s="25">
        <v>2810</v>
      </c>
      <c r="BC142" s="26">
        <v>371.9</v>
      </c>
      <c r="BD142" s="27">
        <v>97.2</v>
      </c>
      <c r="BE142" s="65" t="s">
        <v>170</v>
      </c>
      <c r="BF142" s="18">
        <v>3090</v>
      </c>
      <c r="BG142" s="5">
        <v>409.69</v>
      </c>
      <c r="BH142" s="16">
        <v>107.12388532</v>
      </c>
      <c r="BI142" s="10">
        <v>3530</v>
      </c>
      <c r="BJ142" s="5">
        <v>467.5</v>
      </c>
      <c r="BK142" s="16">
        <v>122.2312474</v>
      </c>
      <c r="BL142" s="18">
        <v>3840</v>
      </c>
      <c r="BM142" s="5">
        <v>508.9</v>
      </c>
      <c r="BN142" s="16">
        <v>133.0703891</v>
      </c>
      <c r="BO142" s="18">
        <v>4630</v>
      </c>
      <c r="BP142" s="5">
        <v>613.41</v>
      </c>
      <c r="BQ142" s="16">
        <v>160.38370746000001</v>
      </c>
      <c r="BR142" s="18">
        <v>5500</v>
      </c>
      <c r="BS142" s="5">
        <v>729.02</v>
      </c>
      <c r="BT142" s="16">
        <v>190.61853261000002</v>
      </c>
      <c r="BU142" s="18">
        <v>6890</v>
      </c>
      <c r="BV142" s="5">
        <v>912.79</v>
      </c>
      <c r="BW142" s="16">
        <v>238.66802641000001</v>
      </c>
    </row>
    <row r="143" spans="1:75" x14ac:dyDescent="0.2">
      <c r="A143" s="21" t="s">
        <v>171</v>
      </c>
      <c r="B143" s="10">
        <v>340</v>
      </c>
      <c r="C143" s="5">
        <v>45.4</v>
      </c>
      <c r="D143" s="5">
        <v>14.7</v>
      </c>
      <c r="E143" s="18">
        <v>580</v>
      </c>
      <c r="F143" s="5">
        <v>77.400000000000006</v>
      </c>
      <c r="G143" s="5">
        <v>25.1</v>
      </c>
      <c r="H143" s="18">
        <v>580</v>
      </c>
      <c r="I143" s="5">
        <v>77.400000000000006</v>
      </c>
      <c r="J143" s="16">
        <v>25.1</v>
      </c>
      <c r="K143" s="18">
        <v>550</v>
      </c>
      <c r="L143" s="5">
        <v>73.5</v>
      </c>
      <c r="M143" s="5">
        <v>23.8</v>
      </c>
      <c r="N143" s="18">
        <v>960</v>
      </c>
      <c r="O143" s="5">
        <v>128.19999999999999</v>
      </c>
      <c r="P143" s="5">
        <v>41.6</v>
      </c>
      <c r="Q143" s="18">
        <v>810</v>
      </c>
      <c r="R143" s="5">
        <v>108.1</v>
      </c>
      <c r="S143" s="5">
        <v>35.1</v>
      </c>
      <c r="T143" s="18">
        <v>1000</v>
      </c>
      <c r="U143" s="5">
        <v>133.6</v>
      </c>
      <c r="V143" s="5">
        <v>43.4</v>
      </c>
      <c r="W143" s="18">
        <v>890</v>
      </c>
      <c r="X143" s="5">
        <v>118.8</v>
      </c>
      <c r="Y143" s="5">
        <v>38.6</v>
      </c>
      <c r="Z143" s="18">
        <v>1110</v>
      </c>
      <c r="AA143" s="5">
        <v>148.19999999999999</v>
      </c>
      <c r="AB143" s="16">
        <v>47.3</v>
      </c>
      <c r="AC143" s="21" t="s">
        <v>171</v>
      </c>
      <c r="AD143" s="10">
        <v>1100</v>
      </c>
      <c r="AE143" s="5">
        <v>146.80000000000001</v>
      </c>
      <c r="AF143" s="16">
        <v>44.3</v>
      </c>
      <c r="AG143" s="10">
        <v>1260</v>
      </c>
      <c r="AH143" s="5">
        <v>168.2</v>
      </c>
      <c r="AI143" s="16">
        <v>47.4</v>
      </c>
      <c r="AJ143" s="10">
        <v>1530</v>
      </c>
      <c r="AK143" s="5">
        <v>204.2</v>
      </c>
      <c r="AL143" s="16">
        <v>53.5</v>
      </c>
      <c r="AM143" s="10">
        <v>1890</v>
      </c>
      <c r="AN143" s="5">
        <v>252.3</v>
      </c>
      <c r="AO143" s="16">
        <v>66.099999999999994</v>
      </c>
      <c r="AP143" s="10">
        <v>2070</v>
      </c>
      <c r="AQ143" s="5">
        <v>276.3</v>
      </c>
      <c r="AR143" s="16">
        <v>72.400000000000006</v>
      </c>
      <c r="AS143" s="10">
        <v>1800</v>
      </c>
      <c r="AT143" s="5">
        <v>240.3</v>
      </c>
      <c r="AU143" s="16">
        <v>63</v>
      </c>
      <c r="AV143" s="10">
        <v>2300</v>
      </c>
      <c r="AW143" s="5">
        <v>307.10000000000002</v>
      </c>
      <c r="AX143" s="16">
        <v>80.2</v>
      </c>
      <c r="AY143" s="10">
        <v>2380</v>
      </c>
      <c r="AZ143" s="5">
        <v>318</v>
      </c>
      <c r="BA143" s="16">
        <v>83.1</v>
      </c>
      <c r="BB143" s="25">
        <v>2660</v>
      </c>
      <c r="BC143" s="26">
        <v>354.6</v>
      </c>
      <c r="BD143" s="27">
        <v>92.9</v>
      </c>
      <c r="BE143" s="65" t="s">
        <v>171</v>
      </c>
      <c r="BF143" s="18">
        <v>2880</v>
      </c>
      <c r="BG143" s="5">
        <v>383.79</v>
      </c>
      <c r="BH143" s="16">
        <v>100.54562306</v>
      </c>
      <c r="BI143" s="10">
        <v>3450</v>
      </c>
      <c r="BJ143" s="5">
        <v>460.6</v>
      </c>
      <c r="BK143" s="16">
        <v>120.6680858</v>
      </c>
      <c r="BL143" s="18">
        <v>3570</v>
      </c>
      <c r="BM143" s="5">
        <v>476.4</v>
      </c>
      <c r="BN143" s="16">
        <v>124.8180673</v>
      </c>
      <c r="BO143" s="18">
        <v>4290</v>
      </c>
      <c r="BP143" s="5">
        <v>572.71</v>
      </c>
      <c r="BQ143" s="16">
        <v>150.04016956000001</v>
      </c>
      <c r="BR143" s="18">
        <v>5440</v>
      </c>
      <c r="BS143" s="5">
        <v>726.34</v>
      </c>
      <c r="BT143" s="16">
        <v>190.28700651</v>
      </c>
      <c r="BU143" s="18">
        <v>6530</v>
      </c>
      <c r="BV143" s="5">
        <v>871.59</v>
      </c>
      <c r="BW143" s="16">
        <v>228.34288881999998</v>
      </c>
    </row>
    <row r="144" spans="1:75" x14ac:dyDescent="0.2">
      <c r="A144" s="21" t="s">
        <v>172</v>
      </c>
      <c r="B144" s="10">
        <v>630</v>
      </c>
      <c r="C144" s="5">
        <v>84.8</v>
      </c>
      <c r="D144" s="5">
        <v>27.6</v>
      </c>
      <c r="E144" s="18">
        <v>420</v>
      </c>
      <c r="F144" s="5">
        <v>56.5</v>
      </c>
      <c r="G144" s="5">
        <v>18.399999999999999</v>
      </c>
      <c r="H144" s="18">
        <v>400</v>
      </c>
      <c r="I144" s="5">
        <v>53.8</v>
      </c>
      <c r="J144" s="16">
        <v>17.5</v>
      </c>
      <c r="K144" s="18">
        <v>550</v>
      </c>
      <c r="L144" s="5">
        <v>73.900000000000006</v>
      </c>
      <c r="M144" s="5">
        <v>24</v>
      </c>
      <c r="N144" s="18">
        <v>690</v>
      </c>
      <c r="O144" s="5">
        <v>92.8</v>
      </c>
      <c r="P144" s="5">
        <v>30.2</v>
      </c>
      <c r="Q144" s="18">
        <v>860</v>
      </c>
      <c r="R144" s="5">
        <v>115.7</v>
      </c>
      <c r="S144" s="5">
        <v>37.6</v>
      </c>
      <c r="T144" s="18">
        <v>950</v>
      </c>
      <c r="U144" s="5">
        <v>127.8</v>
      </c>
      <c r="V144" s="5">
        <v>41.6</v>
      </c>
      <c r="W144" s="18">
        <v>1050</v>
      </c>
      <c r="X144" s="5">
        <v>141.19999999999999</v>
      </c>
      <c r="Y144" s="5">
        <v>45.9</v>
      </c>
      <c r="Z144" s="18">
        <v>1050</v>
      </c>
      <c r="AA144" s="5">
        <v>141.19999999999999</v>
      </c>
      <c r="AB144" s="16">
        <v>45.1</v>
      </c>
      <c r="AC144" s="21" t="s">
        <v>172</v>
      </c>
      <c r="AD144" s="10">
        <v>1260</v>
      </c>
      <c r="AE144" s="5">
        <v>169.5</v>
      </c>
      <c r="AF144" s="16">
        <v>51.2</v>
      </c>
      <c r="AG144" s="10">
        <v>1020</v>
      </c>
      <c r="AH144" s="5">
        <v>137.19999999999999</v>
      </c>
      <c r="AI144" s="16">
        <v>38.799999999999997</v>
      </c>
      <c r="AJ144" s="10">
        <v>1270</v>
      </c>
      <c r="AK144" s="5">
        <v>170.8</v>
      </c>
      <c r="AL144" s="16">
        <v>44.8</v>
      </c>
      <c r="AM144" s="10">
        <v>1920</v>
      </c>
      <c r="AN144" s="5">
        <v>258.3</v>
      </c>
      <c r="AO144" s="16">
        <v>67.8</v>
      </c>
      <c r="AP144" s="10">
        <v>1950</v>
      </c>
      <c r="AQ144" s="5">
        <v>262.3</v>
      </c>
      <c r="AR144" s="16">
        <v>68.8</v>
      </c>
      <c r="AS144" s="10">
        <v>2130</v>
      </c>
      <c r="AT144" s="5">
        <v>286.7</v>
      </c>
      <c r="AU144" s="16">
        <v>75.3</v>
      </c>
      <c r="AV144" s="10">
        <v>2250</v>
      </c>
      <c r="AW144" s="5">
        <v>302.7</v>
      </c>
      <c r="AX144" s="16">
        <v>79.2</v>
      </c>
      <c r="AY144" s="10">
        <v>2490</v>
      </c>
      <c r="AZ144" s="5">
        <v>335.1</v>
      </c>
      <c r="BA144" s="16">
        <v>87.5</v>
      </c>
      <c r="BB144" s="25">
        <v>2690</v>
      </c>
      <c r="BC144" s="26">
        <v>361.7</v>
      </c>
      <c r="BD144" s="27">
        <v>95</v>
      </c>
      <c r="BE144" s="65" t="s">
        <v>172</v>
      </c>
      <c r="BF144" s="18">
        <v>3040</v>
      </c>
      <c r="BG144" s="5">
        <v>409.47</v>
      </c>
      <c r="BH144" s="16">
        <v>107.48546306999999</v>
      </c>
      <c r="BI144" s="10">
        <v>3400</v>
      </c>
      <c r="BJ144" s="5">
        <v>457.4</v>
      </c>
      <c r="BK144" s="16">
        <v>120.0597597</v>
      </c>
      <c r="BL144" s="18">
        <v>3680</v>
      </c>
      <c r="BM144" s="5">
        <v>495</v>
      </c>
      <c r="BN144" s="16">
        <v>129.94057910000001</v>
      </c>
      <c r="BO144" s="18">
        <v>4310</v>
      </c>
      <c r="BP144" s="5">
        <v>580.02</v>
      </c>
      <c r="BQ144" s="16">
        <v>152.25247328</v>
      </c>
      <c r="BR144" s="18">
        <v>5290</v>
      </c>
      <c r="BS144" s="5">
        <v>711.28</v>
      </c>
      <c r="BT144" s="16">
        <v>186.70665536999999</v>
      </c>
      <c r="BU144" s="18">
        <v>6510</v>
      </c>
      <c r="BV144" s="5">
        <v>875.35</v>
      </c>
      <c r="BW144" s="16">
        <v>229.77156640999999</v>
      </c>
    </row>
    <row r="145" spans="1:75" x14ac:dyDescent="0.2">
      <c r="A145" s="21" t="s">
        <v>173</v>
      </c>
      <c r="B145" s="10">
        <v>420</v>
      </c>
      <c r="C145" s="5">
        <v>56.9</v>
      </c>
      <c r="D145" s="5">
        <v>18.5</v>
      </c>
      <c r="E145" s="18">
        <v>430</v>
      </c>
      <c r="F145" s="5">
        <v>58.2</v>
      </c>
      <c r="G145" s="5">
        <v>19</v>
      </c>
      <c r="H145" s="18">
        <v>500</v>
      </c>
      <c r="I145" s="5">
        <v>67.8</v>
      </c>
      <c r="J145" s="16">
        <v>22.1</v>
      </c>
      <c r="K145" s="18">
        <v>630</v>
      </c>
      <c r="L145" s="5">
        <v>85.4</v>
      </c>
      <c r="M145" s="5">
        <v>27.8</v>
      </c>
      <c r="N145" s="18">
        <v>630</v>
      </c>
      <c r="O145" s="5">
        <v>85.4</v>
      </c>
      <c r="P145" s="5">
        <v>27.8</v>
      </c>
      <c r="Q145" s="18">
        <v>810</v>
      </c>
      <c r="R145" s="5">
        <v>109.8</v>
      </c>
      <c r="S145" s="5">
        <v>35.799999999999997</v>
      </c>
      <c r="T145" s="18">
        <v>550</v>
      </c>
      <c r="U145" s="5">
        <v>74.5</v>
      </c>
      <c r="V145" s="5">
        <v>24.3</v>
      </c>
      <c r="W145" s="18">
        <v>850</v>
      </c>
      <c r="X145" s="5">
        <v>115.2</v>
      </c>
      <c r="Y145" s="5">
        <v>37.5</v>
      </c>
      <c r="Z145" s="18">
        <v>1350</v>
      </c>
      <c r="AA145" s="5">
        <v>182.8</v>
      </c>
      <c r="AB145" s="16">
        <v>58.5</v>
      </c>
      <c r="AC145" s="21" t="s">
        <v>173</v>
      </c>
      <c r="AD145" s="10">
        <v>1210</v>
      </c>
      <c r="AE145" s="5">
        <v>164</v>
      </c>
      <c r="AF145" s="16">
        <v>49.7</v>
      </c>
      <c r="AG145" s="10">
        <v>1460</v>
      </c>
      <c r="AH145" s="5">
        <v>197.8</v>
      </c>
      <c r="AI145" s="16">
        <v>56</v>
      </c>
      <c r="AJ145" s="10">
        <v>1560</v>
      </c>
      <c r="AK145" s="5">
        <v>211.4</v>
      </c>
      <c r="AL145" s="16">
        <v>55.6</v>
      </c>
      <c r="AM145" s="10">
        <v>1940</v>
      </c>
      <c r="AN145" s="5">
        <v>262.89999999999998</v>
      </c>
      <c r="AO145" s="16">
        <v>69.2</v>
      </c>
      <c r="AP145" s="10">
        <v>1860</v>
      </c>
      <c r="AQ145" s="5">
        <v>252.1</v>
      </c>
      <c r="AR145" s="16">
        <v>66.3</v>
      </c>
      <c r="AS145" s="10">
        <v>2020</v>
      </c>
      <c r="AT145" s="5">
        <v>273.60000000000002</v>
      </c>
      <c r="AU145" s="16">
        <v>72</v>
      </c>
      <c r="AV145" s="10">
        <v>2160</v>
      </c>
      <c r="AW145" s="5">
        <v>292.5</v>
      </c>
      <c r="AX145" s="16">
        <v>76.7</v>
      </c>
      <c r="AY145" s="10">
        <v>2440</v>
      </c>
      <c r="AZ145" s="5">
        <v>331.2</v>
      </c>
      <c r="BA145" s="16">
        <v>86.7</v>
      </c>
      <c r="BB145" s="25">
        <v>2630</v>
      </c>
      <c r="BC145" s="26">
        <v>356.1</v>
      </c>
      <c r="BD145" s="27">
        <v>93.6</v>
      </c>
      <c r="BE145" s="65" t="s">
        <v>173</v>
      </c>
      <c r="BF145" s="18">
        <v>2830</v>
      </c>
      <c r="BG145" s="5">
        <v>382.75</v>
      </c>
      <c r="BH145" s="16">
        <v>100.65788584000001</v>
      </c>
      <c r="BI145" s="10">
        <v>3160</v>
      </c>
      <c r="BJ145" s="5">
        <v>427.6</v>
      </c>
      <c r="BK145" s="16">
        <v>112.44375220000001</v>
      </c>
      <c r="BL145" s="18">
        <v>3550</v>
      </c>
      <c r="BM145" s="5">
        <v>481.1</v>
      </c>
      <c r="BN145" s="16">
        <v>126.5158892</v>
      </c>
      <c r="BO145" s="18">
        <v>4360</v>
      </c>
      <c r="BP145" s="5">
        <v>590.42999999999995</v>
      </c>
      <c r="BQ145" s="16">
        <v>155.27183832</v>
      </c>
      <c r="BR145" s="18">
        <v>5080</v>
      </c>
      <c r="BS145" s="5">
        <v>688.68</v>
      </c>
      <c r="BT145" s="16">
        <v>181.11032194000001</v>
      </c>
      <c r="BU145" s="18">
        <v>6400</v>
      </c>
      <c r="BV145" s="5">
        <v>866.58</v>
      </c>
      <c r="BW145" s="16">
        <v>227.89707190999999</v>
      </c>
    </row>
    <row r="146" spans="1:75" x14ac:dyDescent="0.2">
      <c r="A146" s="21" t="s">
        <v>174</v>
      </c>
      <c r="B146" s="10">
        <v>430</v>
      </c>
      <c r="C146" s="5">
        <v>58.7</v>
      </c>
      <c r="D146" s="5">
        <v>19.100000000000001</v>
      </c>
      <c r="E146" s="18">
        <v>470</v>
      </c>
      <c r="F146" s="5">
        <v>64.2</v>
      </c>
      <c r="G146" s="5">
        <v>20.9</v>
      </c>
      <c r="H146" s="18">
        <v>340</v>
      </c>
      <c r="I146" s="5">
        <v>46.4</v>
      </c>
      <c r="J146" s="16">
        <v>15.1</v>
      </c>
      <c r="K146" s="18">
        <v>460</v>
      </c>
      <c r="L146" s="5">
        <v>62.8</v>
      </c>
      <c r="M146" s="5">
        <v>20.5</v>
      </c>
      <c r="N146" s="18">
        <v>560</v>
      </c>
      <c r="O146" s="5">
        <v>76.400000000000006</v>
      </c>
      <c r="P146" s="5">
        <v>24.9</v>
      </c>
      <c r="Q146" s="18">
        <v>730</v>
      </c>
      <c r="R146" s="5">
        <v>99.7</v>
      </c>
      <c r="S146" s="5">
        <v>32.5</v>
      </c>
      <c r="T146" s="18">
        <v>840</v>
      </c>
      <c r="U146" s="5">
        <v>114.7</v>
      </c>
      <c r="V146" s="5">
        <v>37.4</v>
      </c>
      <c r="W146" s="18">
        <v>880</v>
      </c>
      <c r="X146" s="5">
        <v>120.1</v>
      </c>
      <c r="Y146" s="5">
        <v>39.200000000000003</v>
      </c>
      <c r="Z146" s="18">
        <v>890</v>
      </c>
      <c r="AA146" s="5">
        <v>121.4</v>
      </c>
      <c r="AB146" s="16">
        <v>38.9</v>
      </c>
      <c r="AC146" s="21" t="s">
        <v>174</v>
      </c>
      <c r="AD146" s="10">
        <v>1130</v>
      </c>
      <c r="AE146" s="5">
        <v>154.30000000000001</v>
      </c>
      <c r="AF146" s="16">
        <v>46.8</v>
      </c>
      <c r="AG146" s="10">
        <v>1240</v>
      </c>
      <c r="AH146" s="5">
        <v>169.3</v>
      </c>
      <c r="AI146" s="16">
        <v>48</v>
      </c>
      <c r="AJ146" s="10">
        <v>1670</v>
      </c>
      <c r="AK146" s="5">
        <v>228</v>
      </c>
      <c r="AL146" s="16">
        <v>60.1</v>
      </c>
      <c r="AM146" s="10">
        <v>1790</v>
      </c>
      <c r="AN146" s="5">
        <v>244.3</v>
      </c>
      <c r="AO146" s="16">
        <v>64.400000000000006</v>
      </c>
      <c r="AP146" s="10">
        <v>2000</v>
      </c>
      <c r="AQ146" s="5">
        <v>273</v>
      </c>
      <c r="AR146" s="16">
        <v>71.900000000000006</v>
      </c>
      <c r="AS146" s="10">
        <v>1670</v>
      </c>
      <c r="AT146" s="5">
        <v>227.8</v>
      </c>
      <c r="AU146" s="16">
        <v>60</v>
      </c>
      <c r="AV146" s="10">
        <v>2050</v>
      </c>
      <c r="AW146" s="5">
        <v>280</v>
      </c>
      <c r="AX146" s="16">
        <v>73.599999999999994</v>
      </c>
      <c r="AY146" s="10">
        <v>2240</v>
      </c>
      <c r="AZ146" s="5">
        <v>305.8</v>
      </c>
      <c r="BA146" s="16">
        <v>80.400000000000006</v>
      </c>
      <c r="BB146" s="25">
        <v>2430</v>
      </c>
      <c r="BC146" s="26">
        <v>332.2</v>
      </c>
      <c r="BD146" s="27">
        <v>87.5</v>
      </c>
      <c r="BE146" s="65" t="s">
        <v>174</v>
      </c>
      <c r="BF146" s="18">
        <v>2730</v>
      </c>
      <c r="BG146" s="5">
        <v>372.92</v>
      </c>
      <c r="BH146" s="16">
        <v>98.255862569999991</v>
      </c>
      <c r="BI146" s="10">
        <v>3180</v>
      </c>
      <c r="BJ146" s="5">
        <v>434.4</v>
      </c>
      <c r="BK146" s="16">
        <v>114.4451105</v>
      </c>
      <c r="BL146" s="18">
        <v>3410</v>
      </c>
      <c r="BM146" s="5">
        <v>464.8</v>
      </c>
      <c r="BN146" s="16">
        <v>122.46304259999999</v>
      </c>
      <c r="BO146" s="18">
        <v>4040</v>
      </c>
      <c r="BP146" s="5">
        <v>551.59</v>
      </c>
      <c r="BQ146" s="16">
        <v>145.33389281999999</v>
      </c>
      <c r="BR146" s="18">
        <v>4920</v>
      </c>
      <c r="BS146" s="5">
        <v>671.15</v>
      </c>
      <c r="BT146" s="16">
        <v>176.83326086000002</v>
      </c>
      <c r="BU146" s="18">
        <v>6100</v>
      </c>
      <c r="BV146" s="5">
        <v>832.92</v>
      </c>
      <c r="BW146" s="16">
        <v>219.45850368000001</v>
      </c>
    </row>
    <row r="147" spans="1:75" x14ac:dyDescent="0.2">
      <c r="A147" s="21" t="s">
        <v>175</v>
      </c>
      <c r="B147" s="10">
        <v>290</v>
      </c>
      <c r="C147" s="5">
        <v>39.9</v>
      </c>
      <c r="D147" s="5">
        <v>13</v>
      </c>
      <c r="E147" s="18">
        <v>580</v>
      </c>
      <c r="F147" s="5">
        <v>79.8</v>
      </c>
      <c r="G147" s="5">
        <v>26</v>
      </c>
      <c r="H147" s="18">
        <v>340</v>
      </c>
      <c r="I147" s="5">
        <v>46.8</v>
      </c>
      <c r="J147" s="16">
        <v>15.3</v>
      </c>
      <c r="K147" s="18">
        <v>520</v>
      </c>
      <c r="L147" s="5">
        <v>71.5</v>
      </c>
      <c r="M147" s="5">
        <v>23.3</v>
      </c>
      <c r="N147" s="18">
        <v>610</v>
      </c>
      <c r="O147" s="5">
        <v>83.9</v>
      </c>
      <c r="P147" s="5">
        <v>27.4</v>
      </c>
      <c r="Q147" s="18">
        <v>620</v>
      </c>
      <c r="R147" s="5">
        <v>85.2</v>
      </c>
      <c r="S147" s="5">
        <v>27.8</v>
      </c>
      <c r="T147" s="18">
        <v>850</v>
      </c>
      <c r="U147" s="5">
        <v>116.9</v>
      </c>
      <c r="V147" s="5">
        <v>38.200000000000003</v>
      </c>
      <c r="W147" s="18">
        <v>950</v>
      </c>
      <c r="X147" s="5">
        <v>130.69999999999999</v>
      </c>
      <c r="Y147" s="5">
        <v>42.7</v>
      </c>
      <c r="Z147" s="18">
        <v>910</v>
      </c>
      <c r="AA147" s="5">
        <v>125.1</v>
      </c>
      <c r="AB147" s="16">
        <v>40.200000000000003</v>
      </c>
      <c r="AC147" s="21" t="s">
        <v>175</v>
      </c>
      <c r="AD147" s="10">
        <v>1120</v>
      </c>
      <c r="AE147" s="5">
        <v>154</v>
      </c>
      <c r="AF147" s="16">
        <v>46.8</v>
      </c>
      <c r="AG147" s="10">
        <v>1410</v>
      </c>
      <c r="AH147" s="5">
        <v>193.9</v>
      </c>
      <c r="AI147" s="16">
        <v>55.1</v>
      </c>
      <c r="AJ147" s="10">
        <v>1110</v>
      </c>
      <c r="AK147" s="5">
        <v>152.69999999999999</v>
      </c>
      <c r="AL147" s="16">
        <v>40.299999999999997</v>
      </c>
      <c r="AM147" s="10">
        <v>1720</v>
      </c>
      <c r="AN147" s="5">
        <v>236.3</v>
      </c>
      <c r="AO147" s="16">
        <v>62.4</v>
      </c>
      <c r="AP147" s="10">
        <v>1520</v>
      </c>
      <c r="AQ147" s="5">
        <v>209</v>
      </c>
      <c r="AR147" s="16">
        <v>55.2</v>
      </c>
      <c r="AS147" s="10">
        <v>1980</v>
      </c>
      <c r="AT147" s="5">
        <v>272.2</v>
      </c>
      <c r="AU147" s="16">
        <v>71.8</v>
      </c>
      <c r="AV147" s="10">
        <v>2010</v>
      </c>
      <c r="AW147" s="5">
        <v>276.2</v>
      </c>
      <c r="AX147" s="16">
        <v>72.400000000000006</v>
      </c>
      <c r="AY147" s="10">
        <v>2260</v>
      </c>
      <c r="AZ147" s="5">
        <v>310.89999999999998</v>
      </c>
      <c r="BA147" s="16">
        <v>81.8</v>
      </c>
      <c r="BB147" s="25">
        <v>2490</v>
      </c>
      <c r="BC147" s="26">
        <v>341.7</v>
      </c>
      <c r="BD147" s="27">
        <v>90.2</v>
      </c>
      <c r="BE147" s="65" t="s">
        <v>175</v>
      </c>
      <c r="BF147" s="18">
        <v>2640</v>
      </c>
      <c r="BG147" s="5">
        <v>363.55</v>
      </c>
      <c r="BH147" s="16">
        <v>95.96303601999999</v>
      </c>
      <c r="BI147" s="10">
        <v>3140</v>
      </c>
      <c r="BJ147" s="5">
        <v>432.2</v>
      </c>
      <c r="BK147" s="16">
        <v>114.0760092</v>
      </c>
      <c r="BL147" s="18">
        <v>3390</v>
      </c>
      <c r="BM147" s="5">
        <v>465.8</v>
      </c>
      <c r="BN147" s="16">
        <v>122.9555644</v>
      </c>
      <c r="BO147" s="18">
        <v>3900</v>
      </c>
      <c r="BP147" s="5">
        <v>536.76</v>
      </c>
      <c r="BQ147" s="16">
        <v>141.68130982</v>
      </c>
      <c r="BR147" s="18">
        <v>4860</v>
      </c>
      <c r="BS147" s="5">
        <v>667.98</v>
      </c>
      <c r="BT147" s="16">
        <v>176.32392347000001</v>
      </c>
      <c r="BU147" s="18">
        <v>5930</v>
      </c>
      <c r="BV147" s="5">
        <v>815.5</v>
      </c>
      <c r="BW147" s="16">
        <v>215.26030645</v>
      </c>
    </row>
    <row r="148" spans="1:75" x14ac:dyDescent="0.2">
      <c r="A148" s="21" t="s">
        <v>176</v>
      </c>
      <c r="B148" s="10">
        <v>330</v>
      </c>
      <c r="C148" s="5">
        <v>45.7</v>
      </c>
      <c r="D148" s="5">
        <v>14.9</v>
      </c>
      <c r="E148" s="18">
        <v>410</v>
      </c>
      <c r="F148" s="5">
        <v>56.8</v>
      </c>
      <c r="G148" s="5">
        <v>18.600000000000001</v>
      </c>
      <c r="H148" s="18">
        <v>490</v>
      </c>
      <c r="I148" s="5">
        <v>67.900000000000006</v>
      </c>
      <c r="J148" s="16">
        <v>22.2</v>
      </c>
      <c r="K148" s="18">
        <v>590</v>
      </c>
      <c r="L148" s="5">
        <v>81.7</v>
      </c>
      <c r="M148" s="5">
        <v>26.7</v>
      </c>
      <c r="N148" s="18">
        <v>380</v>
      </c>
      <c r="O148" s="5">
        <v>52.6</v>
      </c>
      <c r="P148" s="5">
        <v>17.2</v>
      </c>
      <c r="Q148" s="18">
        <v>680</v>
      </c>
      <c r="R148" s="5">
        <v>94.2</v>
      </c>
      <c r="S148" s="5">
        <v>30.8</v>
      </c>
      <c r="T148" s="18">
        <v>740</v>
      </c>
      <c r="U148" s="5">
        <v>102.5</v>
      </c>
      <c r="V148" s="5">
        <v>33.5</v>
      </c>
      <c r="W148" s="18">
        <v>810</v>
      </c>
      <c r="X148" s="5">
        <v>112.2</v>
      </c>
      <c r="Y148" s="5">
        <v>36.700000000000003</v>
      </c>
      <c r="Z148" s="18">
        <v>650</v>
      </c>
      <c r="AA148" s="5">
        <v>90</v>
      </c>
      <c r="AB148" s="16">
        <v>29</v>
      </c>
      <c r="AC148" s="21" t="s">
        <v>176</v>
      </c>
      <c r="AD148" s="10">
        <v>1170</v>
      </c>
      <c r="AE148" s="5">
        <v>162</v>
      </c>
      <c r="AF148" s="16">
        <v>49.3</v>
      </c>
      <c r="AG148" s="10">
        <v>860</v>
      </c>
      <c r="AH148" s="5">
        <v>119.1</v>
      </c>
      <c r="AI148" s="16">
        <v>33.9</v>
      </c>
      <c r="AJ148" s="10">
        <v>1760</v>
      </c>
      <c r="AK148" s="5">
        <v>243.8</v>
      </c>
      <c r="AL148" s="16">
        <v>64.5</v>
      </c>
      <c r="AM148" s="10">
        <v>1680</v>
      </c>
      <c r="AN148" s="5">
        <v>232.6</v>
      </c>
      <c r="AO148" s="16">
        <v>61.5</v>
      </c>
      <c r="AP148" s="10">
        <v>1360</v>
      </c>
      <c r="AQ148" s="5">
        <v>188.4</v>
      </c>
      <c r="AR148" s="16">
        <v>49.8</v>
      </c>
      <c r="AS148" s="10">
        <v>1630</v>
      </c>
      <c r="AT148" s="5">
        <v>225.7</v>
      </c>
      <c r="AU148" s="16">
        <v>59.7</v>
      </c>
      <c r="AV148" s="10">
        <v>2010</v>
      </c>
      <c r="AW148" s="5">
        <v>278.2</v>
      </c>
      <c r="AX148" s="16">
        <v>73.400000000000006</v>
      </c>
      <c r="AY148" s="10">
        <v>2040</v>
      </c>
      <c r="AZ148" s="5">
        <v>282.89999999999998</v>
      </c>
      <c r="BA148" s="16">
        <v>74.599999999999994</v>
      </c>
      <c r="BB148" s="25">
        <v>2380</v>
      </c>
      <c r="BC148" s="26">
        <v>329.3</v>
      </c>
      <c r="BD148" s="27">
        <v>87.1</v>
      </c>
      <c r="BE148" s="65" t="s">
        <v>176</v>
      </c>
      <c r="BF148" s="18">
        <v>2570</v>
      </c>
      <c r="BG148" s="5">
        <v>355.93</v>
      </c>
      <c r="BH148" s="16">
        <v>94.122051709999994</v>
      </c>
      <c r="BI148" s="10">
        <v>2930</v>
      </c>
      <c r="BJ148" s="5">
        <v>405.4</v>
      </c>
      <c r="BK148" s="16">
        <v>107.1926205</v>
      </c>
      <c r="BL148" s="18">
        <v>3180</v>
      </c>
      <c r="BM148" s="5">
        <v>440.4</v>
      </c>
      <c r="BN148" s="16">
        <v>116.4570939</v>
      </c>
      <c r="BO148" s="18">
        <v>3890</v>
      </c>
      <c r="BP148" s="5">
        <v>539.29999999999995</v>
      </c>
      <c r="BQ148" s="16">
        <v>142.61128682</v>
      </c>
      <c r="BR148" s="18">
        <v>4830</v>
      </c>
      <c r="BS148" s="5">
        <v>668.28</v>
      </c>
      <c r="BT148" s="16">
        <v>176.7206587</v>
      </c>
      <c r="BU148" s="18">
        <v>5760</v>
      </c>
      <c r="BV148" s="5">
        <v>798.02</v>
      </c>
      <c r="BW148" s="16">
        <v>211.02710668</v>
      </c>
    </row>
    <row r="149" spans="1:75" x14ac:dyDescent="0.2">
      <c r="A149" s="21" t="s">
        <v>177</v>
      </c>
      <c r="B149" s="10">
        <v>430</v>
      </c>
      <c r="C149" s="5">
        <v>60</v>
      </c>
      <c r="D149" s="5">
        <v>19.600000000000001</v>
      </c>
      <c r="E149" s="18">
        <v>320</v>
      </c>
      <c r="F149" s="5">
        <v>44.6</v>
      </c>
      <c r="G149" s="5">
        <v>14.6</v>
      </c>
      <c r="H149" s="18">
        <v>430</v>
      </c>
      <c r="I149" s="5">
        <v>60</v>
      </c>
      <c r="J149" s="16">
        <v>19.600000000000001</v>
      </c>
      <c r="K149" s="18">
        <v>920</v>
      </c>
      <c r="L149" s="5">
        <v>128.4</v>
      </c>
      <c r="M149" s="5">
        <v>42</v>
      </c>
      <c r="N149" s="18">
        <v>620</v>
      </c>
      <c r="O149" s="5">
        <v>86.5</v>
      </c>
      <c r="P149" s="5">
        <v>28.3</v>
      </c>
      <c r="Q149" s="18">
        <v>780</v>
      </c>
      <c r="R149" s="5">
        <v>108.9</v>
      </c>
      <c r="S149" s="5">
        <v>35.6</v>
      </c>
      <c r="T149" s="18">
        <v>970</v>
      </c>
      <c r="U149" s="5">
        <v>135.30000000000001</v>
      </c>
      <c r="V149" s="5">
        <v>44.3</v>
      </c>
      <c r="W149" s="18">
        <v>770</v>
      </c>
      <c r="X149" s="5">
        <v>107.4</v>
      </c>
      <c r="Y149" s="5">
        <v>35.200000000000003</v>
      </c>
      <c r="Z149" s="18">
        <v>1000</v>
      </c>
      <c r="AA149" s="5">
        <v>139.5</v>
      </c>
      <c r="AB149" s="16">
        <v>44.9</v>
      </c>
      <c r="AC149" s="21" t="s">
        <v>177</v>
      </c>
      <c r="AD149" s="10">
        <v>1070</v>
      </c>
      <c r="AE149" s="5">
        <v>149.30000000000001</v>
      </c>
      <c r="AF149" s="16">
        <v>45.6</v>
      </c>
      <c r="AG149" s="10">
        <v>1120</v>
      </c>
      <c r="AH149" s="5">
        <v>156.30000000000001</v>
      </c>
      <c r="AI149" s="16">
        <v>44.5</v>
      </c>
      <c r="AJ149" s="10">
        <v>1370</v>
      </c>
      <c r="AK149" s="5">
        <v>191.2</v>
      </c>
      <c r="AL149" s="16">
        <v>50.7</v>
      </c>
      <c r="AM149" s="10">
        <v>1460</v>
      </c>
      <c r="AN149" s="5">
        <v>203.7</v>
      </c>
      <c r="AO149" s="16">
        <v>54</v>
      </c>
      <c r="AP149" s="10">
        <v>1700</v>
      </c>
      <c r="AQ149" s="5">
        <v>237.2</v>
      </c>
      <c r="AR149" s="16">
        <v>62.9</v>
      </c>
      <c r="AS149" s="10">
        <v>2350</v>
      </c>
      <c r="AT149" s="5">
        <v>327.9</v>
      </c>
      <c r="AU149" s="16">
        <v>86.9</v>
      </c>
      <c r="AV149" s="10">
        <v>2040</v>
      </c>
      <c r="AW149" s="5">
        <v>285.2</v>
      </c>
      <c r="AX149" s="16">
        <v>75.3</v>
      </c>
      <c r="AY149" s="10">
        <v>2210</v>
      </c>
      <c r="AZ149" s="5">
        <v>308.8</v>
      </c>
      <c r="BA149" s="16">
        <v>81.7</v>
      </c>
      <c r="BB149" s="25">
        <v>2530</v>
      </c>
      <c r="BC149" s="26">
        <v>353.2</v>
      </c>
      <c r="BD149" s="27">
        <v>93.6</v>
      </c>
      <c r="BE149" s="65" t="s">
        <v>177</v>
      </c>
      <c r="BF149" s="18">
        <v>2750</v>
      </c>
      <c r="BG149" s="5">
        <v>383.44</v>
      </c>
      <c r="BH149" s="16">
        <v>101.58373743000001</v>
      </c>
      <c r="BI149" s="10">
        <v>3050</v>
      </c>
      <c r="BJ149" s="5">
        <v>426.1</v>
      </c>
      <c r="BK149" s="16">
        <v>112.8906155</v>
      </c>
      <c r="BL149" s="18">
        <v>3280</v>
      </c>
      <c r="BM149" s="5">
        <v>457.5</v>
      </c>
      <c r="BN149" s="16">
        <v>121.2006532</v>
      </c>
      <c r="BO149" s="18">
        <v>3850</v>
      </c>
      <c r="BP149" s="5">
        <v>537.71</v>
      </c>
      <c r="BQ149" s="16">
        <v>142.45020384</v>
      </c>
      <c r="BR149" s="18">
        <v>4590</v>
      </c>
      <c r="BS149" s="5">
        <v>639.94000000000005</v>
      </c>
      <c r="BT149" s="16">
        <v>169.5299555</v>
      </c>
      <c r="BU149" s="18">
        <v>5760</v>
      </c>
      <c r="BV149" s="5">
        <v>803.53</v>
      </c>
      <c r="BW149" s="16">
        <v>212.86548277</v>
      </c>
    </row>
    <row r="150" spans="1:75" x14ac:dyDescent="0.2">
      <c r="A150" s="21" t="s">
        <v>178</v>
      </c>
      <c r="B150" s="10">
        <v>280</v>
      </c>
      <c r="C150" s="5">
        <v>39.299999999999997</v>
      </c>
      <c r="D150" s="5">
        <v>12.9</v>
      </c>
      <c r="E150" s="18">
        <v>540</v>
      </c>
      <c r="F150" s="5">
        <v>75.900000000000006</v>
      </c>
      <c r="G150" s="5">
        <v>24.9</v>
      </c>
      <c r="H150" s="18">
        <v>720</v>
      </c>
      <c r="I150" s="5">
        <v>101.1</v>
      </c>
      <c r="J150" s="16">
        <v>33.200000000000003</v>
      </c>
      <c r="K150" s="18">
        <v>460</v>
      </c>
      <c r="L150" s="5">
        <v>64.599999999999994</v>
      </c>
      <c r="M150" s="5">
        <v>21.2</v>
      </c>
      <c r="N150" s="18">
        <v>500</v>
      </c>
      <c r="O150" s="5">
        <v>70.2</v>
      </c>
      <c r="P150" s="5">
        <v>23</v>
      </c>
      <c r="Q150" s="18">
        <v>520</v>
      </c>
      <c r="R150" s="5">
        <v>73</v>
      </c>
      <c r="S150" s="5">
        <v>23.9</v>
      </c>
      <c r="T150" s="18">
        <v>720</v>
      </c>
      <c r="U150" s="5">
        <v>101.2</v>
      </c>
      <c r="V150" s="5">
        <v>33.200000000000003</v>
      </c>
      <c r="W150" s="18">
        <v>700</v>
      </c>
      <c r="X150" s="5">
        <v>98.4</v>
      </c>
      <c r="Y150" s="5">
        <v>32.200000000000003</v>
      </c>
      <c r="Z150" s="18">
        <v>930</v>
      </c>
      <c r="AA150" s="5">
        <v>130.69999999999999</v>
      </c>
      <c r="AB150" s="16">
        <v>42.2</v>
      </c>
      <c r="AC150" s="21" t="s">
        <v>178</v>
      </c>
      <c r="AD150" s="10">
        <v>890</v>
      </c>
      <c r="AE150" s="5">
        <v>125</v>
      </c>
      <c r="AF150" s="16">
        <v>38.200000000000003</v>
      </c>
      <c r="AG150" s="10">
        <v>1000</v>
      </c>
      <c r="AH150" s="5">
        <v>140.5</v>
      </c>
      <c r="AI150" s="16">
        <v>40.1</v>
      </c>
      <c r="AJ150" s="10">
        <v>1390</v>
      </c>
      <c r="AK150" s="5">
        <v>195.2</v>
      </c>
      <c r="AL150" s="16">
        <v>51.8</v>
      </c>
      <c r="AM150" s="10">
        <v>1060</v>
      </c>
      <c r="AN150" s="5">
        <v>148.9</v>
      </c>
      <c r="AO150" s="16">
        <v>39.5</v>
      </c>
      <c r="AP150" s="10">
        <v>1860</v>
      </c>
      <c r="AQ150" s="5">
        <v>261.39999999999998</v>
      </c>
      <c r="AR150" s="16">
        <v>69.400000000000006</v>
      </c>
      <c r="AS150" s="10">
        <v>1950</v>
      </c>
      <c r="AT150" s="5">
        <v>274</v>
      </c>
      <c r="AU150" s="16">
        <v>72.7</v>
      </c>
      <c r="AV150" s="10">
        <v>2000</v>
      </c>
      <c r="AW150" s="5">
        <v>280.3</v>
      </c>
      <c r="AX150" s="16">
        <v>74.099999999999994</v>
      </c>
      <c r="AY150" s="10">
        <v>2210</v>
      </c>
      <c r="AZ150" s="5">
        <v>309.8</v>
      </c>
      <c r="BA150" s="16">
        <v>81.900000000000006</v>
      </c>
      <c r="BB150" s="25">
        <v>2420</v>
      </c>
      <c r="BC150" s="26">
        <v>340.1</v>
      </c>
      <c r="BD150" s="27">
        <v>90.2</v>
      </c>
      <c r="BE150" s="65" t="s">
        <v>178</v>
      </c>
      <c r="BF150" s="18">
        <v>2720</v>
      </c>
      <c r="BG150" s="5">
        <v>381.42</v>
      </c>
      <c r="BH150" s="16">
        <v>101.21515084000001</v>
      </c>
      <c r="BI150" s="10">
        <v>2960</v>
      </c>
      <c r="BJ150" s="5">
        <v>416.1</v>
      </c>
      <c r="BK150" s="16">
        <v>110.42146649999999</v>
      </c>
      <c r="BL150" s="18">
        <v>3450</v>
      </c>
      <c r="BM150" s="5">
        <v>484.7</v>
      </c>
      <c r="BN150" s="16">
        <v>128.61021289999999</v>
      </c>
      <c r="BO150" s="18">
        <v>4060</v>
      </c>
      <c r="BP150" s="5">
        <v>570.42999999999995</v>
      </c>
      <c r="BQ150" s="16">
        <v>151.36652333000001</v>
      </c>
      <c r="BR150" s="18">
        <v>4750</v>
      </c>
      <c r="BS150" s="5">
        <v>667.38</v>
      </c>
      <c r="BT150" s="16">
        <v>177.09561052999999</v>
      </c>
      <c r="BU150" s="18">
        <v>6060</v>
      </c>
      <c r="BV150" s="5">
        <v>850.72</v>
      </c>
      <c r="BW150" s="16">
        <v>225.74963363000001</v>
      </c>
    </row>
    <row r="151" spans="1:75" x14ac:dyDescent="0.2">
      <c r="A151" s="21" t="s">
        <v>179</v>
      </c>
      <c r="B151" s="10">
        <v>580</v>
      </c>
      <c r="C151" s="5">
        <v>82.1</v>
      </c>
      <c r="D151" s="5">
        <v>26.9</v>
      </c>
      <c r="E151" s="18">
        <v>460</v>
      </c>
      <c r="F151" s="5">
        <v>65.099999999999994</v>
      </c>
      <c r="G151" s="5">
        <v>21.4</v>
      </c>
      <c r="H151" s="18">
        <v>370</v>
      </c>
      <c r="I151" s="5">
        <v>52.4</v>
      </c>
      <c r="J151" s="16">
        <v>17.2</v>
      </c>
      <c r="K151" s="18">
        <v>500</v>
      </c>
      <c r="L151" s="5">
        <v>70.7</v>
      </c>
      <c r="M151" s="5">
        <v>23.2</v>
      </c>
      <c r="N151" s="18">
        <v>550</v>
      </c>
      <c r="O151" s="5">
        <v>77.900000000000006</v>
      </c>
      <c r="P151" s="5">
        <v>25.6</v>
      </c>
      <c r="Q151" s="18">
        <v>520</v>
      </c>
      <c r="R151" s="5">
        <v>73.599999999999994</v>
      </c>
      <c r="S151" s="5">
        <v>24.2</v>
      </c>
      <c r="T151" s="18">
        <v>730</v>
      </c>
      <c r="U151" s="5">
        <v>103.3</v>
      </c>
      <c r="V151" s="5">
        <v>33.9</v>
      </c>
      <c r="W151" s="18">
        <v>770</v>
      </c>
      <c r="X151" s="5">
        <v>109</v>
      </c>
      <c r="Y151" s="5">
        <v>35.799999999999997</v>
      </c>
      <c r="Z151" s="18">
        <v>880</v>
      </c>
      <c r="AA151" s="5">
        <v>124.4</v>
      </c>
      <c r="AB151" s="16">
        <v>40.200000000000003</v>
      </c>
      <c r="AC151" s="21" t="s">
        <v>179</v>
      </c>
      <c r="AD151" s="10">
        <v>880</v>
      </c>
      <c r="AE151" s="5">
        <v>124.5</v>
      </c>
      <c r="AF151" s="16">
        <v>38.1</v>
      </c>
      <c r="AG151" s="10">
        <v>1050</v>
      </c>
      <c r="AH151" s="5">
        <v>148.6</v>
      </c>
      <c r="AI151" s="16">
        <v>42.5</v>
      </c>
      <c r="AJ151" s="10">
        <v>1160</v>
      </c>
      <c r="AK151" s="5">
        <v>164.1</v>
      </c>
      <c r="AL151" s="16">
        <v>43.6</v>
      </c>
      <c r="AM151" s="10">
        <v>1370</v>
      </c>
      <c r="AN151" s="5">
        <v>193.8</v>
      </c>
      <c r="AO151" s="16">
        <v>51.5</v>
      </c>
      <c r="AP151" s="10">
        <v>1540</v>
      </c>
      <c r="AQ151" s="5">
        <v>218</v>
      </c>
      <c r="AR151" s="16">
        <v>58</v>
      </c>
      <c r="AS151" s="10">
        <v>1330</v>
      </c>
      <c r="AT151" s="5">
        <v>188.3</v>
      </c>
      <c r="AU151" s="16">
        <v>50</v>
      </c>
      <c r="AV151" s="10">
        <v>1860</v>
      </c>
      <c r="AW151" s="5">
        <v>263.10000000000002</v>
      </c>
      <c r="AX151" s="16">
        <v>69.7</v>
      </c>
      <c r="AY151" s="10">
        <v>2060</v>
      </c>
      <c r="AZ151" s="5">
        <v>291.39999999999998</v>
      </c>
      <c r="BA151" s="16">
        <v>77.3</v>
      </c>
      <c r="BB151" s="25">
        <v>2210</v>
      </c>
      <c r="BC151" s="26">
        <v>312.3</v>
      </c>
      <c r="BD151" s="27">
        <v>83</v>
      </c>
      <c r="BE151" s="65" t="s">
        <v>179</v>
      </c>
      <c r="BF151" s="18">
        <v>2430</v>
      </c>
      <c r="BG151" s="5">
        <v>344.41</v>
      </c>
      <c r="BH151" s="16">
        <v>91.553861980000008</v>
      </c>
      <c r="BI151" s="10">
        <v>2800</v>
      </c>
      <c r="BJ151" s="5">
        <v>395.5</v>
      </c>
      <c r="BK151" s="16">
        <v>105.14344870000001</v>
      </c>
      <c r="BL151" s="18">
        <v>2960</v>
      </c>
      <c r="BM151" s="5">
        <v>419.3</v>
      </c>
      <c r="BN151" s="16">
        <v>111.4531193</v>
      </c>
      <c r="BO151" s="18">
        <v>3670</v>
      </c>
      <c r="BP151" s="5">
        <v>519.86</v>
      </c>
      <c r="BQ151" s="16">
        <v>138.19370337999999</v>
      </c>
      <c r="BR151" s="18">
        <v>4500</v>
      </c>
      <c r="BS151" s="5">
        <v>636.73</v>
      </c>
      <c r="BT151" s="16">
        <v>169.25984675999999</v>
      </c>
      <c r="BU151" s="18">
        <v>5470</v>
      </c>
      <c r="BV151" s="5">
        <v>774.55</v>
      </c>
      <c r="BW151" s="16">
        <v>205.89763063999999</v>
      </c>
    </row>
    <row r="152" spans="1:75" x14ac:dyDescent="0.2">
      <c r="A152" s="21" t="s">
        <v>180</v>
      </c>
      <c r="B152" s="10">
        <v>360</v>
      </c>
      <c r="C152" s="5">
        <v>51.3</v>
      </c>
      <c r="D152" s="5">
        <v>16.899999999999999</v>
      </c>
      <c r="E152" s="18">
        <v>370</v>
      </c>
      <c r="F152" s="5">
        <v>52.7</v>
      </c>
      <c r="G152" s="5">
        <v>17.3</v>
      </c>
      <c r="H152" s="18">
        <v>350</v>
      </c>
      <c r="I152" s="5">
        <v>49.9</v>
      </c>
      <c r="J152" s="16">
        <v>16.399999999999999</v>
      </c>
      <c r="K152" s="18">
        <v>400</v>
      </c>
      <c r="L152" s="5">
        <v>57</v>
      </c>
      <c r="M152" s="5">
        <v>18.7</v>
      </c>
      <c r="N152" s="18">
        <v>300</v>
      </c>
      <c r="O152" s="5">
        <v>42.7</v>
      </c>
      <c r="P152" s="5">
        <v>14</v>
      </c>
      <c r="Q152" s="18">
        <v>440</v>
      </c>
      <c r="R152" s="5">
        <v>62.8</v>
      </c>
      <c r="S152" s="5">
        <v>20.6</v>
      </c>
      <c r="T152" s="18">
        <v>630</v>
      </c>
      <c r="U152" s="5">
        <v>89.8</v>
      </c>
      <c r="V152" s="5">
        <v>29.5</v>
      </c>
      <c r="W152" s="18">
        <v>640</v>
      </c>
      <c r="X152" s="5">
        <v>91.2</v>
      </c>
      <c r="Y152" s="5">
        <v>30</v>
      </c>
      <c r="Z152" s="18">
        <v>1050</v>
      </c>
      <c r="AA152" s="5">
        <v>149.69999999999999</v>
      </c>
      <c r="AB152" s="16">
        <v>48.4</v>
      </c>
      <c r="AC152" s="21" t="s">
        <v>180</v>
      </c>
      <c r="AD152" s="10">
        <v>1030</v>
      </c>
      <c r="AE152" s="5">
        <v>146.80000000000001</v>
      </c>
      <c r="AF152" s="16">
        <v>45</v>
      </c>
      <c r="AG152" s="10">
        <v>910</v>
      </c>
      <c r="AH152" s="5">
        <v>129.6</v>
      </c>
      <c r="AI152" s="16">
        <v>37.1</v>
      </c>
      <c r="AJ152" s="10">
        <v>850</v>
      </c>
      <c r="AK152" s="5">
        <v>121.1</v>
      </c>
      <c r="AL152" s="16">
        <v>32.299999999999997</v>
      </c>
      <c r="AM152" s="10">
        <v>910</v>
      </c>
      <c r="AN152" s="5">
        <v>129.69999999999999</v>
      </c>
      <c r="AO152" s="16">
        <v>34.5</v>
      </c>
      <c r="AP152" s="10">
        <v>1490</v>
      </c>
      <c r="AQ152" s="5">
        <v>212.4</v>
      </c>
      <c r="AR152" s="16">
        <v>56.5</v>
      </c>
      <c r="AS152" s="10">
        <v>1360</v>
      </c>
      <c r="AT152" s="5">
        <v>194</v>
      </c>
      <c r="AU152" s="16">
        <v>51.7</v>
      </c>
      <c r="AV152" s="10">
        <v>1820</v>
      </c>
      <c r="AW152" s="5">
        <v>260</v>
      </c>
      <c r="AX152" s="16">
        <v>68.8</v>
      </c>
      <c r="AY152" s="10">
        <v>1920</v>
      </c>
      <c r="AZ152" s="5">
        <v>274.2</v>
      </c>
      <c r="BA152" s="16">
        <v>72.900000000000006</v>
      </c>
      <c r="BB152" s="25">
        <v>2160</v>
      </c>
      <c r="BC152" s="26">
        <v>307.8</v>
      </c>
      <c r="BD152" s="27">
        <v>82</v>
      </c>
      <c r="BE152" s="65" t="s">
        <v>180</v>
      </c>
      <c r="BF152" s="18">
        <v>2370</v>
      </c>
      <c r="BG152" s="5">
        <v>337.44</v>
      </c>
      <c r="BH152" s="16">
        <v>89.854033900000005</v>
      </c>
      <c r="BI152" s="10">
        <v>2810</v>
      </c>
      <c r="BJ152" s="5">
        <v>400.3</v>
      </c>
      <c r="BK152" s="16">
        <v>106.5864839</v>
      </c>
      <c r="BL152" s="18">
        <v>2860</v>
      </c>
      <c r="BM152" s="5">
        <v>408</v>
      </c>
      <c r="BN152" s="16">
        <v>108.63455399999999</v>
      </c>
      <c r="BO152" s="18">
        <v>3600</v>
      </c>
      <c r="BP152" s="5">
        <v>512.87</v>
      </c>
      <c r="BQ152" s="16">
        <v>136.56786238000001</v>
      </c>
      <c r="BR152" s="18">
        <v>4320</v>
      </c>
      <c r="BS152" s="5">
        <v>614.88</v>
      </c>
      <c r="BT152" s="16">
        <v>163.72929636000001</v>
      </c>
      <c r="BU152" s="18">
        <v>5290</v>
      </c>
      <c r="BV152" s="5">
        <v>754.22</v>
      </c>
      <c r="BW152" s="16">
        <v>200.83231462000001</v>
      </c>
    </row>
    <row r="153" spans="1:75" x14ac:dyDescent="0.2">
      <c r="A153" s="21" t="s">
        <v>181</v>
      </c>
      <c r="B153" s="10">
        <v>550</v>
      </c>
      <c r="C153" s="5">
        <v>79</v>
      </c>
      <c r="D153" s="5">
        <v>26</v>
      </c>
      <c r="E153" s="18">
        <v>430</v>
      </c>
      <c r="F153" s="5">
        <v>61.7</v>
      </c>
      <c r="G153" s="5">
        <v>20.3</v>
      </c>
      <c r="H153" s="18">
        <v>440</v>
      </c>
      <c r="I153" s="5">
        <v>63.1</v>
      </c>
      <c r="J153" s="16">
        <v>20.8</v>
      </c>
      <c r="K153" s="18">
        <v>310</v>
      </c>
      <c r="L153" s="5">
        <v>44.5</v>
      </c>
      <c r="M153" s="5">
        <v>14.6</v>
      </c>
      <c r="N153" s="18">
        <v>490</v>
      </c>
      <c r="O153" s="5">
        <v>70.3</v>
      </c>
      <c r="P153" s="5">
        <v>23.2</v>
      </c>
      <c r="Q153" s="18">
        <v>700</v>
      </c>
      <c r="R153" s="5">
        <v>100.5</v>
      </c>
      <c r="S153" s="5">
        <v>33.1</v>
      </c>
      <c r="T153" s="18">
        <v>690</v>
      </c>
      <c r="U153" s="5">
        <v>99</v>
      </c>
      <c r="V153" s="5">
        <v>32.6</v>
      </c>
      <c r="W153" s="18">
        <v>740</v>
      </c>
      <c r="X153" s="5">
        <v>106.2</v>
      </c>
      <c r="Y153" s="5">
        <v>34.9</v>
      </c>
      <c r="Z153" s="18">
        <v>760</v>
      </c>
      <c r="AA153" s="5">
        <v>109</v>
      </c>
      <c r="AB153" s="16">
        <v>35.299999999999997</v>
      </c>
      <c r="AC153" s="21" t="s">
        <v>181</v>
      </c>
      <c r="AD153" s="10">
        <v>770</v>
      </c>
      <c r="AE153" s="5">
        <v>110.5</v>
      </c>
      <c r="AF153" s="16">
        <v>33.9</v>
      </c>
      <c r="AG153" s="10">
        <v>1500</v>
      </c>
      <c r="AH153" s="5">
        <v>215.2</v>
      </c>
      <c r="AI153" s="16">
        <v>61.8</v>
      </c>
      <c r="AJ153" s="10">
        <v>1300</v>
      </c>
      <c r="AK153" s="5">
        <v>186.6</v>
      </c>
      <c r="AL153" s="16">
        <v>49.8</v>
      </c>
      <c r="AM153" s="10">
        <v>1240</v>
      </c>
      <c r="AN153" s="5">
        <v>177.9</v>
      </c>
      <c r="AO153" s="16">
        <v>47.5</v>
      </c>
      <c r="AP153" s="10">
        <v>1850</v>
      </c>
      <c r="AQ153" s="5">
        <v>265.5</v>
      </c>
      <c r="AR153" s="16">
        <v>70.8</v>
      </c>
      <c r="AS153" s="10">
        <v>1560</v>
      </c>
      <c r="AT153" s="5">
        <v>223.9</v>
      </c>
      <c r="AU153" s="16">
        <v>59.7</v>
      </c>
      <c r="AV153" s="10">
        <v>1790</v>
      </c>
      <c r="AW153" s="5">
        <v>257.3</v>
      </c>
      <c r="AX153" s="16">
        <v>68.2</v>
      </c>
      <c r="AY153" s="10">
        <v>1910</v>
      </c>
      <c r="AZ153" s="5">
        <v>274.7</v>
      </c>
      <c r="BA153" s="16">
        <v>73.2</v>
      </c>
      <c r="BB153" s="25">
        <v>2130</v>
      </c>
      <c r="BC153" s="26">
        <v>304.89999999999998</v>
      </c>
      <c r="BD153" s="27">
        <v>81.3</v>
      </c>
      <c r="BE153" s="65" t="s">
        <v>181</v>
      </c>
      <c r="BF153" s="18">
        <v>2310</v>
      </c>
      <c r="BG153" s="5">
        <v>331.49</v>
      </c>
      <c r="BH153" s="16">
        <v>88.417529790000003</v>
      </c>
      <c r="BI153" s="10">
        <v>2670</v>
      </c>
      <c r="BJ153" s="5">
        <v>382.6</v>
      </c>
      <c r="BK153" s="16">
        <v>102.0497266</v>
      </c>
      <c r="BL153" s="18">
        <v>2820</v>
      </c>
      <c r="BM153" s="5">
        <v>405</v>
      </c>
      <c r="BN153" s="16">
        <v>108.0117241</v>
      </c>
      <c r="BO153" s="18">
        <v>3470</v>
      </c>
      <c r="BP153" s="5">
        <v>498.22</v>
      </c>
      <c r="BQ153" s="16">
        <v>132.88655208</v>
      </c>
      <c r="BR153" s="18">
        <v>4030</v>
      </c>
      <c r="BS153" s="5">
        <v>578.46</v>
      </c>
      <c r="BT153" s="16">
        <v>154.29015230000002</v>
      </c>
      <c r="BU153" s="18">
        <v>5240</v>
      </c>
      <c r="BV153" s="5">
        <v>751.93</v>
      </c>
      <c r="BW153" s="16">
        <v>200.55930786000002</v>
      </c>
    </row>
    <row r="154" spans="1:75" x14ac:dyDescent="0.2">
      <c r="A154" s="21" t="s">
        <v>182</v>
      </c>
      <c r="B154" s="10">
        <v>350</v>
      </c>
      <c r="C154" s="5">
        <v>50.6</v>
      </c>
      <c r="D154" s="5">
        <v>16.600000000000001</v>
      </c>
      <c r="E154" s="18">
        <v>350</v>
      </c>
      <c r="F154" s="5">
        <v>50.6</v>
      </c>
      <c r="G154" s="5">
        <v>16.7</v>
      </c>
      <c r="H154" s="18">
        <v>470</v>
      </c>
      <c r="I154" s="5">
        <v>67.900000000000006</v>
      </c>
      <c r="J154" s="16">
        <v>22.4</v>
      </c>
      <c r="K154" s="18">
        <v>450</v>
      </c>
      <c r="L154" s="5">
        <v>65</v>
      </c>
      <c r="M154" s="5">
        <v>21.4</v>
      </c>
      <c r="N154" s="18">
        <v>630</v>
      </c>
      <c r="O154" s="5">
        <v>91</v>
      </c>
      <c r="P154" s="5">
        <v>30</v>
      </c>
      <c r="Q154" s="18">
        <v>270</v>
      </c>
      <c r="R154" s="5">
        <v>39</v>
      </c>
      <c r="S154" s="5">
        <v>12.9</v>
      </c>
      <c r="T154" s="18">
        <v>840</v>
      </c>
      <c r="U154" s="5">
        <v>121.3</v>
      </c>
      <c r="V154" s="5">
        <v>40</v>
      </c>
      <c r="W154" s="18">
        <v>770</v>
      </c>
      <c r="X154" s="5">
        <v>111.2</v>
      </c>
      <c r="Y154" s="5">
        <v>36.700000000000003</v>
      </c>
      <c r="Z154" s="18">
        <v>940</v>
      </c>
      <c r="AA154" s="5">
        <v>135.80000000000001</v>
      </c>
      <c r="AB154" s="16">
        <v>44.1</v>
      </c>
      <c r="AC154" s="21" t="s">
        <v>182</v>
      </c>
      <c r="AD154" s="10">
        <v>740</v>
      </c>
      <c r="AE154" s="5">
        <v>107</v>
      </c>
      <c r="AF154" s="16">
        <v>32.9</v>
      </c>
      <c r="AG154" s="10">
        <v>880</v>
      </c>
      <c r="AH154" s="5">
        <v>127.2</v>
      </c>
      <c r="AI154" s="16">
        <v>36.6</v>
      </c>
      <c r="AJ154" s="10">
        <v>1340</v>
      </c>
      <c r="AK154" s="5">
        <v>193.7</v>
      </c>
      <c r="AL154" s="16">
        <v>51.7</v>
      </c>
      <c r="AM154" s="10">
        <v>1850</v>
      </c>
      <c r="AN154" s="5">
        <v>267.3</v>
      </c>
      <c r="AO154" s="16">
        <v>71.400000000000006</v>
      </c>
      <c r="AP154" s="10">
        <v>1290</v>
      </c>
      <c r="AQ154" s="5">
        <v>186.3</v>
      </c>
      <c r="AR154" s="16">
        <v>49.8</v>
      </c>
      <c r="AS154" s="10">
        <v>1660</v>
      </c>
      <c r="AT154" s="5">
        <v>239.9</v>
      </c>
      <c r="AU154" s="16">
        <v>64.099999999999994</v>
      </c>
      <c r="AV154" s="10">
        <v>1770</v>
      </c>
      <c r="AW154" s="5">
        <v>255.2</v>
      </c>
      <c r="AX154" s="16">
        <v>68</v>
      </c>
      <c r="AY154" s="10">
        <v>1890</v>
      </c>
      <c r="AZ154" s="5">
        <v>272.60000000000002</v>
      </c>
      <c r="BA154" s="16">
        <v>72.5</v>
      </c>
      <c r="BB154" s="25">
        <v>2140</v>
      </c>
      <c r="BC154" s="26">
        <v>309.39999999999998</v>
      </c>
      <c r="BD154" s="27">
        <v>82.7</v>
      </c>
      <c r="BE154" s="65" t="s">
        <v>182</v>
      </c>
      <c r="BF154" s="18">
        <v>2340</v>
      </c>
      <c r="BG154" s="5">
        <v>337.46</v>
      </c>
      <c r="BH154" s="16">
        <v>90.159003999999996</v>
      </c>
      <c r="BI154" s="10">
        <v>2700</v>
      </c>
      <c r="BJ154" s="5">
        <v>389.9</v>
      </c>
      <c r="BK154" s="16">
        <v>104.16919729999999</v>
      </c>
      <c r="BL154" s="18">
        <v>2910</v>
      </c>
      <c r="BM154" s="5">
        <v>419.8</v>
      </c>
      <c r="BN154" s="16">
        <v>112.1644787</v>
      </c>
      <c r="BO154" s="18">
        <v>3440</v>
      </c>
      <c r="BP154" s="5">
        <v>497.24</v>
      </c>
      <c r="BQ154" s="16">
        <v>132.84454267000001</v>
      </c>
      <c r="BR154" s="18">
        <v>4140</v>
      </c>
      <c r="BS154" s="5">
        <v>598.66999999999996</v>
      </c>
      <c r="BT154" s="16">
        <v>159.94055665000002</v>
      </c>
      <c r="BU154" s="18">
        <v>5220</v>
      </c>
      <c r="BV154" s="5">
        <v>753.58</v>
      </c>
      <c r="BW154" s="16">
        <v>201.32790514999999</v>
      </c>
    </row>
    <row r="155" spans="1:75" x14ac:dyDescent="0.2">
      <c r="A155" s="21" t="s">
        <v>183</v>
      </c>
      <c r="B155" s="10">
        <v>280</v>
      </c>
      <c r="C155" s="5">
        <v>40.700000000000003</v>
      </c>
      <c r="D155" s="5">
        <v>13.4</v>
      </c>
      <c r="E155" s="18">
        <v>490</v>
      </c>
      <c r="F155" s="5">
        <v>71.3</v>
      </c>
      <c r="G155" s="5">
        <v>23.5</v>
      </c>
      <c r="H155" s="18">
        <v>340</v>
      </c>
      <c r="I155" s="5">
        <v>49.5</v>
      </c>
      <c r="J155" s="16">
        <v>16.3</v>
      </c>
      <c r="K155" s="18">
        <v>330</v>
      </c>
      <c r="L155" s="5">
        <v>48</v>
      </c>
      <c r="M155" s="5">
        <v>15.8</v>
      </c>
      <c r="N155" s="18">
        <v>420</v>
      </c>
      <c r="O155" s="5">
        <v>61.1</v>
      </c>
      <c r="P155" s="5">
        <v>20.2</v>
      </c>
      <c r="Q155" s="18">
        <v>490</v>
      </c>
      <c r="R155" s="5">
        <v>71.3</v>
      </c>
      <c r="S155" s="5">
        <v>23.5</v>
      </c>
      <c r="T155" s="18">
        <v>550</v>
      </c>
      <c r="U155" s="5">
        <v>80</v>
      </c>
      <c r="V155" s="5">
        <v>26.4</v>
      </c>
      <c r="W155" s="18">
        <v>730</v>
      </c>
      <c r="X155" s="5">
        <v>106.2</v>
      </c>
      <c r="Y155" s="5">
        <v>35</v>
      </c>
      <c r="Z155" s="18">
        <v>890</v>
      </c>
      <c r="AA155" s="5">
        <v>129.5</v>
      </c>
      <c r="AB155" s="16">
        <v>42.1</v>
      </c>
      <c r="AC155" s="21" t="s">
        <v>183</v>
      </c>
      <c r="AD155" s="10">
        <v>740</v>
      </c>
      <c r="AE155" s="5">
        <v>107.7</v>
      </c>
      <c r="AF155" s="16">
        <v>33.200000000000003</v>
      </c>
      <c r="AG155" s="10">
        <v>980</v>
      </c>
      <c r="AH155" s="5">
        <v>142.5</v>
      </c>
      <c r="AI155" s="16">
        <v>41</v>
      </c>
      <c r="AJ155" s="10">
        <v>1030</v>
      </c>
      <c r="AK155" s="5">
        <v>149.80000000000001</v>
      </c>
      <c r="AL155" s="16">
        <v>40.1</v>
      </c>
      <c r="AM155" s="10">
        <v>1250</v>
      </c>
      <c r="AN155" s="5">
        <v>181.9</v>
      </c>
      <c r="AO155" s="16">
        <v>48.7</v>
      </c>
      <c r="AP155" s="10">
        <v>1390</v>
      </c>
      <c r="AQ155" s="5">
        <v>202.2</v>
      </c>
      <c r="AR155" s="16">
        <v>54.1</v>
      </c>
      <c r="AS155" s="10">
        <v>1620</v>
      </c>
      <c r="AT155" s="5">
        <v>235.8</v>
      </c>
      <c r="AU155" s="16">
        <v>63.1</v>
      </c>
      <c r="AV155" s="10">
        <v>1730</v>
      </c>
      <c r="AW155" s="5">
        <v>252.3</v>
      </c>
      <c r="AX155" s="16">
        <v>67.400000000000006</v>
      </c>
      <c r="AY155" s="10">
        <v>1810</v>
      </c>
      <c r="AZ155" s="5">
        <v>263.89999999999998</v>
      </c>
      <c r="BA155" s="16">
        <v>70.5</v>
      </c>
      <c r="BB155" s="25">
        <v>1960</v>
      </c>
      <c r="BC155" s="26">
        <v>285.5</v>
      </c>
      <c r="BD155" s="27">
        <v>76.400000000000006</v>
      </c>
      <c r="BE155" s="65" t="s">
        <v>183</v>
      </c>
      <c r="BF155" s="18">
        <v>2260</v>
      </c>
      <c r="BG155" s="5">
        <v>328.36</v>
      </c>
      <c r="BH155" s="16">
        <v>87.866718700000007</v>
      </c>
      <c r="BI155" s="10">
        <v>2580</v>
      </c>
      <c r="BJ155" s="5">
        <v>375.9</v>
      </c>
      <c r="BK155" s="16">
        <v>100.59603109999999</v>
      </c>
      <c r="BL155" s="18">
        <v>2740</v>
      </c>
      <c r="BM155" s="5">
        <v>399.2</v>
      </c>
      <c r="BN155" s="16">
        <v>106.82887409999999</v>
      </c>
      <c r="BO155" s="18">
        <v>3540</v>
      </c>
      <c r="BP155" s="5">
        <v>515.04</v>
      </c>
      <c r="BQ155" s="16">
        <v>137.8206691</v>
      </c>
      <c r="BR155" s="18">
        <v>4190</v>
      </c>
      <c r="BS155" s="5">
        <v>609.9</v>
      </c>
      <c r="BT155" s="16">
        <v>163.20271964</v>
      </c>
      <c r="BU155" s="18">
        <v>5100</v>
      </c>
      <c r="BV155" s="5">
        <v>742.43</v>
      </c>
      <c r="BW155" s="16">
        <v>198.6656691</v>
      </c>
    </row>
    <row r="156" spans="1:75" x14ac:dyDescent="0.2">
      <c r="A156" s="21" t="s">
        <v>184</v>
      </c>
      <c r="B156" s="10">
        <v>250</v>
      </c>
      <c r="C156" s="5">
        <v>36.6</v>
      </c>
      <c r="D156" s="5">
        <v>12.1</v>
      </c>
      <c r="E156" s="18">
        <v>320</v>
      </c>
      <c r="F156" s="5">
        <v>46.9</v>
      </c>
      <c r="G156" s="5">
        <v>15.5</v>
      </c>
      <c r="H156" s="18">
        <v>330</v>
      </c>
      <c r="I156" s="5">
        <v>48.3</v>
      </c>
      <c r="J156" s="16">
        <v>16</v>
      </c>
      <c r="K156" s="18">
        <v>400</v>
      </c>
      <c r="L156" s="5">
        <v>58.6</v>
      </c>
      <c r="M156" s="5">
        <v>19.399999999999999</v>
      </c>
      <c r="N156" s="18">
        <v>520</v>
      </c>
      <c r="O156" s="5">
        <v>76.099999999999994</v>
      </c>
      <c r="P156" s="5">
        <v>25.2</v>
      </c>
      <c r="Q156" s="18">
        <v>490</v>
      </c>
      <c r="R156" s="5">
        <v>71.8</v>
      </c>
      <c r="S156" s="5">
        <v>23.7</v>
      </c>
      <c r="T156" s="18">
        <v>570</v>
      </c>
      <c r="U156" s="5">
        <v>83.5</v>
      </c>
      <c r="V156" s="5">
        <v>27.6</v>
      </c>
      <c r="W156" s="18">
        <v>830</v>
      </c>
      <c r="X156" s="5">
        <v>121.6</v>
      </c>
      <c r="Y156" s="5">
        <v>40.200000000000003</v>
      </c>
      <c r="Z156" s="18">
        <v>890</v>
      </c>
      <c r="AA156" s="5">
        <v>130.30000000000001</v>
      </c>
      <c r="AB156" s="16">
        <v>42.4</v>
      </c>
      <c r="AC156" s="21" t="s">
        <v>184</v>
      </c>
      <c r="AD156" s="10">
        <v>730</v>
      </c>
      <c r="AE156" s="5">
        <v>107</v>
      </c>
      <c r="AF156" s="16">
        <v>33</v>
      </c>
      <c r="AG156" s="10">
        <v>1140</v>
      </c>
      <c r="AH156" s="5">
        <v>167</v>
      </c>
      <c r="AI156" s="16">
        <v>48.1</v>
      </c>
      <c r="AJ156" s="10">
        <v>1120</v>
      </c>
      <c r="AK156" s="5">
        <v>164.2</v>
      </c>
      <c r="AL156" s="16">
        <v>44</v>
      </c>
      <c r="AM156" s="10">
        <v>1020</v>
      </c>
      <c r="AN156" s="5">
        <v>149.4</v>
      </c>
      <c r="AO156" s="16">
        <v>40</v>
      </c>
      <c r="AP156" s="10">
        <v>1590</v>
      </c>
      <c r="AQ156" s="5">
        <v>233</v>
      </c>
      <c r="AR156" s="16">
        <v>62.5</v>
      </c>
      <c r="AS156" s="10">
        <v>1630</v>
      </c>
      <c r="AT156" s="5">
        <v>238.8</v>
      </c>
      <c r="AU156" s="16">
        <v>64</v>
      </c>
      <c r="AV156" s="10">
        <v>1690</v>
      </c>
      <c r="AW156" s="5">
        <v>246.9</v>
      </c>
      <c r="AX156" s="16">
        <v>65.900000000000006</v>
      </c>
      <c r="AY156" s="10">
        <v>1730</v>
      </c>
      <c r="AZ156" s="5">
        <v>252.9</v>
      </c>
      <c r="BA156" s="16">
        <v>67.599999999999994</v>
      </c>
      <c r="BB156" s="25">
        <v>1930</v>
      </c>
      <c r="BC156" s="26">
        <v>282.5</v>
      </c>
      <c r="BD156" s="27">
        <v>75.7</v>
      </c>
      <c r="BE156" s="65" t="s">
        <v>184</v>
      </c>
      <c r="BF156" s="18">
        <v>2190</v>
      </c>
      <c r="BG156" s="5">
        <v>320.81</v>
      </c>
      <c r="BH156" s="16">
        <v>85.982721310000002</v>
      </c>
      <c r="BI156" s="10">
        <v>2490</v>
      </c>
      <c r="BJ156" s="5">
        <v>365.1</v>
      </c>
      <c r="BK156" s="16">
        <v>97.849249999999998</v>
      </c>
      <c r="BL156" s="18">
        <v>2770</v>
      </c>
      <c r="BM156" s="5">
        <v>405.1</v>
      </c>
      <c r="BN156" s="16">
        <v>108.56696909999999</v>
      </c>
      <c r="BO156" s="18">
        <v>3190</v>
      </c>
      <c r="BP156" s="5">
        <v>467.29</v>
      </c>
      <c r="BQ156" s="16">
        <v>125.24194411000001</v>
      </c>
      <c r="BR156" s="18">
        <v>3920</v>
      </c>
      <c r="BS156" s="5">
        <v>574.13</v>
      </c>
      <c r="BT156" s="16">
        <v>153.87737652000001</v>
      </c>
      <c r="BU156" s="18">
        <v>5000</v>
      </c>
      <c r="BV156" s="5">
        <v>732.78</v>
      </c>
      <c r="BW156" s="16">
        <v>196.39825380000002</v>
      </c>
    </row>
    <row r="157" spans="1:75" x14ac:dyDescent="0.2">
      <c r="A157" s="21" t="s">
        <v>185</v>
      </c>
      <c r="B157" s="10">
        <v>330</v>
      </c>
      <c r="C157" s="5">
        <v>48.7</v>
      </c>
      <c r="D157" s="5">
        <v>16.100000000000001</v>
      </c>
      <c r="E157" s="18">
        <v>390</v>
      </c>
      <c r="F157" s="5">
        <v>57.5</v>
      </c>
      <c r="G157" s="5">
        <v>19</v>
      </c>
      <c r="H157" s="18">
        <v>370</v>
      </c>
      <c r="I157" s="5">
        <v>54.6</v>
      </c>
      <c r="J157" s="16">
        <v>18.100000000000001</v>
      </c>
      <c r="K157" s="18">
        <v>470</v>
      </c>
      <c r="L157" s="5">
        <v>69.400000000000006</v>
      </c>
      <c r="M157" s="5">
        <v>22.9</v>
      </c>
      <c r="N157" s="18">
        <v>450</v>
      </c>
      <c r="O157" s="5">
        <v>66.400000000000006</v>
      </c>
      <c r="P157" s="5">
        <v>22</v>
      </c>
      <c r="Q157" s="18">
        <v>770</v>
      </c>
      <c r="R157" s="5">
        <v>113.5</v>
      </c>
      <c r="S157" s="5">
        <v>37.5</v>
      </c>
      <c r="T157" s="18">
        <v>710</v>
      </c>
      <c r="U157" s="5">
        <v>104.8</v>
      </c>
      <c r="V157" s="5">
        <v>34.700000000000003</v>
      </c>
      <c r="W157" s="18">
        <v>610</v>
      </c>
      <c r="X157" s="5">
        <v>89.9</v>
      </c>
      <c r="Y157" s="5">
        <v>29.8</v>
      </c>
      <c r="Z157" s="18">
        <v>950</v>
      </c>
      <c r="AA157" s="5">
        <v>140.19999999999999</v>
      </c>
      <c r="AB157" s="16">
        <v>45.7</v>
      </c>
      <c r="AC157" s="21" t="s">
        <v>185</v>
      </c>
      <c r="AD157" s="10">
        <v>940</v>
      </c>
      <c r="AE157" s="5">
        <v>138.6</v>
      </c>
      <c r="AF157" s="16">
        <v>42.9</v>
      </c>
      <c r="AG157" s="10">
        <v>860</v>
      </c>
      <c r="AH157" s="5">
        <v>126.9</v>
      </c>
      <c r="AI157" s="16">
        <v>36.700000000000003</v>
      </c>
      <c r="AJ157" s="10">
        <v>1190</v>
      </c>
      <c r="AK157" s="5">
        <v>175.5</v>
      </c>
      <c r="AL157" s="16">
        <v>47.1</v>
      </c>
      <c r="AM157" s="10">
        <v>1180</v>
      </c>
      <c r="AN157" s="5">
        <v>174.1</v>
      </c>
      <c r="AO157" s="16">
        <v>46.7</v>
      </c>
      <c r="AP157" s="10">
        <v>1530</v>
      </c>
      <c r="AQ157" s="5">
        <v>225.8</v>
      </c>
      <c r="AR157" s="16">
        <v>60.6</v>
      </c>
      <c r="AS157" s="10">
        <v>1520</v>
      </c>
      <c r="AT157" s="5">
        <v>224.1</v>
      </c>
      <c r="AU157" s="16">
        <v>60.2</v>
      </c>
      <c r="AV157" s="10">
        <v>1600</v>
      </c>
      <c r="AW157" s="5">
        <v>236.2</v>
      </c>
      <c r="AX157" s="16">
        <v>63.2</v>
      </c>
      <c r="AY157" s="10">
        <v>1730</v>
      </c>
      <c r="AZ157" s="5">
        <v>254.9</v>
      </c>
      <c r="BA157" s="16">
        <v>68.099999999999994</v>
      </c>
      <c r="BB157" s="25">
        <v>1960</v>
      </c>
      <c r="BC157" s="26">
        <v>289.39999999999998</v>
      </c>
      <c r="BD157" s="27">
        <v>77.7</v>
      </c>
      <c r="BE157" s="65" t="s">
        <v>185</v>
      </c>
      <c r="BF157" s="18">
        <v>2210</v>
      </c>
      <c r="BG157" s="5">
        <v>325.37</v>
      </c>
      <c r="BH157" s="16">
        <v>87.341319489999989</v>
      </c>
      <c r="BI157" s="10">
        <v>2500</v>
      </c>
      <c r="BJ157" s="5">
        <v>368.7</v>
      </c>
      <c r="BK157" s="16">
        <v>98.983351900000002</v>
      </c>
      <c r="BL157" s="18">
        <v>2540</v>
      </c>
      <c r="BM157" s="5">
        <v>374.9</v>
      </c>
      <c r="BN157" s="16">
        <v>100.64355429999999</v>
      </c>
      <c r="BO157" s="18">
        <v>3170</v>
      </c>
      <c r="BP157" s="5">
        <v>467.3</v>
      </c>
      <c r="BQ157" s="16">
        <v>125.44497715</v>
      </c>
      <c r="BR157" s="18">
        <v>3960</v>
      </c>
      <c r="BS157" s="5">
        <v>583.78</v>
      </c>
      <c r="BT157" s="16">
        <v>156.70928067</v>
      </c>
      <c r="BU157" s="18">
        <v>4780</v>
      </c>
      <c r="BV157" s="5">
        <v>704.88</v>
      </c>
      <c r="BW157" s="16">
        <v>189.21551159000001</v>
      </c>
    </row>
    <row r="158" spans="1:75" x14ac:dyDescent="0.2">
      <c r="A158" s="21" t="s">
        <v>186</v>
      </c>
      <c r="B158" s="10">
        <v>210</v>
      </c>
      <c r="C158" s="5">
        <v>31.2</v>
      </c>
      <c r="D158" s="5">
        <v>10.3</v>
      </c>
      <c r="E158" s="18">
        <v>470</v>
      </c>
      <c r="F158" s="5">
        <v>69.8</v>
      </c>
      <c r="G158" s="5">
        <v>23.1</v>
      </c>
      <c r="H158" s="18">
        <v>480</v>
      </c>
      <c r="I158" s="5">
        <v>71.3</v>
      </c>
      <c r="J158" s="16">
        <v>23.6</v>
      </c>
      <c r="K158" s="18">
        <v>360</v>
      </c>
      <c r="L158" s="5">
        <v>53.4</v>
      </c>
      <c r="M158" s="5">
        <v>17.7</v>
      </c>
      <c r="N158" s="18">
        <v>550</v>
      </c>
      <c r="O158" s="5">
        <v>81.7</v>
      </c>
      <c r="P158" s="5">
        <v>27.1</v>
      </c>
      <c r="Q158" s="18">
        <v>400</v>
      </c>
      <c r="R158" s="5">
        <v>59.4</v>
      </c>
      <c r="S158" s="5">
        <v>19.7</v>
      </c>
      <c r="T158" s="18">
        <v>520</v>
      </c>
      <c r="U158" s="5">
        <v>77.2</v>
      </c>
      <c r="V158" s="5">
        <v>25.6</v>
      </c>
      <c r="W158" s="18">
        <v>740</v>
      </c>
      <c r="X158" s="5">
        <v>110</v>
      </c>
      <c r="Y158" s="5">
        <v>36.4</v>
      </c>
      <c r="Z158" s="18">
        <v>600</v>
      </c>
      <c r="AA158" s="5">
        <v>89</v>
      </c>
      <c r="AB158" s="16">
        <v>29</v>
      </c>
      <c r="AC158" s="21" t="s">
        <v>186</v>
      </c>
      <c r="AD158" s="10">
        <v>580</v>
      </c>
      <c r="AE158" s="5">
        <v>86.1</v>
      </c>
      <c r="AF158" s="16">
        <v>26.7</v>
      </c>
      <c r="AG158" s="10">
        <v>700</v>
      </c>
      <c r="AH158" s="5">
        <v>103.9</v>
      </c>
      <c r="AI158" s="16">
        <v>30.1</v>
      </c>
      <c r="AJ158" s="10">
        <v>770</v>
      </c>
      <c r="AK158" s="5">
        <v>114.3</v>
      </c>
      <c r="AL158" s="16">
        <v>30.7</v>
      </c>
      <c r="AM158" s="10">
        <v>1280</v>
      </c>
      <c r="AN158" s="5">
        <v>190.2</v>
      </c>
      <c r="AO158" s="16">
        <v>51.1</v>
      </c>
      <c r="AP158" s="10">
        <v>1500</v>
      </c>
      <c r="AQ158" s="5">
        <v>222.7</v>
      </c>
      <c r="AR158" s="16">
        <v>59.9</v>
      </c>
      <c r="AS158" s="10">
        <v>1280</v>
      </c>
      <c r="AT158" s="5">
        <v>190</v>
      </c>
      <c r="AU158" s="16">
        <v>51.1</v>
      </c>
      <c r="AV158" s="10">
        <v>1560</v>
      </c>
      <c r="AW158" s="5">
        <v>231.1</v>
      </c>
      <c r="AX158" s="16">
        <v>61.9</v>
      </c>
      <c r="AY158" s="10">
        <v>1730</v>
      </c>
      <c r="AZ158" s="5">
        <v>256.8</v>
      </c>
      <c r="BA158" s="16">
        <v>68.900000000000006</v>
      </c>
      <c r="BB158" s="25">
        <v>1850</v>
      </c>
      <c r="BC158" s="26">
        <v>274.7</v>
      </c>
      <c r="BD158" s="27">
        <v>73.900000000000006</v>
      </c>
      <c r="BE158" s="65" t="s">
        <v>186</v>
      </c>
      <c r="BF158" s="18">
        <v>2140</v>
      </c>
      <c r="BG158" s="5">
        <v>317.64999999999998</v>
      </c>
      <c r="BH158" s="16">
        <v>85.403094849999988</v>
      </c>
      <c r="BI158" s="10">
        <v>2400</v>
      </c>
      <c r="BJ158" s="5">
        <v>356.4</v>
      </c>
      <c r="BK158" s="16">
        <v>95.811785099999994</v>
      </c>
      <c r="BL158" s="18">
        <v>2490</v>
      </c>
      <c r="BM158" s="5">
        <v>369.9</v>
      </c>
      <c r="BN158" s="16">
        <v>99.448820799999993</v>
      </c>
      <c r="BO158" s="18">
        <v>3080</v>
      </c>
      <c r="BP158" s="5">
        <v>457.52</v>
      </c>
      <c r="BQ158" s="16">
        <v>123.00729674</v>
      </c>
      <c r="BR158" s="18">
        <v>3850</v>
      </c>
      <c r="BS158" s="5">
        <v>572</v>
      </c>
      <c r="BT158" s="16">
        <v>153.78115912999999</v>
      </c>
      <c r="BU158" s="18">
        <v>4530</v>
      </c>
      <c r="BV158" s="5">
        <v>673.15</v>
      </c>
      <c r="BW158" s="16">
        <v>180.98049481000001</v>
      </c>
    </row>
    <row r="159" spans="1:75" x14ac:dyDescent="0.2">
      <c r="A159" s="21" t="s">
        <v>187</v>
      </c>
      <c r="B159" s="10">
        <v>400</v>
      </c>
      <c r="C159" s="5">
        <v>59.8</v>
      </c>
      <c r="D159" s="5">
        <v>19.8</v>
      </c>
      <c r="E159" s="18">
        <v>460</v>
      </c>
      <c r="F159" s="5">
        <v>68.8</v>
      </c>
      <c r="G159" s="5">
        <v>22.8</v>
      </c>
      <c r="H159" s="18">
        <v>400</v>
      </c>
      <c r="I159" s="5">
        <v>59.8</v>
      </c>
      <c r="J159" s="16">
        <v>19.8</v>
      </c>
      <c r="K159" s="18">
        <v>210</v>
      </c>
      <c r="L159" s="5">
        <v>31.4</v>
      </c>
      <c r="M159" s="5">
        <v>10.4</v>
      </c>
      <c r="N159" s="18">
        <v>370</v>
      </c>
      <c r="O159" s="5">
        <v>55.3</v>
      </c>
      <c r="P159" s="5">
        <v>18.399999999999999</v>
      </c>
      <c r="Q159" s="18">
        <v>650</v>
      </c>
      <c r="R159" s="5">
        <v>97.2</v>
      </c>
      <c r="S159" s="5">
        <v>32.200000000000003</v>
      </c>
      <c r="T159" s="18">
        <v>500</v>
      </c>
      <c r="U159" s="5">
        <v>74.8</v>
      </c>
      <c r="V159" s="5">
        <v>24.8</v>
      </c>
      <c r="W159" s="18">
        <v>860</v>
      </c>
      <c r="X159" s="5">
        <v>128.6</v>
      </c>
      <c r="Y159" s="5">
        <v>42.6</v>
      </c>
      <c r="Z159" s="18">
        <v>1220</v>
      </c>
      <c r="AA159" s="5">
        <v>182.4</v>
      </c>
      <c r="AB159" s="16">
        <v>59.6</v>
      </c>
      <c r="AC159" s="21" t="s">
        <v>187</v>
      </c>
      <c r="AD159" s="10">
        <v>1140</v>
      </c>
      <c r="AE159" s="5">
        <v>170.4</v>
      </c>
      <c r="AF159" s="16">
        <v>52.8</v>
      </c>
      <c r="AG159" s="10">
        <v>1090</v>
      </c>
      <c r="AH159" s="5">
        <v>163</v>
      </c>
      <c r="AI159" s="16">
        <v>47.2</v>
      </c>
      <c r="AJ159" s="10">
        <v>1390</v>
      </c>
      <c r="AK159" s="5">
        <v>207.9</v>
      </c>
      <c r="AL159" s="16">
        <v>56</v>
      </c>
      <c r="AM159" s="10">
        <v>1180</v>
      </c>
      <c r="AN159" s="5">
        <v>176.6</v>
      </c>
      <c r="AO159" s="16">
        <v>47.6</v>
      </c>
      <c r="AP159" s="10">
        <v>1750</v>
      </c>
      <c r="AQ159" s="5">
        <v>261.8</v>
      </c>
      <c r="AR159" s="16">
        <v>70.5</v>
      </c>
      <c r="AS159" s="10">
        <v>1960</v>
      </c>
      <c r="AT159" s="5">
        <v>293.2</v>
      </c>
      <c r="AU159" s="16">
        <v>78.900000000000006</v>
      </c>
      <c r="AV159" s="10">
        <v>1860</v>
      </c>
      <c r="AW159" s="5">
        <v>278.8</v>
      </c>
      <c r="AX159" s="16">
        <v>75</v>
      </c>
      <c r="AY159" s="10">
        <v>2010</v>
      </c>
      <c r="AZ159" s="5">
        <v>301</v>
      </c>
      <c r="BA159" s="16">
        <v>80.900000000000006</v>
      </c>
      <c r="BB159" s="25">
        <v>2230</v>
      </c>
      <c r="BC159" s="26">
        <v>333.8</v>
      </c>
      <c r="BD159" s="27">
        <v>89.9</v>
      </c>
      <c r="BE159" s="65" t="s">
        <v>187</v>
      </c>
      <c r="BF159" s="18">
        <v>2410</v>
      </c>
      <c r="BG159" s="5">
        <v>360.78</v>
      </c>
      <c r="BH159" s="16">
        <v>97.157260489999999</v>
      </c>
      <c r="BI159" s="10">
        <v>2710</v>
      </c>
      <c r="BJ159" s="5">
        <v>404.7</v>
      </c>
      <c r="BK159" s="16">
        <v>108.9811498</v>
      </c>
      <c r="BL159" s="18">
        <v>2810</v>
      </c>
      <c r="BM159" s="5">
        <v>419.7</v>
      </c>
      <c r="BN159" s="16">
        <v>113.00821459999999</v>
      </c>
      <c r="BO159" s="18">
        <v>3270</v>
      </c>
      <c r="BP159" s="5">
        <v>488.74</v>
      </c>
      <c r="BQ159" s="16">
        <v>131.60912776999999</v>
      </c>
      <c r="BR159" s="18">
        <v>3980</v>
      </c>
      <c r="BS159" s="5">
        <v>594.99</v>
      </c>
      <c r="BT159" s="16">
        <v>160.21589902000002</v>
      </c>
      <c r="BU159" s="18">
        <v>4920</v>
      </c>
      <c r="BV159" s="5">
        <v>735.2</v>
      </c>
      <c r="BW159" s="16">
        <v>197.97037315</v>
      </c>
    </row>
    <row r="160" spans="1:75" x14ac:dyDescent="0.2">
      <c r="A160" s="21" t="s">
        <v>188</v>
      </c>
      <c r="B160" s="10">
        <v>1550</v>
      </c>
      <c r="C160" s="5">
        <v>236.3</v>
      </c>
      <c r="D160" s="5">
        <v>78.599999999999994</v>
      </c>
      <c r="E160" s="18">
        <v>1740</v>
      </c>
      <c r="F160" s="5">
        <v>265.10000000000002</v>
      </c>
      <c r="G160" s="5">
        <v>88.2</v>
      </c>
      <c r="H160" s="18">
        <v>1560</v>
      </c>
      <c r="I160" s="5">
        <v>237.4</v>
      </c>
      <c r="J160" s="16">
        <v>79</v>
      </c>
      <c r="K160" s="18">
        <v>1860</v>
      </c>
      <c r="L160" s="5">
        <v>283.7</v>
      </c>
      <c r="M160" s="5">
        <v>94.4</v>
      </c>
      <c r="N160" s="18">
        <v>2080</v>
      </c>
      <c r="O160" s="5">
        <v>317</v>
      </c>
      <c r="P160" s="5">
        <v>105.5</v>
      </c>
      <c r="Q160" s="18">
        <v>2350</v>
      </c>
      <c r="R160" s="5">
        <v>358.7</v>
      </c>
      <c r="S160" s="5">
        <v>119.4</v>
      </c>
      <c r="T160" s="18">
        <v>2720</v>
      </c>
      <c r="U160" s="5">
        <v>413.8</v>
      </c>
      <c r="V160" s="5">
        <v>137.69999999999999</v>
      </c>
      <c r="W160" s="18">
        <v>3160</v>
      </c>
      <c r="X160" s="5">
        <v>481.8</v>
      </c>
      <c r="Y160" s="5">
        <v>160.30000000000001</v>
      </c>
      <c r="Z160" s="18">
        <v>3480</v>
      </c>
      <c r="AA160" s="5">
        <v>530.9</v>
      </c>
      <c r="AB160" s="16">
        <v>174.1</v>
      </c>
      <c r="AC160" s="21" t="s">
        <v>189</v>
      </c>
      <c r="AD160" s="10">
        <v>940</v>
      </c>
      <c r="AE160" s="5">
        <v>141.4</v>
      </c>
      <c r="AF160" s="16">
        <v>43.9</v>
      </c>
      <c r="AG160" s="10">
        <v>800</v>
      </c>
      <c r="AH160" s="5">
        <v>120.4</v>
      </c>
      <c r="AI160" s="16">
        <v>34.9</v>
      </c>
      <c r="AJ160" s="10">
        <v>1260</v>
      </c>
      <c r="AK160" s="5">
        <v>189.6</v>
      </c>
      <c r="AL160" s="16">
        <v>51.1</v>
      </c>
      <c r="AM160" s="10">
        <v>1300</v>
      </c>
      <c r="AN160" s="5">
        <v>195.6</v>
      </c>
      <c r="AO160" s="16">
        <v>52.7</v>
      </c>
      <c r="AP160" s="10">
        <v>1280</v>
      </c>
      <c r="AQ160" s="5">
        <v>192.6</v>
      </c>
      <c r="AR160" s="16">
        <v>51.9</v>
      </c>
      <c r="AS160" s="10">
        <v>1610</v>
      </c>
      <c r="AT160" s="5">
        <v>242.3</v>
      </c>
      <c r="AU160" s="16">
        <v>65.3</v>
      </c>
      <c r="AV160" s="10">
        <v>1620</v>
      </c>
      <c r="AW160" s="5">
        <v>243.2</v>
      </c>
      <c r="AX160" s="16">
        <v>65.3</v>
      </c>
      <c r="AY160" s="10">
        <v>1810</v>
      </c>
      <c r="AZ160" s="5">
        <v>272.5</v>
      </c>
      <c r="BA160" s="16">
        <v>73.3</v>
      </c>
      <c r="BB160" s="25">
        <v>1970</v>
      </c>
      <c r="BC160" s="26">
        <v>296.3</v>
      </c>
      <c r="BD160" s="27">
        <v>79.900000000000006</v>
      </c>
      <c r="BE160" s="65" t="s">
        <v>189</v>
      </c>
      <c r="BF160" s="18">
        <v>2130</v>
      </c>
      <c r="BG160" s="5">
        <v>320.35000000000002</v>
      </c>
      <c r="BH160" s="16">
        <v>86.384342610000004</v>
      </c>
      <c r="BI160" s="10">
        <v>2650</v>
      </c>
      <c r="BJ160" s="5">
        <v>398</v>
      </c>
      <c r="BK160" s="16">
        <v>107.31663490000001</v>
      </c>
      <c r="BL160" s="18">
        <v>2850</v>
      </c>
      <c r="BM160" s="5">
        <v>428.3</v>
      </c>
      <c r="BN160" s="16">
        <v>115.4932373</v>
      </c>
      <c r="BO160" s="18">
        <v>3550</v>
      </c>
      <c r="BP160" s="5">
        <v>534.65</v>
      </c>
      <c r="BQ160" s="16">
        <v>144.16478693000002</v>
      </c>
      <c r="BR160" s="18">
        <v>4330</v>
      </c>
      <c r="BS160" s="5">
        <v>651.26</v>
      </c>
      <c r="BT160" s="16">
        <v>175.60983177</v>
      </c>
      <c r="BU160" s="18">
        <v>5240</v>
      </c>
      <c r="BV160" s="5">
        <v>788.69</v>
      </c>
      <c r="BW160" s="16">
        <v>212.66935956999998</v>
      </c>
    </row>
    <row r="161" spans="1:75" x14ac:dyDescent="0.2">
      <c r="A161" s="21" t="s">
        <v>190</v>
      </c>
      <c r="B161" s="10">
        <v>1590</v>
      </c>
      <c r="C161" s="5">
        <v>250.6</v>
      </c>
      <c r="D161" s="5">
        <v>83.9</v>
      </c>
      <c r="E161" s="18">
        <v>1310</v>
      </c>
      <c r="F161" s="5">
        <v>206.3</v>
      </c>
      <c r="G161" s="5">
        <v>69</v>
      </c>
      <c r="H161" s="18">
        <v>1410</v>
      </c>
      <c r="I161" s="5">
        <v>221.8</v>
      </c>
      <c r="J161" s="16">
        <v>74.2</v>
      </c>
      <c r="K161" s="18">
        <v>1770</v>
      </c>
      <c r="L161" s="5">
        <v>278.60000000000002</v>
      </c>
      <c r="M161" s="5">
        <v>93.2</v>
      </c>
      <c r="N161" s="18">
        <v>1940</v>
      </c>
      <c r="O161" s="5">
        <v>305.5</v>
      </c>
      <c r="P161" s="5">
        <v>102.2</v>
      </c>
      <c r="Q161" s="18">
        <v>1810</v>
      </c>
      <c r="R161" s="5">
        <v>284.8</v>
      </c>
      <c r="S161" s="5">
        <v>95.3</v>
      </c>
      <c r="T161" s="18">
        <v>2440</v>
      </c>
      <c r="U161" s="5">
        <v>384.5</v>
      </c>
      <c r="V161" s="5">
        <v>128.69999999999999</v>
      </c>
      <c r="W161" s="18">
        <v>3240</v>
      </c>
      <c r="X161" s="5">
        <v>510</v>
      </c>
      <c r="Y161" s="5">
        <v>170.6</v>
      </c>
      <c r="Z161" s="18">
        <v>3200</v>
      </c>
      <c r="AA161" s="5">
        <v>503.8</v>
      </c>
      <c r="AB161" s="16">
        <v>166.2</v>
      </c>
      <c r="AC161" s="21" t="s">
        <v>191</v>
      </c>
      <c r="AD161" s="10">
        <v>690</v>
      </c>
      <c r="AE161" s="5">
        <v>104.6</v>
      </c>
      <c r="AF161" s="16">
        <v>32.5</v>
      </c>
      <c r="AG161" s="10">
        <v>1030</v>
      </c>
      <c r="AH161" s="5">
        <v>156</v>
      </c>
      <c r="AI161" s="16">
        <v>45.3</v>
      </c>
      <c r="AJ161" s="10">
        <v>1030</v>
      </c>
      <c r="AK161" s="5">
        <v>156.1</v>
      </c>
      <c r="AL161" s="16">
        <v>42.2</v>
      </c>
      <c r="AM161" s="10">
        <v>1200</v>
      </c>
      <c r="AN161" s="5">
        <v>181.8</v>
      </c>
      <c r="AO161" s="16">
        <v>49.1</v>
      </c>
      <c r="AP161" s="10">
        <v>1080</v>
      </c>
      <c r="AQ161" s="5">
        <v>163.5</v>
      </c>
      <c r="AR161" s="16">
        <v>44.2</v>
      </c>
      <c r="AS161" s="10">
        <v>1530</v>
      </c>
      <c r="AT161" s="5">
        <v>231.9</v>
      </c>
      <c r="AU161" s="16">
        <v>62.6</v>
      </c>
      <c r="AV161" s="10">
        <v>1480</v>
      </c>
      <c r="AW161" s="5">
        <v>223.8</v>
      </c>
      <c r="AX161" s="16">
        <v>60.1</v>
      </c>
      <c r="AY161" s="10">
        <v>1550</v>
      </c>
      <c r="AZ161" s="5">
        <v>234.2</v>
      </c>
      <c r="BA161" s="16">
        <v>63.2</v>
      </c>
      <c r="BB161" s="25">
        <v>1760</v>
      </c>
      <c r="BC161" s="26">
        <v>266.5</v>
      </c>
      <c r="BD161" s="27">
        <v>72</v>
      </c>
      <c r="BE161" s="65" t="s">
        <v>191</v>
      </c>
      <c r="BF161" s="18">
        <v>1910</v>
      </c>
      <c r="BG161" s="5">
        <v>289.36</v>
      </c>
      <c r="BH161" s="16">
        <v>78.147320769999993</v>
      </c>
      <c r="BI161" s="10">
        <v>2260</v>
      </c>
      <c r="BJ161" s="5">
        <v>341.6</v>
      </c>
      <c r="BK161" s="16">
        <v>92.268123400000007</v>
      </c>
      <c r="BL161" s="18">
        <v>2480</v>
      </c>
      <c r="BM161" s="5">
        <v>375</v>
      </c>
      <c r="BN161" s="16">
        <v>101.26638250000001</v>
      </c>
      <c r="BO161" s="18">
        <v>2990</v>
      </c>
      <c r="BP161" s="5">
        <v>453.26</v>
      </c>
      <c r="BQ161" s="16">
        <v>122.40778273000001</v>
      </c>
      <c r="BR161" s="18">
        <v>3520</v>
      </c>
      <c r="BS161" s="5">
        <v>533.11</v>
      </c>
      <c r="BT161" s="16">
        <v>143.97382986000002</v>
      </c>
      <c r="BU161" s="18">
        <v>4540</v>
      </c>
      <c r="BV161" s="5">
        <v>687.8</v>
      </c>
      <c r="BW161" s="16">
        <v>185.74908912000001</v>
      </c>
    </row>
    <row r="162" spans="1:75" x14ac:dyDescent="0.2">
      <c r="A162" s="21" t="s">
        <v>192</v>
      </c>
      <c r="B162" s="10">
        <v>990</v>
      </c>
      <c r="C162" s="5">
        <v>160.80000000000001</v>
      </c>
      <c r="D162" s="5">
        <v>54.1</v>
      </c>
      <c r="E162" s="18">
        <v>1230</v>
      </c>
      <c r="F162" s="5">
        <v>200</v>
      </c>
      <c r="G162" s="5">
        <v>67.3</v>
      </c>
      <c r="H162" s="18">
        <v>1330</v>
      </c>
      <c r="I162" s="5">
        <v>216</v>
      </c>
      <c r="J162" s="16">
        <v>72.599999999999994</v>
      </c>
      <c r="K162" s="18">
        <v>1140</v>
      </c>
      <c r="L162" s="5">
        <v>185.1</v>
      </c>
      <c r="M162" s="5">
        <v>62.2</v>
      </c>
      <c r="N162" s="18">
        <v>1790</v>
      </c>
      <c r="O162" s="5">
        <v>290.89999999999998</v>
      </c>
      <c r="P162" s="5">
        <v>97.8</v>
      </c>
      <c r="Q162" s="18">
        <v>1420</v>
      </c>
      <c r="R162" s="5">
        <v>230.9</v>
      </c>
      <c r="S162" s="5">
        <v>77.7</v>
      </c>
      <c r="T162" s="18">
        <v>1920</v>
      </c>
      <c r="U162" s="5">
        <v>312.5</v>
      </c>
      <c r="V162" s="5">
        <v>105.1</v>
      </c>
      <c r="W162" s="18">
        <v>2580</v>
      </c>
      <c r="X162" s="5">
        <v>418.7</v>
      </c>
      <c r="Y162" s="5">
        <v>140.80000000000001</v>
      </c>
      <c r="Z162" s="18">
        <v>2800</v>
      </c>
      <c r="AA162" s="5">
        <v>454.9</v>
      </c>
      <c r="AB162" s="16">
        <v>150.9</v>
      </c>
      <c r="AC162" s="21" t="s">
        <v>193</v>
      </c>
      <c r="AD162" s="10">
        <v>890</v>
      </c>
      <c r="AE162" s="5">
        <v>135.69999999999999</v>
      </c>
      <c r="AF162" s="16">
        <v>42.3</v>
      </c>
      <c r="AG162" s="10">
        <v>720</v>
      </c>
      <c r="AH162" s="5">
        <v>109.9</v>
      </c>
      <c r="AI162" s="16">
        <v>32</v>
      </c>
      <c r="AJ162" s="10">
        <v>940</v>
      </c>
      <c r="AK162" s="5">
        <v>143.4</v>
      </c>
      <c r="AL162" s="16">
        <v>38.799999999999997</v>
      </c>
      <c r="AM162" s="10">
        <v>1180</v>
      </c>
      <c r="AN162" s="5">
        <v>179.9</v>
      </c>
      <c r="AO162" s="16">
        <v>48.6</v>
      </c>
      <c r="AP162" s="10">
        <v>1380</v>
      </c>
      <c r="AQ162" s="5">
        <v>210.5</v>
      </c>
      <c r="AR162" s="16">
        <v>56.9</v>
      </c>
      <c r="AS162" s="10">
        <v>1460</v>
      </c>
      <c r="AT162" s="5">
        <v>222.8</v>
      </c>
      <c r="AU162" s="16">
        <v>60.3</v>
      </c>
      <c r="AV162" s="10">
        <v>1480</v>
      </c>
      <c r="AW162" s="5">
        <v>226.3</v>
      </c>
      <c r="AX162" s="16">
        <v>61</v>
      </c>
      <c r="AY162" s="10">
        <v>1580</v>
      </c>
      <c r="AZ162" s="5">
        <v>240.7</v>
      </c>
      <c r="BA162" s="16">
        <v>64.7</v>
      </c>
      <c r="BB162" s="25">
        <v>1750</v>
      </c>
      <c r="BC162" s="26">
        <v>267</v>
      </c>
      <c r="BD162" s="27">
        <v>72.2</v>
      </c>
      <c r="BE162" s="65" t="s">
        <v>193</v>
      </c>
      <c r="BF162" s="18">
        <v>1950</v>
      </c>
      <c r="BG162" s="5">
        <v>297.99</v>
      </c>
      <c r="BH162" s="16">
        <v>80.594409569999996</v>
      </c>
      <c r="BI162" s="10">
        <v>2170</v>
      </c>
      <c r="BJ162" s="5">
        <v>330.3</v>
      </c>
      <c r="BK162" s="16">
        <v>89.345197900000002</v>
      </c>
      <c r="BL162" s="18">
        <v>2390</v>
      </c>
      <c r="BM162" s="5">
        <v>364.5</v>
      </c>
      <c r="BN162" s="16">
        <v>98.585824599999995</v>
      </c>
      <c r="BO162" s="18">
        <v>2910</v>
      </c>
      <c r="BP162" s="5">
        <v>443.94</v>
      </c>
      <c r="BQ162" s="16">
        <v>120.06844101999999</v>
      </c>
      <c r="BR162" s="18">
        <v>3490</v>
      </c>
      <c r="BS162" s="5">
        <v>531.49</v>
      </c>
      <c r="BT162" s="16">
        <v>143.74917238</v>
      </c>
      <c r="BU162" s="18">
        <v>4400</v>
      </c>
      <c r="BV162" s="5">
        <v>671.6</v>
      </c>
      <c r="BW162" s="16">
        <v>181.63898641</v>
      </c>
    </row>
    <row r="163" spans="1:75" x14ac:dyDescent="0.2">
      <c r="A163" s="21" t="s">
        <v>194</v>
      </c>
      <c r="B163" s="10">
        <v>1170</v>
      </c>
      <c r="C163" s="5">
        <v>196</v>
      </c>
      <c r="D163" s="5">
        <v>66.2</v>
      </c>
      <c r="E163" s="18">
        <v>1050</v>
      </c>
      <c r="F163" s="5">
        <v>175.8</v>
      </c>
      <c r="G163" s="5">
        <v>59.4</v>
      </c>
      <c r="H163" s="18">
        <v>1140</v>
      </c>
      <c r="I163" s="5">
        <v>191.2</v>
      </c>
      <c r="J163" s="16">
        <v>64.599999999999994</v>
      </c>
      <c r="K163" s="18">
        <v>1590</v>
      </c>
      <c r="L163" s="5">
        <v>266.10000000000002</v>
      </c>
      <c r="M163" s="5">
        <v>89.9</v>
      </c>
      <c r="N163" s="18">
        <v>1300</v>
      </c>
      <c r="O163" s="5">
        <v>217.7</v>
      </c>
      <c r="P163" s="5">
        <v>73.5</v>
      </c>
      <c r="Q163" s="18">
        <v>1820</v>
      </c>
      <c r="R163" s="5">
        <v>304.60000000000002</v>
      </c>
      <c r="S163" s="5">
        <v>102.9</v>
      </c>
      <c r="T163" s="18">
        <v>1820</v>
      </c>
      <c r="U163" s="5">
        <v>305.3</v>
      </c>
      <c r="V163" s="5">
        <v>103.2</v>
      </c>
      <c r="W163" s="18">
        <v>2420</v>
      </c>
      <c r="X163" s="5">
        <v>405.3</v>
      </c>
      <c r="Y163" s="5">
        <v>136.9</v>
      </c>
      <c r="Z163" s="18">
        <v>2540</v>
      </c>
      <c r="AA163" s="5">
        <v>424.9</v>
      </c>
      <c r="AB163" s="16">
        <v>141.69999999999999</v>
      </c>
      <c r="AC163" s="21" t="s">
        <v>195</v>
      </c>
      <c r="AD163" s="10">
        <v>880</v>
      </c>
      <c r="AE163" s="5">
        <v>135.1</v>
      </c>
      <c r="AF163" s="16">
        <v>42.1</v>
      </c>
      <c r="AG163" s="10">
        <v>680</v>
      </c>
      <c r="AH163" s="5">
        <v>104.3</v>
      </c>
      <c r="AI163" s="16">
        <v>30.4</v>
      </c>
      <c r="AJ163" s="10">
        <v>950</v>
      </c>
      <c r="AK163" s="5">
        <v>145.80000000000001</v>
      </c>
      <c r="AL163" s="16">
        <v>39.5</v>
      </c>
      <c r="AM163" s="10">
        <v>1110</v>
      </c>
      <c r="AN163" s="5">
        <v>170.4</v>
      </c>
      <c r="AO163" s="16">
        <v>46.2</v>
      </c>
      <c r="AP163" s="10">
        <v>1290</v>
      </c>
      <c r="AQ163" s="5">
        <v>198</v>
      </c>
      <c r="AR163" s="16">
        <v>53.6</v>
      </c>
      <c r="AS163" s="10">
        <v>1320</v>
      </c>
      <c r="AT163" s="5">
        <v>202.6</v>
      </c>
      <c r="AU163" s="16">
        <v>54.9</v>
      </c>
      <c r="AV163" s="10">
        <v>1410</v>
      </c>
      <c r="AW163" s="5">
        <v>216</v>
      </c>
      <c r="AX163" s="16">
        <v>58.4</v>
      </c>
      <c r="AY163" s="10">
        <v>1520</v>
      </c>
      <c r="AZ163" s="5">
        <v>232.7</v>
      </c>
      <c r="BA163" s="16">
        <v>62.8</v>
      </c>
      <c r="BB163" s="25">
        <v>1700</v>
      </c>
      <c r="BC163" s="26">
        <v>261.3</v>
      </c>
      <c r="BD163" s="27">
        <v>70.8</v>
      </c>
      <c r="BE163" s="65" t="s">
        <v>195</v>
      </c>
      <c r="BF163" s="18">
        <v>1860</v>
      </c>
      <c r="BG163" s="5">
        <v>284.74</v>
      </c>
      <c r="BH163" s="16">
        <v>77.121533970000002</v>
      </c>
      <c r="BI163" s="10">
        <v>2110</v>
      </c>
      <c r="BJ163" s="5">
        <v>323.39999999999998</v>
      </c>
      <c r="BK163" s="16">
        <v>87.593790200000001</v>
      </c>
      <c r="BL163" s="18">
        <v>2200</v>
      </c>
      <c r="BM163" s="5">
        <v>338</v>
      </c>
      <c r="BN163" s="16">
        <v>91.544652499999998</v>
      </c>
      <c r="BO163" s="18">
        <v>2880</v>
      </c>
      <c r="BP163" s="5">
        <v>442.08</v>
      </c>
      <c r="BQ163" s="16">
        <v>119.73603045</v>
      </c>
      <c r="BR163" s="18">
        <v>3360</v>
      </c>
      <c r="BS163" s="5">
        <v>515.75</v>
      </c>
      <c r="BT163" s="16">
        <v>139.68706856999998</v>
      </c>
      <c r="BU163" s="18">
        <v>4270</v>
      </c>
      <c r="BV163" s="5">
        <v>655.44</v>
      </c>
      <c r="BW163" s="16">
        <v>177.52509952</v>
      </c>
    </row>
    <row r="164" spans="1:75" x14ac:dyDescent="0.2">
      <c r="A164" s="21" t="s">
        <v>196</v>
      </c>
      <c r="B164" s="10">
        <v>1050</v>
      </c>
      <c r="C164" s="5">
        <v>181.3</v>
      </c>
      <c r="D164" s="5">
        <v>61.5</v>
      </c>
      <c r="E164" s="18">
        <v>1070</v>
      </c>
      <c r="F164" s="5">
        <v>184.5</v>
      </c>
      <c r="G164" s="5">
        <v>62.6</v>
      </c>
      <c r="H164" s="18">
        <v>930</v>
      </c>
      <c r="I164" s="5">
        <v>160.4</v>
      </c>
      <c r="J164" s="16">
        <v>54.4</v>
      </c>
      <c r="K164" s="18">
        <v>1200</v>
      </c>
      <c r="L164" s="5">
        <v>206.9</v>
      </c>
      <c r="M164" s="5">
        <v>70.2</v>
      </c>
      <c r="N164" s="18">
        <v>1590</v>
      </c>
      <c r="O164" s="5">
        <v>274.2</v>
      </c>
      <c r="P164" s="5">
        <v>93.1</v>
      </c>
      <c r="Q164" s="18">
        <v>2110</v>
      </c>
      <c r="R164" s="5">
        <v>364</v>
      </c>
      <c r="S164" s="5">
        <v>123.5</v>
      </c>
      <c r="T164" s="18">
        <v>1560</v>
      </c>
      <c r="U164" s="5">
        <v>269.3</v>
      </c>
      <c r="V164" s="5">
        <v>91.4</v>
      </c>
      <c r="W164" s="18">
        <v>2090</v>
      </c>
      <c r="X164" s="5">
        <v>360.3</v>
      </c>
      <c r="Y164" s="5">
        <v>122.3</v>
      </c>
      <c r="Z164" s="18">
        <v>1970</v>
      </c>
      <c r="AA164" s="5">
        <v>339.7</v>
      </c>
      <c r="AB164" s="16">
        <v>113.9</v>
      </c>
      <c r="AC164" s="21" t="s">
        <v>197</v>
      </c>
      <c r="AD164" s="10">
        <v>800</v>
      </c>
      <c r="AE164" s="5">
        <v>123.6</v>
      </c>
      <c r="AF164" s="16">
        <v>38.6</v>
      </c>
      <c r="AG164" s="10">
        <v>610</v>
      </c>
      <c r="AH164" s="5">
        <v>94.2</v>
      </c>
      <c r="AI164" s="16">
        <v>27.5</v>
      </c>
      <c r="AJ164" s="10">
        <v>1080</v>
      </c>
      <c r="AK164" s="5">
        <v>166.9</v>
      </c>
      <c r="AL164" s="16">
        <v>45.3</v>
      </c>
      <c r="AM164" s="10">
        <v>970</v>
      </c>
      <c r="AN164" s="5">
        <v>149.9</v>
      </c>
      <c r="AO164" s="16">
        <v>40.6</v>
      </c>
      <c r="AP164" s="10">
        <v>860</v>
      </c>
      <c r="AQ164" s="5">
        <v>132.9</v>
      </c>
      <c r="AR164" s="16">
        <v>36</v>
      </c>
      <c r="AS164" s="10">
        <v>1390</v>
      </c>
      <c r="AT164" s="5">
        <v>214.7</v>
      </c>
      <c r="AU164" s="16">
        <v>58.2</v>
      </c>
      <c r="AV164" s="10">
        <v>1360</v>
      </c>
      <c r="AW164" s="5">
        <v>210.2</v>
      </c>
      <c r="AX164" s="16">
        <v>56.9</v>
      </c>
      <c r="AY164" s="10">
        <v>1580</v>
      </c>
      <c r="AZ164" s="5">
        <v>243.4</v>
      </c>
      <c r="BA164" s="16">
        <v>66</v>
      </c>
      <c r="BB164" s="25">
        <v>1710</v>
      </c>
      <c r="BC164" s="26">
        <v>264.5</v>
      </c>
      <c r="BD164" s="27">
        <v>71.8</v>
      </c>
      <c r="BE164" s="65" t="s">
        <v>197</v>
      </c>
      <c r="BF164" s="18">
        <v>1910</v>
      </c>
      <c r="BG164" s="5">
        <v>294.51</v>
      </c>
      <c r="BH164" s="16">
        <v>79.882466480000005</v>
      </c>
      <c r="BI164" s="10">
        <v>2090</v>
      </c>
      <c r="BJ164" s="5">
        <v>322.3</v>
      </c>
      <c r="BK164" s="16">
        <v>87.419868400000013</v>
      </c>
      <c r="BL164" s="18">
        <v>2180</v>
      </c>
      <c r="BM164" s="5">
        <v>336.8</v>
      </c>
      <c r="BN164" s="16">
        <v>91.360732400000003</v>
      </c>
      <c r="BO164" s="18">
        <v>2830</v>
      </c>
      <c r="BP164" s="5">
        <v>436.63</v>
      </c>
      <c r="BQ164" s="16">
        <v>118.42916672</v>
      </c>
      <c r="BR164" s="18">
        <v>3420</v>
      </c>
      <c r="BS164" s="5">
        <v>528.23</v>
      </c>
      <c r="BT164" s="16">
        <v>143.27133065000001</v>
      </c>
      <c r="BU164" s="18">
        <v>4100</v>
      </c>
      <c r="BV164" s="5">
        <v>634.07000000000005</v>
      </c>
      <c r="BW164" s="16">
        <v>171.97887322999998</v>
      </c>
    </row>
    <row r="165" spans="1:75" x14ac:dyDescent="0.2">
      <c r="A165" s="21" t="s">
        <v>198</v>
      </c>
      <c r="B165" s="10">
        <v>750</v>
      </c>
      <c r="C165" s="5">
        <v>132.80000000000001</v>
      </c>
      <c r="D165" s="5">
        <v>45.2</v>
      </c>
      <c r="E165" s="18">
        <v>1120</v>
      </c>
      <c r="F165" s="5">
        <v>198.9</v>
      </c>
      <c r="G165" s="5">
        <v>67.8</v>
      </c>
      <c r="H165" s="18">
        <v>1090</v>
      </c>
      <c r="I165" s="5">
        <v>193.4</v>
      </c>
      <c r="J165" s="16">
        <v>65.900000000000006</v>
      </c>
      <c r="K165" s="18">
        <v>1240</v>
      </c>
      <c r="L165" s="5">
        <v>220.1</v>
      </c>
      <c r="M165" s="5">
        <v>75</v>
      </c>
      <c r="N165" s="18">
        <v>1160</v>
      </c>
      <c r="O165" s="5">
        <v>205.8</v>
      </c>
      <c r="P165" s="5">
        <v>70.2</v>
      </c>
      <c r="Q165" s="18">
        <v>1500</v>
      </c>
      <c r="R165" s="5">
        <v>266</v>
      </c>
      <c r="S165" s="5">
        <v>90.6</v>
      </c>
      <c r="T165" s="18">
        <v>1540</v>
      </c>
      <c r="U165" s="5">
        <v>273.2</v>
      </c>
      <c r="V165" s="5">
        <v>93.1</v>
      </c>
      <c r="W165" s="18">
        <v>1670</v>
      </c>
      <c r="X165" s="5">
        <v>296.3</v>
      </c>
      <c r="Y165" s="5">
        <v>101</v>
      </c>
      <c r="Z165" s="18">
        <v>2190</v>
      </c>
      <c r="AA165" s="5">
        <v>388.6</v>
      </c>
      <c r="AB165" s="16">
        <v>130.80000000000001</v>
      </c>
      <c r="AC165" s="21" t="s">
        <v>199</v>
      </c>
      <c r="AD165" s="10">
        <v>610</v>
      </c>
      <c r="AE165" s="5">
        <v>94.8</v>
      </c>
      <c r="AF165" s="16">
        <v>29.7</v>
      </c>
      <c r="AG165" s="10">
        <v>1060</v>
      </c>
      <c r="AH165" s="5">
        <v>164.8</v>
      </c>
      <c r="AI165" s="16">
        <v>48.2</v>
      </c>
      <c r="AJ165" s="10">
        <v>750</v>
      </c>
      <c r="AK165" s="5">
        <v>116.6</v>
      </c>
      <c r="AL165" s="16">
        <v>31.7</v>
      </c>
      <c r="AM165" s="10">
        <v>1150</v>
      </c>
      <c r="AN165" s="5">
        <v>178.9</v>
      </c>
      <c r="AO165" s="16">
        <v>48.6</v>
      </c>
      <c r="AP165" s="10">
        <v>1060</v>
      </c>
      <c r="AQ165" s="5">
        <v>164.9</v>
      </c>
      <c r="AR165" s="16">
        <v>44.8</v>
      </c>
      <c r="AS165" s="10">
        <v>1410</v>
      </c>
      <c r="AT165" s="5">
        <v>219.2</v>
      </c>
      <c r="AU165" s="16">
        <v>59.5</v>
      </c>
      <c r="AV165" s="10">
        <v>1430</v>
      </c>
      <c r="AW165" s="5">
        <v>223</v>
      </c>
      <c r="AX165" s="16">
        <v>60.4</v>
      </c>
      <c r="AY165" s="10">
        <v>1530</v>
      </c>
      <c r="AZ165" s="5">
        <v>237.6</v>
      </c>
      <c r="BA165" s="16">
        <v>64.3</v>
      </c>
      <c r="BB165" s="25">
        <v>1610</v>
      </c>
      <c r="BC165" s="26">
        <v>249.8</v>
      </c>
      <c r="BD165" s="27">
        <v>67.8</v>
      </c>
      <c r="BE165" s="65" t="s">
        <v>199</v>
      </c>
      <c r="BF165" s="18">
        <v>1780</v>
      </c>
      <c r="BG165" s="5">
        <v>277.25</v>
      </c>
      <c r="BH165" s="16">
        <v>75.301736669999997</v>
      </c>
      <c r="BI165" s="10">
        <v>2040</v>
      </c>
      <c r="BJ165" s="5">
        <v>317.39999999999998</v>
      </c>
      <c r="BK165" s="16">
        <v>86.203397499999994</v>
      </c>
      <c r="BL165" s="18">
        <v>2240</v>
      </c>
      <c r="BM165" s="5">
        <v>348.1</v>
      </c>
      <c r="BN165" s="16">
        <v>94.558522199999999</v>
      </c>
      <c r="BO165" s="18">
        <v>2770</v>
      </c>
      <c r="BP165" s="5">
        <v>430.52</v>
      </c>
      <c r="BQ165" s="16">
        <v>116.92885123000001</v>
      </c>
      <c r="BR165" s="18">
        <v>3380</v>
      </c>
      <c r="BS165" s="5">
        <v>525.4</v>
      </c>
      <c r="BT165" s="16">
        <v>142.70026751</v>
      </c>
      <c r="BU165" s="18">
        <v>4230</v>
      </c>
      <c r="BV165" s="5">
        <v>658.35</v>
      </c>
      <c r="BW165" s="16">
        <v>178.81087671</v>
      </c>
    </row>
    <row r="166" spans="1:75" x14ac:dyDescent="0.2">
      <c r="A166" s="21" t="s">
        <v>200</v>
      </c>
      <c r="B166" s="10">
        <v>1000</v>
      </c>
      <c r="C166" s="5">
        <v>182.3</v>
      </c>
      <c r="D166" s="5">
        <v>62.3</v>
      </c>
      <c r="E166" s="18">
        <v>1000</v>
      </c>
      <c r="F166" s="5">
        <v>182.2</v>
      </c>
      <c r="G166" s="5">
        <v>62.3</v>
      </c>
      <c r="H166" s="18">
        <v>980</v>
      </c>
      <c r="I166" s="5">
        <v>178.5</v>
      </c>
      <c r="J166" s="16">
        <v>61</v>
      </c>
      <c r="K166" s="18">
        <v>1130</v>
      </c>
      <c r="L166" s="5">
        <v>205.8</v>
      </c>
      <c r="M166" s="5">
        <v>70.400000000000006</v>
      </c>
      <c r="N166" s="18">
        <v>1170</v>
      </c>
      <c r="O166" s="5">
        <v>213.5</v>
      </c>
      <c r="P166" s="5">
        <v>73</v>
      </c>
      <c r="Q166" s="18">
        <v>1320</v>
      </c>
      <c r="R166" s="5">
        <v>241.2</v>
      </c>
      <c r="S166" s="5">
        <v>82.5</v>
      </c>
      <c r="T166" s="18">
        <v>1800</v>
      </c>
      <c r="U166" s="5">
        <v>329</v>
      </c>
      <c r="V166" s="5">
        <v>112.6</v>
      </c>
      <c r="W166" s="18">
        <v>1540</v>
      </c>
      <c r="X166" s="5">
        <v>281</v>
      </c>
      <c r="Y166" s="5">
        <v>96.2</v>
      </c>
      <c r="Z166" s="18">
        <v>2150</v>
      </c>
      <c r="AA166" s="5">
        <v>391.9</v>
      </c>
      <c r="AB166" s="16">
        <v>132.5</v>
      </c>
      <c r="AC166" s="21" t="s">
        <v>201</v>
      </c>
      <c r="AD166" s="10">
        <v>720</v>
      </c>
      <c r="AE166" s="5">
        <v>112.6</v>
      </c>
      <c r="AF166" s="16">
        <v>35.299999999999997</v>
      </c>
      <c r="AG166" s="10">
        <v>710</v>
      </c>
      <c r="AH166" s="5">
        <v>111.2</v>
      </c>
      <c r="AI166" s="16">
        <v>32.6</v>
      </c>
      <c r="AJ166" s="10">
        <v>860</v>
      </c>
      <c r="AK166" s="5">
        <v>134.6</v>
      </c>
      <c r="AL166" s="16">
        <v>36.6</v>
      </c>
      <c r="AM166" s="10">
        <v>880</v>
      </c>
      <c r="AN166" s="5">
        <v>137.69999999999999</v>
      </c>
      <c r="AO166" s="16">
        <v>37.5</v>
      </c>
      <c r="AP166" s="10">
        <v>820</v>
      </c>
      <c r="AQ166" s="5">
        <v>128.30000000000001</v>
      </c>
      <c r="AR166" s="16">
        <v>34.9</v>
      </c>
      <c r="AS166" s="10">
        <v>1100</v>
      </c>
      <c r="AT166" s="5">
        <v>172.2</v>
      </c>
      <c r="AU166" s="16">
        <v>46.9</v>
      </c>
      <c r="AV166" s="10">
        <v>1260</v>
      </c>
      <c r="AW166" s="5">
        <v>197.8</v>
      </c>
      <c r="AX166" s="16">
        <v>53.7</v>
      </c>
      <c r="AY166" s="10">
        <v>1450</v>
      </c>
      <c r="AZ166" s="5">
        <v>226.9</v>
      </c>
      <c r="BA166" s="16">
        <v>61.5</v>
      </c>
      <c r="BB166" s="25">
        <v>1490</v>
      </c>
      <c r="BC166" s="26">
        <v>233.3</v>
      </c>
      <c r="BD166" s="27">
        <v>63.5</v>
      </c>
      <c r="BE166" s="65" t="s">
        <v>201</v>
      </c>
      <c r="BF166" s="18">
        <v>1720</v>
      </c>
      <c r="BG166" s="5">
        <v>269.64</v>
      </c>
      <c r="BH166" s="16">
        <v>73.336302379999992</v>
      </c>
      <c r="BI166" s="10">
        <v>1890</v>
      </c>
      <c r="BJ166" s="5">
        <v>295.10000000000002</v>
      </c>
      <c r="BK166" s="16">
        <v>80.272922400000013</v>
      </c>
      <c r="BL166" s="18">
        <v>2140</v>
      </c>
      <c r="BM166" s="5">
        <v>335.2</v>
      </c>
      <c r="BN166" s="16">
        <v>91.179331300000001</v>
      </c>
      <c r="BO166" s="18">
        <v>2700</v>
      </c>
      <c r="BP166" s="5">
        <v>422.68</v>
      </c>
      <c r="BQ166" s="16">
        <v>114.9589395</v>
      </c>
      <c r="BR166" s="18">
        <v>3180</v>
      </c>
      <c r="BS166" s="5">
        <v>497.47</v>
      </c>
      <c r="BT166" s="16">
        <v>135.298858</v>
      </c>
      <c r="BU166" s="18">
        <v>3930</v>
      </c>
      <c r="BV166" s="5">
        <v>614.25</v>
      </c>
      <c r="BW166" s="16">
        <v>167.06417084</v>
      </c>
    </row>
    <row r="167" spans="1:75" x14ac:dyDescent="0.2">
      <c r="A167" s="21" t="s">
        <v>202</v>
      </c>
      <c r="B167" s="10">
        <v>700</v>
      </c>
      <c r="C167" s="5">
        <v>131.5</v>
      </c>
      <c r="D167" s="5">
        <v>45.2</v>
      </c>
      <c r="E167" s="18">
        <v>900</v>
      </c>
      <c r="F167" s="5">
        <v>168.6</v>
      </c>
      <c r="G167" s="5">
        <v>57.9</v>
      </c>
      <c r="H167" s="18">
        <v>820</v>
      </c>
      <c r="I167" s="5">
        <v>153.5</v>
      </c>
      <c r="J167" s="16">
        <v>52.7</v>
      </c>
      <c r="K167" s="18">
        <v>1030</v>
      </c>
      <c r="L167" s="5">
        <v>192.9</v>
      </c>
      <c r="M167" s="5">
        <v>66.3</v>
      </c>
      <c r="N167" s="18">
        <v>1340</v>
      </c>
      <c r="O167" s="5">
        <v>251.1</v>
      </c>
      <c r="P167" s="5">
        <v>86.2</v>
      </c>
      <c r="Q167" s="18">
        <v>1210</v>
      </c>
      <c r="R167" s="5">
        <v>226.9</v>
      </c>
      <c r="S167" s="5">
        <v>77.900000000000006</v>
      </c>
      <c r="T167" s="18">
        <v>1430</v>
      </c>
      <c r="U167" s="5">
        <v>267.89999999999998</v>
      </c>
      <c r="V167" s="5">
        <v>92</v>
      </c>
      <c r="W167" s="18">
        <v>1640</v>
      </c>
      <c r="X167" s="5">
        <v>307.2</v>
      </c>
      <c r="Y167" s="5">
        <v>105.5</v>
      </c>
      <c r="Z167" s="18">
        <v>1690</v>
      </c>
      <c r="AA167" s="5">
        <v>316.3</v>
      </c>
      <c r="AB167" s="16">
        <v>107.4</v>
      </c>
      <c r="AC167" s="21" t="s">
        <v>203</v>
      </c>
      <c r="AD167" s="10">
        <v>690</v>
      </c>
      <c r="AE167" s="5">
        <v>108.6</v>
      </c>
      <c r="AF167" s="16">
        <v>34.1</v>
      </c>
      <c r="AG167" s="10">
        <v>520</v>
      </c>
      <c r="AH167" s="5">
        <v>81.900000000000006</v>
      </c>
      <c r="AI167" s="16">
        <v>24</v>
      </c>
      <c r="AJ167" s="10">
        <v>560</v>
      </c>
      <c r="AK167" s="5">
        <v>88.2</v>
      </c>
      <c r="AL167" s="16">
        <v>24</v>
      </c>
      <c r="AM167" s="10">
        <v>860</v>
      </c>
      <c r="AN167" s="5">
        <v>135.5</v>
      </c>
      <c r="AO167" s="16">
        <v>36.9</v>
      </c>
      <c r="AP167" s="10">
        <v>1010</v>
      </c>
      <c r="AQ167" s="5">
        <v>159.1</v>
      </c>
      <c r="AR167" s="16">
        <v>43.3</v>
      </c>
      <c r="AS167" s="10">
        <v>1260</v>
      </c>
      <c r="AT167" s="5">
        <v>198.5</v>
      </c>
      <c r="AU167" s="16">
        <v>54.1</v>
      </c>
      <c r="AV167" s="10">
        <v>1270</v>
      </c>
      <c r="AW167" s="5">
        <v>199.7</v>
      </c>
      <c r="AX167" s="16">
        <v>54.1</v>
      </c>
      <c r="AY167" s="10">
        <v>1380</v>
      </c>
      <c r="AZ167" s="5">
        <v>217.2</v>
      </c>
      <c r="BA167" s="16">
        <v>58.9</v>
      </c>
      <c r="BB167" s="25">
        <v>1560</v>
      </c>
      <c r="BC167" s="26">
        <v>245.9</v>
      </c>
      <c r="BD167" s="27">
        <v>67</v>
      </c>
      <c r="BE167" s="65" t="s">
        <v>203</v>
      </c>
      <c r="BF167" s="18">
        <v>1720</v>
      </c>
      <c r="BG167" s="5">
        <v>270.24</v>
      </c>
      <c r="BH167" s="16">
        <v>73.597287959999989</v>
      </c>
      <c r="BI167" s="10">
        <v>1960</v>
      </c>
      <c r="BJ167" s="5">
        <v>309.2</v>
      </c>
      <c r="BK167" s="16">
        <v>84.205575599999989</v>
      </c>
      <c r="BL167" s="18">
        <v>2140</v>
      </c>
      <c r="BM167" s="5">
        <v>336.6</v>
      </c>
      <c r="BN167" s="16">
        <v>91.668587200000005</v>
      </c>
      <c r="BO167" s="18">
        <v>2600</v>
      </c>
      <c r="BP167" s="5">
        <v>409.18</v>
      </c>
      <c r="BQ167" s="16">
        <v>111.44091529000001</v>
      </c>
      <c r="BR167" s="18">
        <v>3070</v>
      </c>
      <c r="BS167" s="5">
        <v>483.35</v>
      </c>
      <c r="BT167" s="16">
        <v>131.64060936000001</v>
      </c>
      <c r="BU167" s="18">
        <v>3920</v>
      </c>
      <c r="BV167" s="5">
        <v>617.08000000000004</v>
      </c>
      <c r="BW167" s="16">
        <v>168.06082189</v>
      </c>
    </row>
    <row r="168" spans="1:75" x14ac:dyDescent="0.2">
      <c r="A168" s="21" t="s">
        <v>204</v>
      </c>
      <c r="B168" s="10">
        <v>600</v>
      </c>
      <c r="C168" s="5">
        <v>115.5</v>
      </c>
      <c r="D168" s="5">
        <v>39.799999999999997</v>
      </c>
      <c r="E168" s="18">
        <v>600</v>
      </c>
      <c r="F168" s="5">
        <v>115.8</v>
      </c>
      <c r="G168" s="5">
        <v>39.9</v>
      </c>
      <c r="H168" s="18">
        <v>700</v>
      </c>
      <c r="I168" s="5">
        <v>134.9</v>
      </c>
      <c r="J168" s="16">
        <v>46.5</v>
      </c>
      <c r="K168" s="18">
        <v>940</v>
      </c>
      <c r="L168" s="5">
        <v>180.9</v>
      </c>
      <c r="M168" s="5">
        <v>62.3</v>
      </c>
      <c r="N168" s="18">
        <v>1030</v>
      </c>
      <c r="O168" s="5">
        <v>198.3</v>
      </c>
      <c r="P168" s="5">
        <v>68.3</v>
      </c>
      <c r="Q168" s="18">
        <v>1130</v>
      </c>
      <c r="R168" s="5">
        <v>217.5</v>
      </c>
      <c r="S168" s="5">
        <v>75</v>
      </c>
      <c r="T168" s="18">
        <v>1000</v>
      </c>
      <c r="U168" s="5">
        <v>192.5</v>
      </c>
      <c r="V168" s="5">
        <v>66.3</v>
      </c>
      <c r="W168" s="18">
        <v>1380</v>
      </c>
      <c r="X168" s="5">
        <v>265.5</v>
      </c>
      <c r="Y168" s="5">
        <v>91.5</v>
      </c>
      <c r="Z168" s="18">
        <v>1620</v>
      </c>
      <c r="AA168" s="5">
        <v>312.10000000000002</v>
      </c>
      <c r="AB168" s="16">
        <v>106.4</v>
      </c>
      <c r="AC168" s="21" t="s">
        <v>205</v>
      </c>
      <c r="AD168" s="10">
        <v>600</v>
      </c>
      <c r="AE168" s="5">
        <v>95.1</v>
      </c>
      <c r="AF168" s="16">
        <v>29.9</v>
      </c>
      <c r="AG168" s="10">
        <v>440</v>
      </c>
      <c r="AH168" s="5">
        <v>69.7</v>
      </c>
      <c r="AI168" s="16">
        <v>20.399999999999999</v>
      </c>
      <c r="AJ168" s="10">
        <v>740</v>
      </c>
      <c r="AK168" s="5">
        <v>117.3</v>
      </c>
      <c r="AL168" s="16">
        <v>32</v>
      </c>
      <c r="AM168" s="10">
        <v>950</v>
      </c>
      <c r="AN168" s="5">
        <v>150.6</v>
      </c>
      <c r="AO168" s="16">
        <v>41.1</v>
      </c>
      <c r="AP168" s="10">
        <v>1000</v>
      </c>
      <c r="AQ168" s="5">
        <v>158.5</v>
      </c>
      <c r="AR168" s="16">
        <v>43.2</v>
      </c>
      <c r="AS168" s="10">
        <v>1200</v>
      </c>
      <c r="AT168" s="5">
        <v>190.3</v>
      </c>
      <c r="AU168" s="16">
        <v>51.9</v>
      </c>
      <c r="AV168" s="10">
        <v>1290</v>
      </c>
      <c r="AW168" s="5">
        <v>204.3</v>
      </c>
      <c r="AX168" s="16">
        <v>55.6</v>
      </c>
      <c r="AY168" s="10">
        <v>1340</v>
      </c>
      <c r="AZ168" s="5">
        <v>212.1</v>
      </c>
      <c r="BA168" s="16">
        <v>57.4</v>
      </c>
      <c r="BB168" s="25">
        <v>1490</v>
      </c>
      <c r="BC168" s="26">
        <v>236.5</v>
      </c>
      <c r="BD168" s="27">
        <v>64.5</v>
      </c>
      <c r="BE168" s="65" t="s">
        <v>205</v>
      </c>
      <c r="BF168" s="18">
        <v>1630</v>
      </c>
      <c r="BG168" s="5">
        <v>257.87</v>
      </c>
      <c r="BH168" s="16">
        <v>70.323738250000005</v>
      </c>
      <c r="BI168" s="10">
        <v>1920</v>
      </c>
      <c r="BJ168" s="5">
        <v>304.5</v>
      </c>
      <c r="BK168" s="16">
        <v>83.033949400000012</v>
      </c>
      <c r="BL168" s="18">
        <v>2010</v>
      </c>
      <c r="BM168" s="5">
        <v>318.39999999999998</v>
      </c>
      <c r="BN168" s="16">
        <v>86.828548299999994</v>
      </c>
      <c r="BO168" s="18">
        <v>2600</v>
      </c>
      <c r="BP168" s="5">
        <v>411.62</v>
      </c>
      <c r="BQ168" s="16">
        <v>112.25300133</v>
      </c>
      <c r="BR168" s="18">
        <v>3020</v>
      </c>
      <c r="BS168" s="5">
        <v>478.97</v>
      </c>
      <c r="BT168" s="16">
        <v>130.62107096</v>
      </c>
      <c r="BU168" s="18">
        <v>3830</v>
      </c>
      <c r="BV168" s="5">
        <v>607.37</v>
      </c>
      <c r="BW168" s="16">
        <v>165.63720093999999</v>
      </c>
    </row>
    <row r="169" spans="1:75" x14ac:dyDescent="0.2">
      <c r="A169" s="21" t="s">
        <v>206</v>
      </c>
      <c r="B169" s="10">
        <v>500</v>
      </c>
      <c r="C169" s="5">
        <v>98.6</v>
      </c>
      <c r="D169" s="5">
        <v>34.1</v>
      </c>
      <c r="E169" s="18">
        <v>630</v>
      </c>
      <c r="F169" s="5">
        <v>124.3</v>
      </c>
      <c r="G169" s="5">
        <v>43</v>
      </c>
      <c r="H169" s="18">
        <v>940</v>
      </c>
      <c r="I169" s="5">
        <v>185.9</v>
      </c>
      <c r="J169" s="16">
        <v>64.3</v>
      </c>
      <c r="K169" s="18">
        <v>770</v>
      </c>
      <c r="L169" s="5">
        <v>152.5</v>
      </c>
      <c r="M169" s="5">
        <v>52.8</v>
      </c>
      <c r="N169" s="18">
        <v>820</v>
      </c>
      <c r="O169" s="5">
        <v>161.6</v>
      </c>
      <c r="P169" s="5">
        <v>55.9</v>
      </c>
      <c r="Q169" s="18">
        <v>1140</v>
      </c>
      <c r="R169" s="5">
        <v>225.1</v>
      </c>
      <c r="S169" s="5">
        <v>77.8</v>
      </c>
      <c r="T169" s="18">
        <v>1220</v>
      </c>
      <c r="U169" s="5">
        <v>241</v>
      </c>
      <c r="V169" s="5">
        <v>83.3</v>
      </c>
      <c r="W169" s="18">
        <v>1180</v>
      </c>
      <c r="X169" s="5">
        <v>233.1</v>
      </c>
      <c r="Y169" s="5">
        <v>80.599999999999994</v>
      </c>
      <c r="Z169" s="18">
        <v>1290</v>
      </c>
      <c r="AA169" s="5">
        <v>254.8</v>
      </c>
      <c r="AB169" s="16">
        <v>87.2</v>
      </c>
      <c r="AC169" s="21" t="s">
        <v>207</v>
      </c>
      <c r="AD169" s="10">
        <v>610</v>
      </c>
      <c r="AE169" s="5">
        <v>97.3</v>
      </c>
      <c r="AF169" s="16">
        <v>30.6</v>
      </c>
      <c r="AG169" s="10">
        <v>510</v>
      </c>
      <c r="AH169" s="5">
        <v>81.400000000000006</v>
      </c>
      <c r="AI169" s="16">
        <v>23.9</v>
      </c>
      <c r="AJ169" s="10">
        <v>860</v>
      </c>
      <c r="AK169" s="5">
        <v>137.1</v>
      </c>
      <c r="AL169" s="16">
        <v>37.4</v>
      </c>
      <c r="AM169" s="10">
        <v>1230</v>
      </c>
      <c r="AN169" s="5">
        <v>196.1</v>
      </c>
      <c r="AO169" s="16">
        <v>53.5</v>
      </c>
      <c r="AP169" s="10">
        <v>1310</v>
      </c>
      <c r="AQ169" s="5">
        <v>209</v>
      </c>
      <c r="AR169" s="16">
        <v>57.1</v>
      </c>
      <c r="AS169" s="10">
        <v>1290</v>
      </c>
      <c r="AT169" s="5">
        <v>205.8</v>
      </c>
      <c r="AU169" s="16">
        <v>56.2</v>
      </c>
      <c r="AV169" s="10">
        <v>1350</v>
      </c>
      <c r="AW169" s="5">
        <v>214.9</v>
      </c>
      <c r="AX169" s="16">
        <v>58.6</v>
      </c>
      <c r="AY169" s="10">
        <v>1500</v>
      </c>
      <c r="AZ169" s="5">
        <v>239.3</v>
      </c>
      <c r="BA169" s="16">
        <v>65.2</v>
      </c>
      <c r="BB169" s="25">
        <v>1500</v>
      </c>
      <c r="BC169" s="26">
        <v>239.8</v>
      </c>
      <c r="BD169" s="27">
        <v>65.5</v>
      </c>
      <c r="BE169" s="65" t="s">
        <v>207</v>
      </c>
      <c r="BF169" s="18">
        <v>1750</v>
      </c>
      <c r="BG169" s="5">
        <v>278.39</v>
      </c>
      <c r="BH169" s="16">
        <v>76.023377690000004</v>
      </c>
      <c r="BI169" s="10">
        <v>1980</v>
      </c>
      <c r="BJ169" s="5">
        <v>316.2</v>
      </c>
      <c r="BK169" s="16">
        <v>86.351374800000002</v>
      </c>
      <c r="BL169" s="18">
        <v>2080</v>
      </c>
      <c r="BM169" s="5">
        <v>331.6</v>
      </c>
      <c r="BN169" s="16">
        <v>90.559707900000006</v>
      </c>
      <c r="BO169" s="18">
        <v>2680</v>
      </c>
      <c r="BP169" s="5">
        <v>428.17</v>
      </c>
      <c r="BQ169" s="16">
        <v>116.92592231</v>
      </c>
      <c r="BR169" s="18">
        <v>3090</v>
      </c>
      <c r="BS169" s="5">
        <v>493.23</v>
      </c>
      <c r="BT169" s="16">
        <v>134.68960471</v>
      </c>
      <c r="BU169" s="18">
        <v>3760</v>
      </c>
      <c r="BV169" s="5">
        <v>600.12</v>
      </c>
      <c r="BW169" s="16">
        <v>163.88049722</v>
      </c>
    </row>
    <row r="170" spans="1:75" x14ac:dyDescent="0.2">
      <c r="A170" s="21" t="s">
        <v>208</v>
      </c>
      <c r="B170" s="2">
        <v>460</v>
      </c>
      <c r="C170" s="5">
        <v>93.1</v>
      </c>
      <c r="D170" s="5">
        <v>32.299999999999997</v>
      </c>
      <c r="E170" s="15">
        <v>600</v>
      </c>
      <c r="F170" s="5">
        <v>121.5</v>
      </c>
      <c r="G170" s="5">
        <v>42.2</v>
      </c>
      <c r="H170" s="15">
        <v>860</v>
      </c>
      <c r="I170" s="5">
        <v>174.2</v>
      </c>
      <c r="J170" s="16">
        <v>60.4</v>
      </c>
      <c r="K170" s="15">
        <v>890</v>
      </c>
      <c r="L170" s="5">
        <v>180.4</v>
      </c>
      <c r="M170" s="5">
        <v>62.6</v>
      </c>
      <c r="N170" s="15">
        <v>730</v>
      </c>
      <c r="O170" s="5">
        <v>147.9</v>
      </c>
      <c r="P170" s="5">
        <v>51.3</v>
      </c>
      <c r="Q170" s="18">
        <v>1230</v>
      </c>
      <c r="R170" s="5">
        <v>248.7</v>
      </c>
      <c r="S170" s="5">
        <v>86.3</v>
      </c>
      <c r="T170" s="18">
        <v>1110</v>
      </c>
      <c r="U170" s="5">
        <v>224.6</v>
      </c>
      <c r="V170" s="5">
        <v>77.900000000000006</v>
      </c>
      <c r="W170" s="18">
        <v>1110</v>
      </c>
      <c r="X170" s="5">
        <v>224.6</v>
      </c>
      <c r="Y170" s="5">
        <v>77.900000000000006</v>
      </c>
      <c r="Z170" s="18">
        <v>1480</v>
      </c>
      <c r="AA170" s="5">
        <v>300.10000000000002</v>
      </c>
      <c r="AB170" s="16">
        <v>103</v>
      </c>
      <c r="AC170" s="21" t="s">
        <v>209</v>
      </c>
      <c r="AD170" s="10">
        <v>720</v>
      </c>
      <c r="AE170" s="5">
        <v>115.5</v>
      </c>
      <c r="AF170" s="16">
        <v>36.4</v>
      </c>
      <c r="AG170" s="10">
        <v>730</v>
      </c>
      <c r="AH170" s="5">
        <v>117.1</v>
      </c>
      <c r="AI170" s="16">
        <v>34.5</v>
      </c>
      <c r="AJ170" s="10">
        <v>820</v>
      </c>
      <c r="AK170" s="5">
        <v>131.69999999999999</v>
      </c>
      <c r="AL170" s="16">
        <v>36</v>
      </c>
      <c r="AM170" s="10">
        <v>1070</v>
      </c>
      <c r="AN170" s="5">
        <v>171.8</v>
      </c>
      <c r="AO170" s="16">
        <v>47</v>
      </c>
      <c r="AP170" s="10">
        <v>980</v>
      </c>
      <c r="AQ170" s="5">
        <v>157.30000000000001</v>
      </c>
      <c r="AR170" s="16">
        <v>43</v>
      </c>
      <c r="AS170" s="10">
        <v>1050</v>
      </c>
      <c r="AT170" s="5">
        <v>168.5</v>
      </c>
      <c r="AU170" s="16">
        <v>46.1</v>
      </c>
      <c r="AV170" s="10">
        <v>1190</v>
      </c>
      <c r="AW170" s="5">
        <v>191.3</v>
      </c>
      <c r="AX170" s="16">
        <v>52.3</v>
      </c>
      <c r="AY170" s="10">
        <v>1310</v>
      </c>
      <c r="AZ170" s="5">
        <v>210.4</v>
      </c>
      <c r="BA170" s="16">
        <v>57.4</v>
      </c>
      <c r="BB170" s="25">
        <v>1430</v>
      </c>
      <c r="BC170" s="26">
        <v>230.1</v>
      </c>
      <c r="BD170" s="27">
        <v>62.9</v>
      </c>
      <c r="BE170" s="65" t="s">
        <v>209</v>
      </c>
      <c r="BF170" s="18">
        <v>1720</v>
      </c>
      <c r="BG170" s="5">
        <v>276.69</v>
      </c>
      <c r="BH170" s="16">
        <v>75.654259019999998</v>
      </c>
      <c r="BI170" s="10">
        <v>1920</v>
      </c>
      <c r="BJ170" s="5">
        <v>308.3</v>
      </c>
      <c r="BK170" s="16">
        <v>84.290753699999996</v>
      </c>
      <c r="BL170" s="18">
        <v>2130</v>
      </c>
      <c r="BM170" s="5">
        <v>341.5</v>
      </c>
      <c r="BN170" s="16">
        <v>93.3761078</v>
      </c>
      <c r="BO170" s="18">
        <v>2640</v>
      </c>
      <c r="BP170" s="5">
        <v>422.97</v>
      </c>
      <c r="BQ170" s="16">
        <v>115.64522553</v>
      </c>
      <c r="BR170" s="18">
        <v>3150</v>
      </c>
      <c r="BS170" s="5">
        <v>505.67</v>
      </c>
      <c r="BT170" s="16">
        <v>138.26033158000001</v>
      </c>
      <c r="BU170" s="18">
        <v>3970</v>
      </c>
      <c r="BV170" s="5">
        <v>637.27</v>
      </c>
      <c r="BW170" s="16">
        <v>174.24281123</v>
      </c>
    </row>
    <row r="171" spans="1:75" x14ac:dyDescent="0.2">
      <c r="A171" s="21" t="s">
        <v>210</v>
      </c>
      <c r="B171" s="10">
        <v>410</v>
      </c>
      <c r="C171" s="5">
        <v>85.2</v>
      </c>
      <c r="D171" s="5">
        <v>29.6</v>
      </c>
      <c r="E171" s="18">
        <v>460</v>
      </c>
      <c r="F171" s="5">
        <v>95.5</v>
      </c>
      <c r="G171" s="5">
        <v>33.200000000000003</v>
      </c>
      <c r="H171" s="18">
        <v>500</v>
      </c>
      <c r="I171" s="5">
        <v>103.8</v>
      </c>
      <c r="J171" s="16">
        <v>36.1</v>
      </c>
      <c r="K171" s="18">
        <v>750</v>
      </c>
      <c r="L171" s="5">
        <v>155.6</v>
      </c>
      <c r="M171" s="5">
        <v>54.1</v>
      </c>
      <c r="N171" s="18">
        <v>770</v>
      </c>
      <c r="O171" s="5">
        <v>160</v>
      </c>
      <c r="P171" s="5">
        <v>55.7</v>
      </c>
      <c r="Q171" s="18">
        <v>800</v>
      </c>
      <c r="R171" s="5">
        <v>166</v>
      </c>
      <c r="S171" s="5">
        <v>57.8</v>
      </c>
      <c r="T171" s="18">
        <v>960</v>
      </c>
      <c r="U171" s="5">
        <v>199.2</v>
      </c>
      <c r="V171" s="5">
        <v>69.3</v>
      </c>
      <c r="W171" s="18">
        <v>1200</v>
      </c>
      <c r="X171" s="5">
        <v>249.2</v>
      </c>
      <c r="Y171" s="5">
        <v>86.7</v>
      </c>
      <c r="Z171" s="18">
        <v>1290</v>
      </c>
      <c r="AA171" s="5">
        <v>267.5</v>
      </c>
      <c r="AB171" s="16">
        <v>92.1</v>
      </c>
      <c r="AC171" s="21" t="s">
        <v>211</v>
      </c>
      <c r="AD171" s="10">
        <v>540</v>
      </c>
      <c r="AE171" s="5">
        <v>87.2</v>
      </c>
      <c r="AF171" s="16">
        <v>27.5</v>
      </c>
      <c r="AG171" s="10">
        <v>930</v>
      </c>
      <c r="AH171" s="5">
        <v>150.19999999999999</v>
      </c>
      <c r="AI171" s="16">
        <v>44.2</v>
      </c>
      <c r="AJ171" s="10">
        <v>740</v>
      </c>
      <c r="AK171" s="5">
        <v>119.5</v>
      </c>
      <c r="AL171" s="16">
        <v>32.700000000000003</v>
      </c>
      <c r="AM171" s="10">
        <v>830</v>
      </c>
      <c r="AN171" s="5">
        <v>134.1</v>
      </c>
      <c r="AO171" s="16">
        <v>36.700000000000003</v>
      </c>
      <c r="AP171" s="10">
        <v>910</v>
      </c>
      <c r="AQ171" s="5">
        <v>146.9</v>
      </c>
      <c r="AR171" s="16">
        <v>40.200000000000003</v>
      </c>
      <c r="AS171" s="10">
        <v>1280</v>
      </c>
      <c r="AT171" s="5">
        <v>206.7</v>
      </c>
      <c r="AU171" s="16">
        <v>56.6</v>
      </c>
      <c r="AV171" s="10">
        <v>1130</v>
      </c>
      <c r="AW171" s="5">
        <v>182</v>
      </c>
      <c r="AX171" s="16">
        <v>49.7</v>
      </c>
      <c r="AY171" s="10">
        <v>1260</v>
      </c>
      <c r="AZ171" s="5">
        <v>204</v>
      </c>
      <c r="BA171" s="16">
        <v>55.6</v>
      </c>
      <c r="BB171" s="25">
        <v>1380</v>
      </c>
      <c r="BC171" s="26">
        <v>223.2</v>
      </c>
      <c r="BD171" s="27">
        <v>61.1</v>
      </c>
      <c r="BE171" s="65" t="s">
        <v>211</v>
      </c>
      <c r="BF171" s="18">
        <v>1540</v>
      </c>
      <c r="BG171" s="5">
        <v>248.38</v>
      </c>
      <c r="BH171" s="16">
        <v>68.000839819999996</v>
      </c>
      <c r="BI171" s="10">
        <v>1700</v>
      </c>
      <c r="BJ171" s="5">
        <v>275</v>
      </c>
      <c r="BK171" s="16">
        <v>75.288027599999992</v>
      </c>
      <c r="BL171" s="18">
        <v>2000</v>
      </c>
      <c r="BM171" s="5">
        <v>323.5</v>
      </c>
      <c r="BN171" s="16">
        <v>88.560549499999993</v>
      </c>
      <c r="BO171" s="18">
        <v>2370</v>
      </c>
      <c r="BP171" s="5">
        <v>382.9</v>
      </c>
      <c r="BQ171" s="16">
        <v>104.82946901000001</v>
      </c>
      <c r="BR171" s="18">
        <v>2960</v>
      </c>
      <c r="BS171" s="5">
        <v>478.37</v>
      </c>
      <c r="BT171" s="16">
        <v>130.96639403</v>
      </c>
      <c r="BU171" s="18">
        <v>3710</v>
      </c>
      <c r="BV171" s="5">
        <v>598.37</v>
      </c>
      <c r="BW171" s="16">
        <v>163.81909490999999</v>
      </c>
    </row>
    <row r="172" spans="1:75" x14ac:dyDescent="0.2">
      <c r="A172" s="21" t="s">
        <v>212</v>
      </c>
      <c r="B172" s="10">
        <v>280</v>
      </c>
      <c r="C172" s="5">
        <v>59.5</v>
      </c>
      <c r="D172" s="5">
        <v>20.7</v>
      </c>
      <c r="E172" s="18">
        <v>480</v>
      </c>
      <c r="F172" s="5">
        <v>102</v>
      </c>
      <c r="G172" s="5">
        <v>35.6</v>
      </c>
      <c r="H172" s="18">
        <v>710</v>
      </c>
      <c r="I172" s="5">
        <v>150.80000000000001</v>
      </c>
      <c r="J172" s="16">
        <v>52.6</v>
      </c>
      <c r="K172" s="18">
        <v>800</v>
      </c>
      <c r="L172" s="5">
        <v>170.2</v>
      </c>
      <c r="M172" s="5">
        <v>59.4</v>
      </c>
      <c r="N172" s="18">
        <v>690</v>
      </c>
      <c r="O172" s="5">
        <v>146.4</v>
      </c>
      <c r="P172" s="5">
        <v>51.1</v>
      </c>
      <c r="Q172" s="18">
        <v>1000</v>
      </c>
      <c r="R172" s="5">
        <v>212.7</v>
      </c>
      <c r="S172" s="5">
        <v>74.2</v>
      </c>
      <c r="T172" s="18">
        <v>960</v>
      </c>
      <c r="U172" s="5">
        <v>204.1</v>
      </c>
      <c r="V172" s="5">
        <v>71.2</v>
      </c>
      <c r="W172" s="18">
        <v>1180</v>
      </c>
      <c r="X172" s="5">
        <v>250.6</v>
      </c>
      <c r="Y172" s="5">
        <v>87.4</v>
      </c>
      <c r="Z172" s="18">
        <v>1130</v>
      </c>
      <c r="AA172" s="5">
        <v>240.4</v>
      </c>
      <c r="AB172" s="16">
        <v>83.1</v>
      </c>
      <c r="AC172" s="21" t="s">
        <v>213</v>
      </c>
      <c r="AD172" s="10">
        <v>510</v>
      </c>
      <c r="AE172" s="5">
        <v>82.9</v>
      </c>
      <c r="AF172" s="16">
        <v>26.2</v>
      </c>
      <c r="AG172" s="10">
        <v>570</v>
      </c>
      <c r="AH172" s="5">
        <v>92.6</v>
      </c>
      <c r="AI172" s="16">
        <v>27.3</v>
      </c>
      <c r="AJ172" s="10">
        <v>630</v>
      </c>
      <c r="AK172" s="5">
        <v>102.4</v>
      </c>
      <c r="AL172" s="16">
        <v>28.1</v>
      </c>
      <c r="AM172" s="10">
        <v>1060</v>
      </c>
      <c r="AN172" s="5">
        <v>172.3</v>
      </c>
      <c r="AO172" s="16">
        <v>47.2</v>
      </c>
      <c r="AP172" s="10">
        <v>990</v>
      </c>
      <c r="AQ172" s="5">
        <v>160.9</v>
      </c>
      <c r="AR172" s="16">
        <v>44.1</v>
      </c>
      <c r="AS172" s="10">
        <v>930</v>
      </c>
      <c r="AT172" s="5">
        <v>151.1</v>
      </c>
      <c r="AU172" s="16">
        <v>41.4</v>
      </c>
      <c r="AV172" s="10">
        <v>1150</v>
      </c>
      <c r="AW172" s="5">
        <v>186.4</v>
      </c>
      <c r="AX172" s="16">
        <v>51.1</v>
      </c>
      <c r="AY172" s="10">
        <v>1280</v>
      </c>
      <c r="AZ172" s="5">
        <v>207.2</v>
      </c>
      <c r="BA172" s="16">
        <v>56.7</v>
      </c>
      <c r="BB172" s="25">
        <v>1400</v>
      </c>
      <c r="BC172" s="26">
        <v>228.1</v>
      </c>
      <c r="BD172" s="27">
        <v>62.5</v>
      </c>
      <c r="BE172" s="65" t="s">
        <v>213</v>
      </c>
      <c r="BF172" s="18">
        <v>1550</v>
      </c>
      <c r="BG172" s="5">
        <v>252.03</v>
      </c>
      <c r="BH172" s="16">
        <v>69.088151999999994</v>
      </c>
      <c r="BI172" s="10">
        <v>1760</v>
      </c>
      <c r="BJ172" s="5">
        <v>286.60000000000002</v>
      </c>
      <c r="BK172" s="16">
        <v>78.574086299999991</v>
      </c>
      <c r="BL172" s="18">
        <v>1870</v>
      </c>
      <c r="BM172" s="5">
        <v>304.10000000000002</v>
      </c>
      <c r="BN172" s="16">
        <v>83.35283290000001</v>
      </c>
      <c r="BO172" s="18">
        <v>2360</v>
      </c>
      <c r="BP172" s="5">
        <v>382.99</v>
      </c>
      <c r="BQ172" s="16">
        <v>104.98660003000001</v>
      </c>
      <c r="BR172" s="18">
        <v>2900</v>
      </c>
      <c r="BS172" s="5">
        <v>471.74</v>
      </c>
      <c r="BT172" s="16">
        <v>129.31538916</v>
      </c>
      <c r="BU172" s="18">
        <v>3560</v>
      </c>
      <c r="BV172" s="5">
        <v>578</v>
      </c>
      <c r="BW172" s="16">
        <v>158.44153793999999</v>
      </c>
    </row>
    <row r="173" spans="1:75" x14ac:dyDescent="0.2">
      <c r="A173" s="21" t="s">
        <v>214</v>
      </c>
      <c r="B173" s="10">
        <v>580</v>
      </c>
      <c r="C173" s="5">
        <v>126</v>
      </c>
      <c r="D173" s="5">
        <v>44.1</v>
      </c>
      <c r="E173" s="18">
        <v>550</v>
      </c>
      <c r="F173" s="5">
        <v>119.6</v>
      </c>
      <c r="G173" s="5">
        <v>41.8</v>
      </c>
      <c r="H173" s="18">
        <v>450</v>
      </c>
      <c r="I173" s="5">
        <v>97.8</v>
      </c>
      <c r="J173" s="16">
        <v>34.200000000000003</v>
      </c>
      <c r="K173" s="18">
        <v>620</v>
      </c>
      <c r="L173" s="5">
        <v>134.9</v>
      </c>
      <c r="M173" s="5">
        <v>47.2</v>
      </c>
      <c r="N173" s="18">
        <v>620</v>
      </c>
      <c r="O173" s="5">
        <v>134.9</v>
      </c>
      <c r="P173" s="5">
        <v>47.2</v>
      </c>
      <c r="Q173" s="18">
        <v>620</v>
      </c>
      <c r="R173" s="5">
        <v>134.9</v>
      </c>
      <c r="S173" s="5">
        <v>47.2</v>
      </c>
      <c r="T173" s="18">
        <v>1160</v>
      </c>
      <c r="U173" s="5">
        <v>252.1</v>
      </c>
      <c r="V173" s="5">
        <v>88.2</v>
      </c>
      <c r="W173" s="18">
        <v>930</v>
      </c>
      <c r="X173" s="5">
        <v>202</v>
      </c>
      <c r="Y173" s="5">
        <v>70.7</v>
      </c>
      <c r="Z173" s="18">
        <v>940</v>
      </c>
      <c r="AA173" s="5">
        <v>204.4</v>
      </c>
      <c r="AB173" s="16">
        <v>70.8</v>
      </c>
      <c r="AC173" s="21" t="s">
        <v>215</v>
      </c>
      <c r="AD173" s="10">
        <v>430</v>
      </c>
      <c r="AE173" s="5">
        <v>70.3</v>
      </c>
      <c r="AF173" s="16">
        <v>22.2</v>
      </c>
      <c r="AG173" s="10">
        <v>460</v>
      </c>
      <c r="AH173" s="5">
        <v>75.3</v>
      </c>
      <c r="AI173" s="16">
        <v>22.2</v>
      </c>
      <c r="AJ173" s="10">
        <v>680</v>
      </c>
      <c r="AK173" s="5">
        <v>111.2</v>
      </c>
      <c r="AL173" s="16">
        <v>30.5</v>
      </c>
      <c r="AM173" s="10">
        <v>1120</v>
      </c>
      <c r="AN173" s="5">
        <v>183.1</v>
      </c>
      <c r="AO173" s="16">
        <v>50.3</v>
      </c>
      <c r="AP173" s="10">
        <v>1070</v>
      </c>
      <c r="AQ173" s="5">
        <v>174.9</v>
      </c>
      <c r="AR173" s="16">
        <v>48</v>
      </c>
      <c r="AS173" s="10">
        <v>770</v>
      </c>
      <c r="AT173" s="5">
        <v>125.9</v>
      </c>
      <c r="AU173" s="16">
        <v>34.6</v>
      </c>
      <c r="AV173" s="10">
        <v>1100</v>
      </c>
      <c r="AW173" s="5">
        <v>180.3</v>
      </c>
      <c r="AX173" s="16">
        <v>49.2</v>
      </c>
      <c r="AY173" s="10">
        <v>1240</v>
      </c>
      <c r="AZ173" s="5">
        <v>202.1</v>
      </c>
      <c r="BA173" s="16">
        <v>55.4</v>
      </c>
      <c r="BB173" s="25">
        <v>1290</v>
      </c>
      <c r="BC173" s="26">
        <v>210.9</v>
      </c>
      <c r="BD173" s="27">
        <v>57.9</v>
      </c>
      <c r="BE173" s="65" t="s">
        <v>215</v>
      </c>
      <c r="BF173" s="18">
        <v>1460</v>
      </c>
      <c r="BG173" s="5">
        <v>237.9</v>
      </c>
      <c r="BH173" s="16">
        <v>65.295201649999996</v>
      </c>
      <c r="BI173" s="10">
        <v>1700</v>
      </c>
      <c r="BJ173" s="5">
        <v>277.8</v>
      </c>
      <c r="BK173" s="16">
        <v>76.239709300000001</v>
      </c>
      <c r="BL173" s="18">
        <v>1810</v>
      </c>
      <c r="BM173" s="5">
        <v>296.39999999999998</v>
      </c>
      <c r="BN173" s="16">
        <v>81.353727599999999</v>
      </c>
      <c r="BO173" s="18">
        <v>2230</v>
      </c>
      <c r="BP173" s="5">
        <v>364.12</v>
      </c>
      <c r="BQ173" s="16">
        <v>99.938183749999993</v>
      </c>
      <c r="BR173" s="18">
        <v>2730</v>
      </c>
      <c r="BS173" s="5">
        <v>445.86</v>
      </c>
      <c r="BT173" s="16">
        <v>122.37388767</v>
      </c>
      <c r="BU173" s="18">
        <v>3550</v>
      </c>
      <c r="BV173" s="5">
        <v>580.59</v>
      </c>
      <c r="BW173" s="16">
        <v>159.35209788</v>
      </c>
    </row>
    <row r="174" spans="1:75" x14ac:dyDescent="0.2">
      <c r="A174" s="21" t="s">
        <v>216</v>
      </c>
      <c r="B174" s="10">
        <v>460</v>
      </c>
      <c r="C174" s="5">
        <v>102.4</v>
      </c>
      <c r="D174" s="5">
        <v>35.9</v>
      </c>
      <c r="E174" s="18">
        <v>500</v>
      </c>
      <c r="F174" s="5">
        <v>111.2</v>
      </c>
      <c r="G174" s="5">
        <v>39</v>
      </c>
      <c r="H174" s="18">
        <v>510</v>
      </c>
      <c r="I174" s="5">
        <v>113.3</v>
      </c>
      <c r="J174" s="16">
        <v>39.700000000000003</v>
      </c>
      <c r="K174" s="18">
        <v>550</v>
      </c>
      <c r="L174" s="5">
        <v>122.4</v>
      </c>
      <c r="M174" s="5">
        <v>42.9</v>
      </c>
      <c r="N174" s="18">
        <v>670</v>
      </c>
      <c r="O174" s="5">
        <v>149.19999999999999</v>
      </c>
      <c r="P174" s="5">
        <v>52.4</v>
      </c>
      <c r="Q174" s="18">
        <v>810</v>
      </c>
      <c r="R174" s="5">
        <v>180.4</v>
      </c>
      <c r="S174" s="5">
        <v>63.3</v>
      </c>
      <c r="T174" s="18">
        <v>760</v>
      </c>
      <c r="U174" s="5">
        <v>169.1</v>
      </c>
      <c r="V174" s="5">
        <v>59.3</v>
      </c>
      <c r="W174" s="18">
        <v>840</v>
      </c>
      <c r="X174" s="5">
        <v>187</v>
      </c>
      <c r="Y174" s="5">
        <v>65.599999999999994</v>
      </c>
      <c r="Z174" s="18">
        <v>820</v>
      </c>
      <c r="AA174" s="5">
        <v>182.5</v>
      </c>
      <c r="AB174" s="16">
        <v>63.4</v>
      </c>
      <c r="AC174" s="21" t="s">
        <v>217</v>
      </c>
      <c r="AD174" s="10">
        <v>780</v>
      </c>
      <c r="AE174" s="5">
        <v>128.4</v>
      </c>
      <c r="AF174" s="16">
        <v>40.6</v>
      </c>
      <c r="AG174" s="10">
        <v>640</v>
      </c>
      <c r="AH174" s="5">
        <v>105.3</v>
      </c>
      <c r="AI174" s="16">
        <v>31.1</v>
      </c>
      <c r="AJ174" s="10">
        <v>520</v>
      </c>
      <c r="AK174" s="5">
        <v>85.5</v>
      </c>
      <c r="AL174" s="16">
        <v>23.5</v>
      </c>
      <c r="AM174" s="10">
        <v>950</v>
      </c>
      <c r="AN174" s="5">
        <v>156.4</v>
      </c>
      <c r="AO174" s="16">
        <v>43</v>
      </c>
      <c r="AP174" s="10">
        <v>750</v>
      </c>
      <c r="AQ174" s="5">
        <v>123.4</v>
      </c>
      <c r="AR174" s="16">
        <v>33.9</v>
      </c>
      <c r="AS174" s="10">
        <v>1220</v>
      </c>
      <c r="AT174" s="5">
        <v>200.7</v>
      </c>
      <c r="AU174" s="16">
        <v>55.2</v>
      </c>
      <c r="AV174" s="10">
        <v>1140</v>
      </c>
      <c r="AW174" s="5">
        <v>188.2</v>
      </c>
      <c r="AX174" s="16">
        <v>51.5</v>
      </c>
      <c r="AY174" s="10">
        <v>1230</v>
      </c>
      <c r="AZ174" s="5">
        <v>202.7</v>
      </c>
      <c r="BA174" s="16">
        <v>55.7</v>
      </c>
      <c r="BB174" s="25">
        <v>1330</v>
      </c>
      <c r="BC174" s="26">
        <v>218.7</v>
      </c>
      <c r="BD174" s="27">
        <v>60.1</v>
      </c>
      <c r="BE174" s="65" t="s">
        <v>217</v>
      </c>
      <c r="BF174" s="18">
        <v>1540</v>
      </c>
      <c r="BG174" s="5">
        <v>253.35</v>
      </c>
      <c r="BH174" s="16">
        <v>69.620949890000006</v>
      </c>
      <c r="BI174" s="10">
        <v>1710</v>
      </c>
      <c r="BJ174" s="5">
        <v>280.5</v>
      </c>
      <c r="BK174" s="16">
        <v>77.074404200000004</v>
      </c>
      <c r="BL174" s="18">
        <v>1830</v>
      </c>
      <c r="BM174" s="5">
        <v>300.39999999999998</v>
      </c>
      <c r="BN174" s="16">
        <v>82.554775599999999</v>
      </c>
      <c r="BO174" s="18">
        <v>2320</v>
      </c>
      <c r="BP174" s="5">
        <v>382.3</v>
      </c>
      <c r="BQ174" s="16">
        <v>105.05854984</v>
      </c>
      <c r="BR174" s="18">
        <v>2730</v>
      </c>
      <c r="BS174" s="5">
        <v>448.46</v>
      </c>
      <c r="BT174" s="16">
        <v>123.23974112000001</v>
      </c>
      <c r="BU174" s="18">
        <v>3410</v>
      </c>
      <c r="BV174" s="5">
        <v>560.48</v>
      </c>
      <c r="BW174" s="16">
        <v>154.02280825</v>
      </c>
    </row>
    <row r="175" spans="1:75" x14ac:dyDescent="0.2">
      <c r="A175" s="21" t="s">
        <v>218</v>
      </c>
      <c r="B175" s="10">
        <v>310</v>
      </c>
      <c r="C175" s="5">
        <v>70.5</v>
      </c>
      <c r="D175" s="5">
        <v>24.8</v>
      </c>
      <c r="E175" s="18">
        <v>440</v>
      </c>
      <c r="F175" s="5">
        <v>100.1</v>
      </c>
      <c r="G175" s="5">
        <v>35.200000000000003</v>
      </c>
      <c r="H175" s="18">
        <v>380</v>
      </c>
      <c r="I175" s="5">
        <v>86.5</v>
      </c>
      <c r="J175" s="16">
        <v>30.4</v>
      </c>
      <c r="K175" s="18">
        <v>300</v>
      </c>
      <c r="L175" s="5">
        <v>68.3</v>
      </c>
      <c r="M175" s="5">
        <v>24</v>
      </c>
      <c r="N175" s="18">
        <v>530</v>
      </c>
      <c r="O175" s="5">
        <v>120.6</v>
      </c>
      <c r="P175" s="5">
        <v>42.4</v>
      </c>
      <c r="Q175" s="18">
        <v>860</v>
      </c>
      <c r="R175" s="5">
        <v>195.6</v>
      </c>
      <c r="S175" s="5">
        <v>68.8</v>
      </c>
      <c r="T175" s="18">
        <v>840</v>
      </c>
      <c r="U175" s="5">
        <v>191</v>
      </c>
      <c r="V175" s="5">
        <v>67.2</v>
      </c>
      <c r="W175" s="18">
        <v>930</v>
      </c>
      <c r="X175" s="5">
        <v>211.6</v>
      </c>
      <c r="Y175" s="5">
        <v>74.400000000000006</v>
      </c>
      <c r="Z175" s="18">
        <v>670</v>
      </c>
      <c r="AA175" s="5">
        <v>152.30000000000001</v>
      </c>
      <c r="AB175" s="16">
        <v>53</v>
      </c>
      <c r="AC175" s="21" t="s">
        <v>219</v>
      </c>
      <c r="AD175" s="10">
        <v>580</v>
      </c>
      <c r="AE175" s="5">
        <v>96</v>
      </c>
      <c r="AF175" s="16">
        <v>30.4</v>
      </c>
      <c r="AG175" s="10">
        <v>700</v>
      </c>
      <c r="AH175" s="5">
        <v>115.9</v>
      </c>
      <c r="AI175" s="16">
        <v>34.299999999999997</v>
      </c>
      <c r="AJ175" s="10">
        <v>710</v>
      </c>
      <c r="AK175" s="5">
        <v>117.5</v>
      </c>
      <c r="AL175" s="16">
        <v>32.299999999999997</v>
      </c>
      <c r="AM175" s="10">
        <v>550</v>
      </c>
      <c r="AN175" s="5">
        <v>91</v>
      </c>
      <c r="AO175" s="16">
        <v>25</v>
      </c>
      <c r="AP175" s="10">
        <v>760</v>
      </c>
      <c r="AQ175" s="5">
        <v>125.8</v>
      </c>
      <c r="AR175" s="16">
        <v>34.6</v>
      </c>
      <c r="AS175" s="10">
        <v>1350</v>
      </c>
      <c r="AT175" s="5">
        <v>223.5</v>
      </c>
      <c r="AU175" s="16">
        <v>61.5</v>
      </c>
      <c r="AV175" s="10">
        <v>1080</v>
      </c>
      <c r="AW175" s="5">
        <v>178.6</v>
      </c>
      <c r="AX175" s="16">
        <v>49</v>
      </c>
      <c r="AY175" s="10">
        <v>1190</v>
      </c>
      <c r="AZ175" s="5">
        <v>196.6</v>
      </c>
      <c r="BA175" s="16">
        <v>54</v>
      </c>
      <c r="BB175" s="25">
        <v>1230</v>
      </c>
      <c r="BC175" s="26">
        <v>202.9</v>
      </c>
      <c r="BD175" s="27">
        <v>55.8</v>
      </c>
      <c r="BE175" s="65" t="s">
        <v>219</v>
      </c>
      <c r="BF175" s="18">
        <v>1420</v>
      </c>
      <c r="BG175" s="5">
        <v>234.83</v>
      </c>
      <c r="BH175" s="16">
        <v>64.610483779999996</v>
      </c>
      <c r="BI175" s="10">
        <v>1650</v>
      </c>
      <c r="BJ175" s="5">
        <v>273.5</v>
      </c>
      <c r="BK175" s="16">
        <v>75.260767000000001</v>
      </c>
      <c r="BL175" s="18">
        <v>1790</v>
      </c>
      <c r="BM175" s="5">
        <v>296.39999999999998</v>
      </c>
      <c r="BN175" s="16">
        <v>81.540033199999996</v>
      </c>
      <c r="BO175" s="18">
        <v>2260</v>
      </c>
      <c r="BP175" s="5">
        <v>374.64</v>
      </c>
      <c r="BQ175" s="16">
        <v>103.07248786</v>
      </c>
      <c r="BR175" s="18">
        <v>2730</v>
      </c>
      <c r="BS175" s="5">
        <v>452.43</v>
      </c>
      <c r="BT175" s="16">
        <v>124.47634420999999</v>
      </c>
      <c r="BU175" s="18">
        <v>3550</v>
      </c>
      <c r="BV175" s="5">
        <v>586.65</v>
      </c>
      <c r="BW175" s="16">
        <v>161.40497228000001</v>
      </c>
    </row>
    <row r="176" spans="1:75" x14ac:dyDescent="0.2">
      <c r="A176" s="21" t="s">
        <v>220</v>
      </c>
      <c r="B176" s="10">
        <v>400</v>
      </c>
      <c r="C176" s="5">
        <v>93</v>
      </c>
      <c r="D176" s="5">
        <v>32.799999999999997</v>
      </c>
      <c r="E176" s="18">
        <v>470</v>
      </c>
      <c r="F176" s="5">
        <v>109.2</v>
      </c>
      <c r="G176" s="5">
        <v>38.5</v>
      </c>
      <c r="H176" s="18">
        <v>370</v>
      </c>
      <c r="I176" s="5">
        <v>86</v>
      </c>
      <c r="J176" s="16">
        <v>30.3</v>
      </c>
      <c r="K176" s="18">
        <v>460</v>
      </c>
      <c r="L176" s="5">
        <v>106.9</v>
      </c>
      <c r="M176" s="5">
        <v>37.700000000000003</v>
      </c>
      <c r="N176" s="18">
        <v>500</v>
      </c>
      <c r="O176" s="5">
        <v>116.3</v>
      </c>
      <c r="P176" s="5">
        <v>41</v>
      </c>
      <c r="Q176" s="18">
        <v>530</v>
      </c>
      <c r="R176" s="5">
        <v>123.2</v>
      </c>
      <c r="S176" s="5">
        <v>43.4</v>
      </c>
      <c r="T176" s="18">
        <v>780</v>
      </c>
      <c r="U176" s="5">
        <v>181.3</v>
      </c>
      <c r="V176" s="5">
        <v>63.9</v>
      </c>
      <c r="W176" s="18">
        <v>720</v>
      </c>
      <c r="X176" s="5">
        <v>167</v>
      </c>
      <c r="Y176" s="5">
        <v>58.9</v>
      </c>
      <c r="Z176" s="18">
        <v>880</v>
      </c>
      <c r="AA176" s="5">
        <v>204.6</v>
      </c>
      <c r="AB176" s="16">
        <v>71.5</v>
      </c>
      <c r="AC176" s="21" t="s">
        <v>221</v>
      </c>
      <c r="AD176" s="10">
        <v>580</v>
      </c>
      <c r="AE176" s="5">
        <v>96.6</v>
      </c>
      <c r="AF176" s="16">
        <v>30.6</v>
      </c>
      <c r="AG176" s="10">
        <v>570</v>
      </c>
      <c r="AH176" s="5">
        <v>94.9</v>
      </c>
      <c r="AI176" s="16">
        <v>28.1</v>
      </c>
      <c r="AJ176" s="10">
        <v>550</v>
      </c>
      <c r="AK176" s="5">
        <v>91.6</v>
      </c>
      <c r="AL176" s="16">
        <v>25.2</v>
      </c>
      <c r="AM176" s="10">
        <v>950</v>
      </c>
      <c r="AN176" s="5">
        <v>158.1</v>
      </c>
      <c r="AO176" s="16">
        <v>43.6</v>
      </c>
      <c r="AP176" s="10">
        <v>720</v>
      </c>
      <c r="AQ176" s="5">
        <v>119.8</v>
      </c>
      <c r="AR176" s="16">
        <v>33</v>
      </c>
      <c r="AS176" s="10">
        <v>930</v>
      </c>
      <c r="AT176" s="5">
        <v>154.80000000000001</v>
      </c>
      <c r="AU176" s="16">
        <v>42.7</v>
      </c>
      <c r="AV176" s="10">
        <v>1080</v>
      </c>
      <c r="AW176" s="5">
        <v>180</v>
      </c>
      <c r="AX176" s="16">
        <v>49.6</v>
      </c>
      <c r="AY176" s="10">
        <v>1180</v>
      </c>
      <c r="AZ176" s="5">
        <v>196.7</v>
      </c>
      <c r="BA176" s="16">
        <v>54.1</v>
      </c>
      <c r="BB176" s="25">
        <v>1220</v>
      </c>
      <c r="BC176" s="26">
        <v>202.6</v>
      </c>
      <c r="BD176" s="27">
        <v>55.8</v>
      </c>
      <c r="BE176" s="65" t="s">
        <v>221</v>
      </c>
      <c r="BF176" s="18">
        <v>1390</v>
      </c>
      <c r="BG176" s="5">
        <v>230.79</v>
      </c>
      <c r="BH176" s="16">
        <v>63.574410350000001</v>
      </c>
      <c r="BI176" s="10">
        <v>1600</v>
      </c>
      <c r="BJ176" s="5">
        <v>266.2</v>
      </c>
      <c r="BK176" s="16">
        <v>73.33017670000001</v>
      </c>
      <c r="BL176" s="18">
        <v>1680</v>
      </c>
      <c r="BM176" s="5">
        <v>279.7</v>
      </c>
      <c r="BN176" s="16">
        <v>77.0531261</v>
      </c>
      <c r="BO176" s="18">
        <v>2250</v>
      </c>
      <c r="BP176" s="5">
        <v>374.61</v>
      </c>
      <c r="BQ176" s="16">
        <v>103.1911427</v>
      </c>
      <c r="BR176" s="18">
        <v>2630</v>
      </c>
      <c r="BS176" s="5">
        <v>437.04</v>
      </c>
      <c r="BT176" s="16">
        <v>120.38872904999999</v>
      </c>
      <c r="BU176" s="18">
        <v>3280</v>
      </c>
      <c r="BV176" s="5">
        <v>546.62</v>
      </c>
      <c r="BW176" s="16">
        <v>150.57373472999998</v>
      </c>
    </row>
    <row r="177" spans="1:75" x14ac:dyDescent="0.2">
      <c r="A177" s="21" t="s">
        <v>222</v>
      </c>
      <c r="B177" s="10">
        <v>320</v>
      </c>
      <c r="C177" s="5">
        <v>75.900000000000006</v>
      </c>
      <c r="D177" s="5">
        <v>26.8</v>
      </c>
      <c r="E177" s="18">
        <v>320</v>
      </c>
      <c r="F177" s="5">
        <v>75.900000000000006</v>
      </c>
      <c r="G177" s="5">
        <v>26.8</v>
      </c>
      <c r="H177" s="18">
        <v>480</v>
      </c>
      <c r="I177" s="5">
        <v>113.6</v>
      </c>
      <c r="J177" s="16">
        <v>40.1</v>
      </c>
      <c r="K177" s="18">
        <v>450</v>
      </c>
      <c r="L177" s="5">
        <v>106.9</v>
      </c>
      <c r="M177" s="5">
        <v>37.799999999999997</v>
      </c>
      <c r="N177" s="18">
        <v>380</v>
      </c>
      <c r="O177" s="5">
        <v>90.3</v>
      </c>
      <c r="P177" s="5">
        <v>31.9</v>
      </c>
      <c r="Q177" s="18">
        <v>480</v>
      </c>
      <c r="R177" s="5">
        <v>113.9</v>
      </c>
      <c r="S177" s="5">
        <v>40.200000000000003</v>
      </c>
      <c r="T177" s="18">
        <v>680</v>
      </c>
      <c r="U177" s="5">
        <v>161.69999999999999</v>
      </c>
      <c r="V177" s="5">
        <v>57.1</v>
      </c>
      <c r="W177" s="18">
        <v>760</v>
      </c>
      <c r="X177" s="5">
        <v>180.5</v>
      </c>
      <c r="Y177" s="5">
        <v>63.8</v>
      </c>
      <c r="Z177" s="18">
        <v>840</v>
      </c>
      <c r="AA177" s="5">
        <v>199.8</v>
      </c>
      <c r="AB177" s="16">
        <v>70</v>
      </c>
      <c r="AC177" s="21" t="s">
        <v>223</v>
      </c>
      <c r="AD177" s="10">
        <v>580</v>
      </c>
      <c r="AE177" s="5">
        <v>97.2</v>
      </c>
      <c r="AF177" s="16">
        <v>30.9</v>
      </c>
      <c r="AG177" s="10">
        <v>730</v>
      </c>
      <c r="AH177" s="5">
        <v>122.3</v>
      </c>
      <c r="AI177" s="16">
        <v>36.299999999999997</v>
      </c>
      <c r="AJ177" s="10">
        <v>780</v>
      </c>
      <c r="AK177" s="5">
        <v>130.6</v>
      </c>
      <c r="AL177" s="16">
        <v>36</v>
      </c>
      <c r="AM177" s="10">
        <v>860</v>
      </c>
      <c r="AN177" s="5">
        <v>144</v>
      </c>
      <c r="AO177" s="16">
        <v>39.700000000000003</v>
      </c>
      <c r="AP177" s="10">
        <v>940</v>
      </c>
      <c r="AQ177" s="5">
        <v>157.4</v>
      </c>
      <c r="AR177" s="16">
        <v>43.4</v>
      </c>
      <c r="AS177" s="10">
        <v>760</v>
      </c>
      <c r="AT177" s="5">
        <v>127.3</v>
      </c>
      <c r="AU177" s="16">
        <v>35.1</v>
      </c>
      <c r="AV177" s="10">
        <v>1090</v>
      </c>
      <c r="AW177" s="5">
        <v>181.9</v>
      </c>
      <c r="AX177" s="16">
        <v>50.1</v>
      </c>
      <c r="AY177" s="10">
        <v>1140</v>
      </c>
      <c r="AZ177" s="5">
        <v>191</v>
      </c>
      <c r="BA177" s="16">
        <v>52.6</v>
      </c>
      <c r="BB177" s="25">
        <v>1310</v>
      </c>
      <c r="BC177" s="26">
        <v>219.8</v>
      </c>
      <c r="BD177" s="27">
        <v>60.6</v>
      </c>
      <c r="BE177" s="65" t="s">
        <v>223</v>
      </c>
      <c r="BF177" s="18">
        <v>1310</v>
      </c>
      <c r="BG177" s="5">
        <v>219.43</v>
      </c>
      <c r="BH177" s="16">
        <v>60.516930509999995</v>
      </c>
      <c r="BI177" s="10">
        <v>1460</v>
      </c>
      <c r="BJ177" s="5">
        <v>244.7</v>
      </c>
      <c r="BK177" s="16">
        <v>67.490481200000005</v>
      </c>
      <c r="BL177" s="18">
        <v>1660</v>
      </c>
      <c r="BM177" s="5">
        <v>278.2</v>
      </c>
      <c r="BN177" s="16">
        <v>76.722276099999988</v>
      </c>
      <c r="BO177" s="18">
        <v>2140</v>
      </c>
      <c r="BP177" s="5">
        <v>357.95</v>
      </c>
      <c r="BQ177" s="16">
        <v>98.720996470000003</v>
      </c>
      <c r="BR177" s="18">
        <v>2550</v>
      </c>
      <c r="BS177" s="5">
        <v>426.58</v>
      </c>
      <c r="BT177" s="16">
        <v>117.64421859000001</v>
      </c>
      <c r="BU177" s="18">
        <v>3170</v>
      </c>
      <c r="BV177" s="5">
        <v>530.82000000000005</v>
      </c>
      <c r="BW177" s="16">
        <v>146.39742285</v>
      </c>
    </row>
    <row r="178" spans="1:75" x14ac:dyDescent="0.2">
      <c r="A178" s="21" t="s">
        <v>224</v>
      </c>
      <c r="B178" s="10">
        <v>410</v>
      </c>
      <c r="C178" s="5">
        <v>99.3</v>
      </c>
      <c r="D178" s="5">
        <v>35.1</v>
      </c>
      <c r="E178" s="18">
        <v>390</v>
      </c>
      <c r="F178" s="5">
        <v>94.6</v>
      </c>
      <c r="G178" s="5">
        <v>33.5</v>
      </c>
      <c r="H178" s="18">
        <v>450</v>
      </c>
      <c r="I178" s="5">
        <v>109</v>
      </c>
      <c r="J178" s="16">
        <v>38.6</v>
      </c>
      <c r="K178" s="18">
        <v>460</v>
      </c>
      <c r="L178" s="5">
        <v>111.7</v>
      </c>
      <c r="M178" s="5">
        <v>39.5</v>
      </c>
      <c r="N178" s="18">
        <v>430</v>
      </c>
      <c r="O178" s="5">
        <v>104.3</v>
      </c>
      <c r="P178" s="5">
        <v>36.9</v>
      </c>
      <c r="Q178" s="18">
        <v>450</v>
      </c>
      <c r="R178" s="5">
        <v>109.3</v>
      </c>
      <c r="S178" s="5">
        <v>38.700000000000003</v>
      </c>
      <c r="T178" s="18">
        <v>490</v>
      </c>
      <c r="U178" s="5">
        <v>118.8</v>
      </c>
      <c r="V178" s="5">
        <v>42.1</v>
      </c>
      <c r="W178" s="18">
        <v>720</v>
      </c>
      <c r="X178" s="5">
        <v>174.8</v>
      </c>
      <c r="Y178" s="5">
        <v>61.9</v>
      </c>
      <c r="Z178" s="18">
        <v>850</v>
      </c>
      <c r="AA178" s="5">
        <v>206</v>
      </c>
      <c r="AB178" s="16">
        <v>72.3</v>
      </c>
      <c r="AC178" s="21" t="s">
        <v>225</v>
      </c>
      <c r="AD178" s="10">
        <v>410</v>
      </c>
      <c r="AE178" s="5">
        <v>69.099999999999994</v>
      </c>
      <c r="AF178" s="16">
        <v>22</v>
      </c>
      <c r="AG178" s="10">
        <v>640</v>
      </c>
      <c r="AH178" s="5">
        <v>107.9</v>
      </c>
      <c r="AI178" s="16">
        <v>32.1</v>
      </c>
      <c r="AJ178" s="10">
        <v>600</v>
      </c>
      <c r="AK178" s="5">
        <v>101.1</v>
      </c>
      <c r="AL178" s="16">
        <v>27.9</v>
      </c>
      <c r="AM178" s="10">
        <v>720</v>
      </c>
      <c r="AN178" s="5">
        <v>121.3</v>
      </c>
      <c r="AO178" s="16">
        <v>33.5</v>
      </c>
      <c r="AP178" s="10">
        <v>1160</v>
      </c>
      <c r="AQ178" s="5">
        <v>195.4</v>
      </c>
      <c r="AR178" s="16">
        <v>54</v>
      </c>
      <c r="AS178" s="10">
        <v>850</v>
      </c>
      <c r="AT178" s="5">
        <v>143.19999999999999</v>
      </c>
      <c r="AU178" s="16">
        <v>39.6</v>
      </c>
      <c r="AV178" s="10">
        <v>1050</v>
      </c>
      <c r="AW178" s="5">
        <v>176.9</v>
      </c>
      <c r="AX178" s="16">
        <v>48.7</v>
      </c>
      <c r="AY178" s="10">
        <v>1080</v>
      </c>
      <c r="AZ178" s="5">
        <v>182.6</v>
      </c>
      <c r="BA178" s="16">
        <v>50.4</v>
      </c>
      <c r="BB178" s="25">
        <v>1230</v>
      </c>
      <c r="BC178" s="26">
        <v>206.9</v>
      </c>
      <c r="BD178" s="27">
        <v>57.1</v>
      </c>
      <c r="BE178" s="65" t="s">
        <v>225</v>
      </c>
      <c r="BF178" s="18">
        <v>1390</v>
      </c>
      <c r="BG178" s="5">
        <v>234.88</v>
      </c>
      <c r="BH178" s="16">
        <v>64.851829080000002</v>
      </c>
      <c r="BI178" s="10">
        <v>1500</v>
      </c>
      <c r="BJ178" s="5">
        <v>252.4</v>
      </c>
      <c r="BK178" s="16">
        <v>69.689625200000009</v>
      </c>
      <c r="BL178" s="18">
        <v>1650</v>
      </c>
      <c r="BM178" s="5">
        <v>277.7</v>
      </c>
      <c r="BN178" s="16">
        <v>76.675446900000011</v>
      </c>
      <c r="BO178" s="18">
        <v>2060</v>
      </c>
      <c r="BP178" s="5">
        <v>347.77</v>
      </c>
      <c r="BQ178" s="16">
        <v>96.02351702</v>
      </c>
      <c r="BR178" s="18">
        <v>2460</v>
      </c>
      <c r="BS178" s="5">
        <v>414.99</v>
      </c>
      <c r="BT178" s="16">
        <v>114.58271504000001</v>
      </c>
      <c r="BU178" s="18">
        <v>3210</v>
      </c>
      <c r="BV178" s="5">
        <v>540.87</v>
      </c>
      <c r="BW178" s="16">
        <v>149.33912784999998</v>
      </c>
    </row>
    <row r="179" spans="1:75" x14ac:dyDescent="0.2">
      <c r="A179" s="21" t="s">
        <v>226</v>
      </c>
      <c r="B179" s="10">
        <v>240</v>
      </c>
      <c r="C179" s="5">
        <v>59.4</v>
      </c>
      <c r="D179" s="5">
        <v>21.1</v>
      </c>
      <c r="E179" s="18">
        <v>360</v>
      </c>
      <c r="F179" s="5">
        <v>89.2</v>
      </c>
      <c r="G179" s="5">
        <v>31.7</v>
      </c>
      <c r="H179" s="18">
        <v>300</v>
      </c>
      <c r="I179" s="5">
        <v>74.2</v>
      </c>
      <c r="J179" s="16">
        <v>26.3</v>
      </c>
      <c r="K179" s="18">
        <v>360</v>
      </c>
      <c r="L179" s="5">
        <v>89</v>
      </c>
      <c r="M179" s="5">
        <v>31.6</v>
      </c>
      <c r="N179" s="18">
        <v>360</v>
      </c>
      <c r="O179" s="5">
        <v>89.1</v>
      </c>
      <c r="P179" s="5">
        <v>31.6</v>
      </c>
      <c r="Q179" s="18">
        <v>590</v>
      </c>
      <c r="R179" s="5">
        <v>146.19999999999999</v>
      </c>
      <c r="S179" s="5">
        <v>51.8</v>
      </c>
      <c r="T179" s="18">
        <v>610</v>
      </c>
      <c r="U179" s="5">
        <v>150.80000000000001</v>
      </c>
      <c r="V179" s="5">
        <v>53.5</v>
      </c>
      <c r="W179" s="18">
        <v>610</v>
      </c>
      <c r="X179" s="5">
        <v>151.19999999999999</v>
      </c>
      <c r="Y179" s="5">
        <v>53.6</v>
      </c>
      <c r="Z179" s="18">
        <v>680</v>
      </c>
      <c r="AA179" s="5">
        <v>168.4</v>
      </c>
      <c r="AB179" s="16">
        <v>59.3</v>
      </c>
      <c r="AC179" s="21" t="s">
        <v>227</v>
      </c>
      <c r="AD179" s="10">
        <v>350</v>
      </c>
      <c r="AE179" s="5">
        <v>59.3</v>
      </c>
      <c r="AF179" s="16">
        <v>18.899999999999999</v>
      </c>
      <c r="AG179" s="10">
        <v>550</v>
      </c>
      <c r="AH179" s="5">
        <v>93.2</v>
      </c>
      <c r="AI179" s="16">
        <v>27.7</v>
      </c>
      <c r="AJ179" s="10">
        <v>650</v>
      </c>
      <c r="AK179" s="5">
        <v>110.2</v>
      </c>
      <c r="AL179" s="16">
        <v>30.5</v>
      </c>
      <c r="AM179" s="10">
        <v>930</v>
      </c>
      <c r="AN179" s="5">
        <v>157.6</v>
      </c>
      <c r="AO179" s="16">
        <v>43.6</v>
      </c>
      <c r="AP179" s="10">
        <v>970</v>
      </c>
      <c r="AQ179" s="5">
        <v>164.5</v>
      </c>
      <c r="AR179" s="16">
        <v>45.5</v>
      </c>
      <c r="AS179" s="10">
        <v>950</v>
      </c>
      <c r="AT179" s="5">
        <v>161.1</v>
      </c>
      <c r="AU179" s="16">
        <v>44.5</v>
      </c>
      <c r="AV179" s="10">
        <v>1080</v>
      </c>
      <c r="AW179" s="5">
        <v>183.3</v>
      </c>
      <c r="AX179" s="16">
        <v>50.6</v>
      </c>
      <c r="AY179" s="10">
        <v>1190</v>
      </c>
      <c r="AZ179" s="5">
        <v>201.8</v>
      </c>
      <c r="BA179" s="16">
        <v>55.6</v>
      </c>
      <c r="BB179" s="25">
        <v>1270</v>
      </c>
      <c r="BC179" s="26">
        <v>215.6</v>
      </c>
      <c r="BD179" s="27">
        <v>59.6</v>
      </c>
      <c r="BE179" s="65" t="s">
        <v>227</v>
      </c>
      <c r="BF179" s="18">
        <v>1370</v>
      </c>
      <c r="BG179" s="5">
        <v>232.43</v>
      </c>
      <c r="BH179" s="16">
        <v>64.252325689999992</v>
      </c>
      <c r="BI179" s="10">
        <v>1550</v>
      </c>
      <c r="BJ179" s="5">
        <v>262.60000000000002</v>
      </c>
      <c r="BK179" s="16">
        <v>72.599482599999988</v>
      </c>
      <c r="BL179" s="18">
        <v>1720</v>
      </c>
      <c r="BM179" s="5">
        <v>291.39999999999998</v>
      </c>
      <c r="BN179" s="16">
        <v>80.553572500000001</v>
      </c>
      <c r="BO179" s="18">
        <v>2200</v>
      </c>
      <c r="BP179" s="5">
        <v>372.8</v>
      </c>
      <c r="BQ179" s="16">
        <v>103.05586787</v>
      </c>
      <c r="BR179" s="18">
        <v>2600</v>
      </c>
      <c r="BS179" s="5">
        <v>441.43</v>
      </c>
      <c r="BT179" s="16">
        <v>122.02643117</v>
      </c>
      <c r="BU179" s="18">
        <v>3190</v>
      </c>
      <c r="BV179" s="5">
        <v>541.45000000000005</v>
      </c>
      <c r="BW179" s="16">
        <v>149.67659677</v>
      </c>
    </row>
    <row r="180" spans="1:75" x14ac:dyDescent="0.2">
      <c r="A180" s="44" t="s">
        <v>228</v>
      </c>
      <c r="B180" s="8">
        <v>5470</v>
      </c>
      <c r="C180" s="8">
        <v>2353.3000000000002</v>
      </c>
      <c r="D180" s="8">
        <v>870.1</v>
      </c>
      <c r="E180" s="19">
        <v>6600</v>
      </c>
      <c r="F180" s="8">
        <v>2982.6</v>
      </c>
      <c r="G180" s="8">
        <v>1105.5</v>
      </c>
      <c r="H180" s="19">
        <v>6800</v>
      </c>
      <c r="I180" s="8">
        <v>3151.3</v>
      </c>
      <c r="J180" s="17">
        <v>1169.9000000000001</v>
      </c>
      <c r="K180" s="19">
        <v>7980</v>
      </c>
      <c r="L180" s="8">
        <v>4131.2</v>
      </c>
      <c r="M180" s="8">
        <v>1541.5</v>
      </c>
      <c r="N180" s="19">
        <v>9150</v>
      </c>
      <c r="O180" s="8">
        <v>5272.1</v>
      </c>
      <c r="P180" s="8">
        <v>1976.2</v>
      </c>
      <c r="Q180" s="19">
        <v>10120</v>
      </c>
      <c r="R180" s="8">
        <v>4988</v>
      </c>
      <c r="S180" s="8">
        <v>1857</v>
      </c>
      <c r="T180" s="19">
        <v>11550</v>
      </c>
      <c r="U180" s="8">
        <v>5349</v>
      </c>
      <c r="V180" s="8">
        <v>1985.1</v>
      </c>
      <c r="W180" s="19">
        <v>13240</v>
      </c>
      <c r="X180" s="8">
        <v>5996.1</v>
      </c>
      <c r="Y180" s="8">
        <v>2222.9</v>
      </c>
      <c r="Z180" s="19">
        <v>13270</v>
      </c>
      <c r="AA180" s="8">
        <v>6559.5</v>
      </c>
      <c r="AB180" s="17">
        <v>2432.6999999999998</v>
      </c>
      <c r="AC180" s="21" t="s">
        <v>229</v>
      </c>
      <c r="AD180" s="10">
        <v>430</v>
      </c>
      <c r="AE180" s="5">
        <v>73.3</v>
      </c>
      <c r="AF180" s="16">
        <v>23.3</v>
      </c>
      <c r="AG180" s="10">
        <v>690</v>
      </c>
      <c r="AH180" s="5">
        <v>117.6</v>
      </c>
      <c r="AI180" s="16">
        <v>35</v>
      </c>
      <c r="AJ180" s="10">
        <v>640</v>
      </c>
      <c r="AK180" s="5">
        <v>109.2</v>
      </c>
      <c r="AL180" s="16">
        <v>30.2</v>
      </c>
      <c r="AM180" s="10">
        <v>710</v>
      </c>
      <c r="AN180" s="5">
        <v>121</v>
      </c>
      <c r="AO180" s="16">
        <v>33.5</v>
      </c>
      <c r="AP180" s="10">
        <v>570</v>
      </c>
      <c r="AQ180" s="5">
        <v>97.2</v>
      </c>
      <c r="AR180" s="16">
        <v>26.9</v>
      </c>
      <c r="AS180" s="10">
        <v>770</v>
      </c>
      <c r="AT180" s="5">
        <v>131.19999999999999</v>
      </c>
      <c r="AU180" s="16">
        <v>36.299999999999997</v>
      </c>
      <c r="AV180" s="10">
        <v>970</v>
      </c>
      <c r="AW180" s="5">
        <v>164.9</v>
      </c>
      <c r="AX180" s="16">
        <v>45.4</v>
      </c>
      <c r="AY180" s="10">
        <v>1090</v>
      </c>
      <c r="AZ180" s="5">
        <v>186</v>
      </c>
      <c r="BA180" s="16">
        <v>51.4</v>
      </c>
      <c r="BB180" s="25">
        <v>1230</v>
      </c>
      <c r="BC180" s="26">
        <v>209.4</v>
      </c>
      <c r="BD180" s="27">
        <v>57.9</v>
      </c>
      <c r="BE180" s="65" t="s">
        <v>229</v>
      </c>
      <c r="BF180" s="18">
        <v>1330</v>
      </c>
      <c r="BG180" s="5">
        <v>225.91</v>
      </c>
      <c r="BH180" s="16">
        <v>62.520566439999996</v>
      </c>
      <c r="BI180" s="10">
        <v>1480</v>
      </c>
      <c r="BJ180" s="5">
        <v>252.7</v>
      </c>
      <c r="BK180" s="16">
        <v>69.919749499999995</v>
      </c>
      <c r="BL180" s="18">
        <v>1630</v>
      </c>
      <c r="BM180" s="5">
        <v>277</v>
      </c>
      <c r="BN180" s="16">
        <v>76.659314699999996</v>
      </c>
      <c r="BO180" s="18">
        <v>2380</v>
      </c>
      <c r="BP180" s="5">
        <v>405.36</v>
      </c>
      <c r="BQ180" s="16">
        <v>112.17575282999999</v>
      </c>
      <c r="BR180" s="18">
        <v>2690</v>
      </c>
      <c r="BS180" s="5">
        <v>459.23</v>
      </c>
      <c r="BT180" s="16">
        <v>127.08513169</v>
      </c>
      <c r="BU180" s="18">
        <v>3220</v>
      </c>
      <c r="BV180" s="5">
        <v>549.45000000000005</v>
      </c>
      <c r="BW180" s="16">
        <v>152.05213372</v>
      </c>
    </row>
    <row r="181" spans="1:75" x14ac:dyDescent="0.2">
      <c r="B181" s="10"/>
      <c r="C181" s="5"/>
      <c r="D181" s="5"/>
      <c r="E181" s="10"/>
      <c r="F181" s="5"/>
      <c r="G181" s="5"/>
      <c r="H181" s="10"/>
      <c r="I181" s="5"/>
      <c r="J181" s="5"/>
      <c r="K181" s="10"/>
      <c r="L181" s="5"/>
      <c r="M181" s="5"/>
      <c r="N181" s="10"/>
      <c r="O181" s="5"/>
      <c r="P181" s="5"/>
      <c r="Q181" s="10"/>
      <c r="R181" s="5"/>
      <c r="S181" s="5"/>
      <c r="T181" s="10"/>
      <c r="U181" s="5"/>
      <c r="V181" s="5"/>
      <c r="W181" s="10"/>
      <c r="X181" s="5"/>
      <c r="Y181" s="5"/>
      <c r="Z181" s="10"/>
      <c r="AA181" s="5"/>
      <c r="AB181" s="5"/>
      <c r="AC181" s="21" t="s">
        <v>230</v>
      </c>
      <c r="AD181" s="10">
        <v>540</v>
      </c>
      <c r="AE181" s="5">
        <v>92.6</v>
      </c>
      <c r="AF181" s="16">
        <v>29.5</v>
      </c>
      <c r="AG181" s="10">
        <v>610</v>
      </c>
      <c r="AH181" s="5">
        <v>104.6</v>
      </c>
      <c r="AI181" s="16">
        <v>31.2</v>
      </c>
      <c r="AJ181" s="10">
        <v>690</v>
      </c>
      <c r="AK181" s="5">
        <v>118.3</v>
      </c>
      <c r="AL181" s="16">
        <v>32.799999999999997</v>
      </c>
      <c r="AM181" s="10">
        <v>630</v>
      </c>
      <c r="AN181" s="5">
        <v>108</v>
      </c>
      <c r="AO181" s="16">
        <v>29.9</v>
      </c>
      <c r="AP181" s="10">
        <v>750</v>
      </c>
      <c r="AQ181" s="5">
        <v>128.6</v>
      </c>
      <c r="AR181" s="16">
        <v>35.6</v>
      </c>
      <c r="AS181" s="10">
        <v>1040</v>
      </c>
      <c r="AT181" s="5">
        <v>178.4</v>
      </c>
      <c r="AU181" s="16">
        <v>49.4</v>
      </c>
      <c r="AV181" s="10">
        <v>1020</v>
      </c>
      <c r="AW181" s="5">
        <v>174.1</v>
      </c>
      <c r="AX181" s="16">
        <v>48.1</v>
      </c>
      <c r="AY181" s="10">
        <v>1040</v>
      </c>
      <c r="AZ181" s="5">
        <v>177.9</v>
      </c>
      <c r="BA181" s="16">
        <v>49.1</v>
      </c>
      <c r="BB181" s="25">
        <v>1080</v>
      </c>
      <c r="BC181" s="26">
        <v>185.7</v>
      </c>
      <c r="BD181" s="27">
        <v>51.5</v>
      </c>
      <c r="BE181" s="65" t="s">
        <v>230</v>
      </c>
      <c r="BF181" s="18">
        <v>1250</v>
      </c>
      <c r="BG181" s="5">
        <v>214.71</v>
      </c>
      <c r="BH181" s="16">
        <v>59.485524590000004</v>
      </c>
      <c r="BI181" s="10">
        <v>1430</v>
      </c>
      <c r="BJ181" s="5">
        <v>244.6</v>
      </c>
      <c r="BK181" s="16">
        <v>67.759641700000003</v>
      </c>
      <c r="BL181" s="18">
        <v>1540</v>
      </c>
      <c r="BM181" s="5">
        <v>263.3</v>
      </c>
      <c r="BN181" s="16">
        <v>72.938474900000003</v>
      </c>
      <c r="BO181" s="18">
        <v>2010</v>
      </c>
      <c r="BP181" s="5">
        <v>344.53</v>
      </c>
      <c r="BQ181" s="16">
        <v>95.454342230000009</v>
      </c>
      <c r="BR181" s="18">
        <v>2570</v>
      </c>
      <c r="BS181" s="5">
        <v>439.88</v>
      </c>
      <c r="BT181" s="16">
        <v>121.87101504</v>
      </c>
      <c r="BU181" s="18">
        <v>2980</v>
      </c>
      <c r="BV181" s="5">
        <v>511.4</v>
      </c>
      <c r="BW181" s="16">
        <v>141.68536434000001</v>
      </c>
    </row>
    <row r="182" spans="1:75" x14ac:dyDescent="0.2">
      <c r="A182" s="3" t="s">
        <v>231</v>
      </c>
      <c r="B182" s="6">
        <f>SUM(B9:B180)</f>
        <v>3012100</v>
      </c>
      <c r="C182" s="6">
        <f t="shared" ref="C182:AB182" si="0">SUM(C9:C180)</f>
        <v>74084.826516099973</v>
      </c>
      <c r="D182" s="6">
        <f t="shared" si="0"/>
        <v>16491.226640499994</v>
      </c>
      <c r="E182" s="6">
        <f t="shared" si="0"/>
        <v>3076090</v>
      </c>
      <c r="F182" s="6">
        <f t="shared" si="0"/>
        <v>79229.585020000013</v>
      </c>
      <c r="G182" s="6">
        <f t="shared" si="0"/>
        <v>17780.061261699986</v>
      </c>
      <c r="H182" s="6">
        <f t="shared" si="0"/>
        <v>3130660</v>
      </c>
      <c r="I182" s="6">
        <f t="shared" si="0"/>
        <v>82746.60000000002</v>
      </c>
      <c r="J182" s="6">
        <f t="shared" si="0"/>
        <v>18653.8</v>
      </c>
      <c r="K182" s="6">
        <f t="shared" si="0"/>
        <v>3191500</v>
      </c>
      <c r="L182" s="6">
        <f t="shared" si="0"/>
        <v>88990.499999999913</v>
      </c>
      <c r="M182" s="6">
        <f t="shared" si="0"/>
        <v>20420.700000000023</v>
      </c>
      <c r="N182" s="6">
        <f t="shared" si="0"/>
        <v>3266280</v>
      </c>
      <c r="O182" s="6">
        <f t="shared" si="0"/>
        <v>95187.000000000029</v>
      </c>
      <c r="P182" s="6">
        <f t="shared" si="0"/>
        <v>22195.500000000007</v>
      </c>
      <c r="Q182" s="6">
        <f t="shared" si="0"/>
        <v>3336210</v>
      </c>
      <c r="R182" s="6">
        <f t="shared" si="0"/>
        <v>100188.79999999993</v>
      </c>
      <c r="S182" s="6">
        <f t="shared" si="0"/>
        <v>23542.499999999996</v>
      </c>
      <c r="T182" s="6">
        <f t="shared" si="0"/>
        <v>3366670</v>
      </c>
      <c r="U182" s="6">
        <f t="shared" si="0"/>
        <v>106085.50000000004</v>
      </c>
      <c r="V182" s="6">
        <f t="shared" si="0"/>
        <v>25192.100000000002</v>
      </c>
      <c r="W182" s="6">
        <f t="shared" si="0"/>
        <v>3425160</v>
      </c>
      <c r="X182" s="6">
        <f t="shared" si="0"/>
        <v>113195.99999999993</v>
      </c>
      <c r="Y182" s="6">
        <f t="shared" si="0"/>
        <v>27221.500000000029</v>
      </c>
      <c r="Z182" s="6">
        <f t="shared" si="0"/>
        <v>3444960</v>
      </c>
      <c r="AA182" s="6">
        <f t="shared" si="0"/>
        <v>118173.59999999998</v>
      </c>
      <c r="AB182" s="6">
        <f t="shared" si="0"/>
        <v>27637.999999999993</v>
      </c>
      <c r="AC182" s="21" t="s">
        <v>232</v>
      </c>
      <c r="AD182" s="10">
        <v>320</v>
      </c>
      <c r="AE182" s="5">
        <v>55.2</v>
      </c>
      <c r="AF182" s="16">
        <v>17.600000000000001</v>
      </c>
      <c r="AG182" s="10">
        <v>510</v>
      </c>
      <c r="AH182" s="5">
        <v>87.9</v>
      </c>
      <c r="AI182" s="16">
        <v>26.2</v>
      </c>
      <c r="AJ182" s="10">
        <v>650</v>
      </c>
      <c r="AK182" s="5">
        <v>112.1</v>
      </c>
      <c r="AL182" s="16">
        <v>31.1</v>
      </c>
      <c r="AM182" s="10">
        <v>900</v>
      </c>
      <c r="AN182" s="5">
        <v>155.19999999999999</v>
      </c>
      <c r="AO182" s="16">
        <v>43.1</v>
      </c>
      <c r="AP182" s="10">
        <v>1140</v>
      </c>
      <c r="AQ182" s="5">
        <v>196.6</v>
      </c>
      <c r="AR182" s="16">
        <v>54.5</v>
      </c>
      <c r="AS182" s="10">
        <v>850</v>
      </c>
      <c r="AT182" s="5">
        <v>146.6</v>
      </c>
      <c r="AU182" s="16">
        <v>40.700000000000003</v>
      </c>
      <c r="AV182" s="10">
        <v>960</v>
      </c>
      <c r="AW182" s="5">
        <v>165.3</v>
      </c>
      <c r="AX182" s="16">
        <v>45.7</v>
      </c>
      <c r="AY182" s="10">
        <v>1020</v>
      </c>
      <c r="AZ182" s="5">
        <v>176.5</v>
      </c>
      <c r="BA182" s="16">
        <v>48.8</v>
      </c>
      <c r="BB182" s="25">
        <v>1050</v>
      </c>
      <c r="BC182" s="26">
        <v>181</v>
      </c>
      <c r="BD182" s="27">
        <v>50.2</v>
      </c>
      <c r="BE182" s="65" t="s">
        <v>232</v>
      </c>
      <c r="BF182" s="18">
        <v>1220</v>
      </c>
      <c r="BG182" s="5">
        <v>210.79</v>
      </c>
      <c r="BH182" s="16">
        <v>58.465575979999997</v>
      </c>
      <c r="BI182" s="10">
        <v>1350</v>
      </c>
      <c r="BJ182" s="5">
        <v>232.4</v>
      </c>
      <c r="BK182" s="16">
        <v>64.454315800000003</v>
      </c>
      <c r="BL182" s="18">
        <v>1580</v>
      </c>
      <c r="BM182" s="5">
        <v>272.39999999999998</v>
      </c>
      <c r="BN182" s="16">
        <v>75.548557700000003</v>
      </c>
      <c r="BO182" s="18">
        <v>2070</v>
      </c>
      <c r="BP182" s="5">
        <v>356.37</v>
      </c>
      <c r="BQ182" s="16">
        <v>98.844199669999995</v>
      </c>
      <c r="BR182" s="18">
        <v>2500</v>
      </c>
      <c r="BS182" s="5">
        <v>430.53</v>
      </c>
      <c r="BT182" s="16">
        <v>119.40991098000001</v>
      </c>
      <c r="BU182" s="18">
        <v>3060</v>
      </c>
      <c r="BV182" s="5">
        <v>528.54999999999995</v>
      </c>
      <c r="BW182" s="16">
        <v>146.59946538999998</v>
      </c>
    </row>
    <row r="183" spans="1:75" x14ac:dyDescent="0.2">
      <c r="B183" s="6"/>
      <c r="C183" s="6"/>
      <c r="D183" s="6"/>
      <c r="E183" s="6"/>
      <c r="F183" s="6"/>
      <c r="G183" s="6"/>
      <c r="H183" s="6"/>
      <c r="I183" s="6"/>
      <c r="J183" s="6"/>
      <c r="K183" s="6"/>
      <c r="L183" s="6"/>
      <c r="M183" s="6"/>
      <c r="N183" s="6"/>
      <c r="O183" s="6"/>
      <c r="P183" s="6"/>
      <c r="Q183" s="6"/>
      <c r="R183" s="6"/>
      <c r="S183" s="6"/>
      <c r="T183" s="6"/>
      <c r="U183" s="6"/>
      <c r="V183" s="6"/>
      <c r="AC183" s="21" t="s">
        <v>233</v>
      </c>
      <c r="AD183" s="10">
        <v>440</v>
      </c>
      <c r="AE183" s="5">
        <v>76.3</v>
      </c>
      <c r="AF183" s="16">
        <v>24.4</v>
      </c>
      <c r="AG183" s="10">
        <v>580</v>
      </c>
      <c r="AH183" s="5">
        <v>100.6</v>
      </c>
      <c r="AI183" s="16">
        <v>30</v>
      </c>
      <c r="AJ183" s="10">
        <v>440</v>
      </c>
      <c r="AK183" s="5">
        <v>76.400000000000006</v>
      </c>
      <c r="AL183" s="16">
        <v>21.2</v>
      </c>
      <c r="AM183" s="10">
        <v>970</v>
      </c>
      <c r="AN183" s="5">
        <v>168.3</v>
      </c>
      <c r="AO183" s="16">
        <v>46.7</v>
      </c>
      <c r="AP183" s="10">
        <v>1020</v>
      </c>
      <c r="AQ183" s="5">
        <v>177</v>
      </c>
      <c r="AR183" s="16">
        <v>49.1</v>
      </c>
      <c r="AS183" s="10">
        <v>650</v>
      </c>
      <c r="AT183" s="5">
        <v>112.8</v>
      </c>
      <c r="AU183" s="16">
        <v>31.3</v>
      </c>
      <c r="AV183" s="10">
        <v>890</v>
      </c>
      <c r="AW183" s="5">
        <v>154.9</v>
      </c>
      <c r="AX183" s="16">
        <v>42.9</v>
      </c>
      <c r="AY183" s="10">
        <v>990</v>
      </c>
      <c r="AZ183" s="5">
        <v>171.9</v>
      </c>
      <c r="BA183" s="16">
        <v>47.4</v>
      </c>
      <c r="BB183" s="25">
        <v>1080</v>
      </c>
      <c r="BC183" s="26">
        <v>187.5</v>
      </c>
      <c r="BD183" s="27">
        <v>52.1</v>
      </c>
      <c r="BE183" s="65" t="s">
        <v>233</v>
      </c>
      <c r="BF183" s="18">
        <v>1230</v>
      </c>
      <c r="BG183" s="5">
        <v>213.42</v>
      </c>
      <c r="BH183" s="16">
        <v>59.260868299999998</v>
      </c>
      <c r="BI183" s="10">
        <v>1380</v>
      </c>
      <c r="BJ183" s="5">
        <v>239.6</v>
      </c>
      <c r="BK183" s="16">
        <v>66.530378200000001</v>
      </c>
      <c r="BL183" s="18">
        <v>1520</v>
      </c>
      <c r="BM183" s="5">
        <v>262.8</v>
      </c>
      <c r="BN183" s="16">
        <v>72.982278500000007</v>
      </c>
      <c r="BO183" s="18">
        <v>2060</v>
      </c>
      <c r="BP183" s="5">
        <v>358.12</v>
      </c>
      <c r="BQ183" s="16">
        <v>99.437380849999997</v>
      </c>
      <c r="BR183" s="18">
        <v>2300</v>
      </c>
      <c r="BS183" s="5">
        <v>398.49</v>
      </c>
      <c r="BT183" s="16">
        <v>110.64656486</v>
      </c>
      <c r="BU183" s="18">
        <v>2950</v>
      </c>
      <c r="BV183" s="5">
        <v>511.47</v>
      </c>
      <c r="BW183" s="16">
        <v>142.01582408000002</v>
      </c>
    </row>
    <row r="184" spans="1:75" x14ac:dyDescent="0.2">
      <c r="AC184" s="21" t="s">
        <v>234</v>
      </c>
      <c r="AD184" s="10">
        <v>550</v>
      </c>
      <c r="AE184" s="5">
        <v>95.9</v>
      </c>
      <c r="AF184" s="16">
        <v>30.7</v>
      </c>
      <c r="AG184" s="10">
        <v>410</v>
      </c>
      <c r="AH184" s="5">
        <v>71.5</v>
      </c>
      <c r="AI184" s="16">
        <v>21.4</v>
      </c>
      <c r="AJ184" s="10">
        <v>620</v>
      </c>
      <c r="AK184" s="5">
        <v>108.2</v>
      </c>
      <c r="AL184" s="16">
        <v>30.1</v>
      </c>
      <c r="AM184" s="10">
        <v>920</v>
      </c>
      <c r="AN184" s="5">
        <v>160.6</v>
      </c>
      <c r="AO184" s="16">
        <v>44.6</v>
      </c>
      <c r="AP184" s="10">
        <v>760</v>
      </c>
      <c r="AQ184" s="5">
        <v>132.69999999999999</v>
      </c>
      <c r="AR184" s="16">
        <v>36.9</v>
      </c>
      <c r="AS184" s="10">
        <v>940</v>
      </c>
      <c r="AT184" s="5">
        <v>164.1</v>
      </c>
      <c r="AU184" s="16">
        <v>45.6</v>
      </c>
      <c r="AV184" s="10">
        <v>990</v>
      </c>
      <c r="AW184" s="5">
        <v>173</v>
      </c>
      <c r="AX184" s="16">
        <v>48</v>
      </c>
      <c r="AY184" s="10">
        <v>1100</v>
      </c>
      <c r="AZ184" s="5">
        <v>192.4</v>
      </c>
      <c r="BA184" s="16">
        <v>53.4</v>
      </c>
      <c r="BB184" s="25">
        <v>1160</v>
      </c>
      <c r="BC184" s="26">
        <v>201.6</v>
      </c>
      <c r="BD184" s="27">
        <v>56</v>
      </c>
      <c r="BE184" s="65" t="s">
        <v>234</v>
      </c>
      <c r="BF184" s="18">
        <v>1160</v>
      </c>
      <c r="BG184" s="5">
        <v>202.8</v>
      </c>
      <c r="BH184" s="16">
        <v>56.371764249999998</v>
      </c>
      <c r="BI184" s="10">
        <v>1410</v>
      </c>
      <c r="BJ184" s="5">
        <v>246.3</v>
      </c>
      <c r="BK184" s="16">
        <v>68.456543699999997</v>
      </c>
      <c r="BL184" s="18">
        <v>1530</v>
      </c>
      <c r="BM184" s="5">
        <v>267</v>
      </c>
      <c r="BN184" s="16">
        <v>74.224192500000001</v>
      </c>
      <c r="BO184" s="18">
        <v>2140</v>
      </c>
      <c r="BP184" s="5">
        <v>373.84</v>
      </c>
      <c r="BQ184" s="16">
        <v>103.91655612999999</v>
      </c>
      <c r="BR184" s="18">
        <v>2560</v>
      </c>
      <c r="BS184" s="5">
        <v>446.97</v>
      </c>
      <c r="BT184" s="16">
        <v>124.24715944</v>
      </c>
      <c r="BU184" s="18">
        <v>3120</v>
      </c>
      <c r="BV184" s="5">
        <v>545</v>
      </c>
      <c r="BW184" s="16">
        <v>151.49419025</v>
      </c>
    </row>
    <row r="185" spans="1:75" x14ac:dyDescent="0.2">
      <c r="AC185" s="21" t="s">
        <v>235</v>
      </c>
      <c r="AD185" s="10">
        <v>500</v>
      </c>
      <c r="AE185" s="5">
        <v>87.8</v>
      </c>
      <c r="AF185" s="16">
        <v>28.1</v>
      </c>
      <c r="AG185" s="10">
        <v>520</v>
      </c>
      <c r="AH185" s="5">
        <v>91.3</v>
      </c>
      <c r="AI185" s="16">
        <v>27.3</v>
      </c>
      <c r="AJ185" s="10">
        <v>470</v>
      </c>
      <c r="AK185" s="5">
        <v>82.5</v>
      </c>
      <c r="AL185" s="16">
        <v>22.9</v>
      </c>
      <c r="AM185" s="10">
        <v>870</v>
      </c>
      <c r="AN185" s="5">
        <v>152.69999999999999</v>
      </c>
      <c r="AO185" s="16">
        <v>42.5</v>
      </c>
      <c r="AP185" s="10">
        <v>770</v>
      </c>
      <c r="AQ185" s="5">
        <v>135.19999999999999</v>
      </c>
      <c r="AR185" s="16">
        <v>37.6</v>
      </c>
      <c r="AS185" s="10">
        <v>820</v>
      </c>
      <c r="AT185" s="5">
        <v>143.9</v>
      </c>
      <c r="AU185" s="16">
        <v>40</v>
      </c>
      <c r="AV185" s="10">
        <v>910</v>
      </c>
      <c r="AW185" s="5">
        <v>159.9</v>
      </c>
      <c r="AX185" s="16">
        <v>44.3</v>
      </c>
      <c r="AY185" s="10">
        <v>1000</v>
      </c>
      <c r="AZ185" s="5">
        <v>175.1</v>
      </c>
      <c r="BA185" s="16">
        <v>48.7</v>
      </c>
      <c r="BB185" s="25">
        <v>1050</v>
      </c>
      <c r="BC185" s="26">
        <v>184.6</v>
      </c>
      <c r="BD185" s="27">
        <v>51.4</v>
      </c>
      <c r="BE185" s="65" t="s">
        <v>235</v>
      </c>
      <c r="BF185" s="18">
        <v>1190</v>
      </c>
      <c r="BG185" s="5">
        <v>208.84</v>
      </c>
      <c r="BH185" s="16">
        <v>58.11110558</v>
      </c>
      <c r="BI185" s="10">
        <v>1400</v>
      </c>
      <c r="BJ185" s="5">
        <v>245.3</v>
      </c>
      <c r="BK185" s="16">
        <v>68.268687900000003</v>
      </c>
      <c r="BL185" s="18">
        <v>1520</v>
      </c>
      <c r="BM185" s="5">
        <v>266.39999999999998</v>
      </c>
      <c r="BN185" s="16">
        <v>74.122520499999993</v>
      </c>
      <c r="BO185" s="18">
        <v>2280</v>
      </c>
      <c r="BP185" s="5">
        <v>400.77</v>
      </c>
      <c r="BQ185" s="16">
        <v>111.51560187999999</v>
      </c>
      <c r="BR185" s="18">
        <v>2690</v>
      </c>
      <c r="BS185" s="5">
        <v>471.12</v>
      </c>
      <c r="BT185" s="16">
        <v>131.08999793999999</v>
      </c>
      <c r="BU185" s="18">
        <v>3240</v>
      </c>
      <c r="BV185" s="5">
        <v>567.83000000000004</v>
      </c>
      <c r="BW185" s="16">
        <v>158.00056305000001</v>
      </c>
    </row>
    <row r="186" spans="1:75" x14ac:dyDescent="0.2">
      <c r="AC186" s="21" t="s">
        <v>236</v>
      </c>
      <c r="AD186" s="10">
        <v>390</v>
      </c>
      <c r="AE186" s="5">
        <v>68.8</v>
      </c>
      <c r="AF186" s="16">
        <v>22.1</v>
      </c>
      <c r="AG186" s="10">
        <v>420</v>
      </c>
      <c r="AH186" s="5">
        <v>74.2</v>
      </c>
      <c r="AI186" s="16">
        <v>22.2</v>
      </c>
      <c r="AJ186" s="10">
        <v>530</v>
      </c>
      <c r="AK186" s="5">
        <v>93.6</v>
      </c>
      <c r="AL186" s="16">
        <v>26.1</v>
      </c>
      <c r="AM186" s="10">
        <v>790</v>
      </c>
      <c r="AN186" s="5">
        <v>139.4</v>
      </c>
      <c r="AO186" s="16">
        <v>38.799999999999997</v>
      </c>
      <c r="AP186" s="10">
        <v>800</v>
      </c>
      <c r="AQ186" s="5">
        <v>141.19999999999999</v>
      </c>
      <c r="AR186" s="16">
        <v>39.299999999999997</v>
      </c>
      <c r="AS186" s="10">
        <v>890</v>
      </c>
      <c r="AT186" s="5">
        <v>157</v>
      </c>
      <c r="AU186" s="16">
        <v>43.7</v>
      </c>
      <c r="AV186" s="10">
        <v>910</v>
      </c>
      <c r="AW186" s="5">
        <v>160.80000000000001</v>
      </c>
      <c r="AX186" s="16">
        <v>44.7</v>
      </c>
      <c r="AY186" s="10">
        <v>980</v>
      </c>
      <c r="AZ186" s="5">
        <v>173</v>
      </c>
      <c r="BA186" s="16">
        <v>48</v>
      </c>
      <c r="BB186" s="25">
        <v>1100</v>
      </c>
      <c r="BC186" s="26">
        <v>193.4</v>
      </c>
      <c r="BD186" s="27">
        <v>53.9</v>
      </c>
      <c r="BE186" s="65" t="s">
        <v>236</v>
      </c>
      <c r="BF186" s="18">
        <v>1130</v>
      </c>
      <c r="BG186" s="5">
        <v>200.15</v>
      </c>
      <c r="BH186" s="16">
        <v>55.75306887</v>
      </c>
      <c r="BI186" s="10">
        <v>1260</v>
      </c>
      <c r="BJ186" s="5">
        <v>223.1</v>
      </c>
      <c r="BK186" s="16">
        <v>62.145315700000005</v>
      </c>
      <c r="BL186" s="18">
        <v>1490</v>
      </c>
      <c r="BM186" s="5">
        <v>262.5</v>
      </c>
      <c r="BN186" s="16">
        <v>73.107878299999996</v>
      </c>
      <c r="BO186" s="18">
        <v>2100</v>
      </c>
      <c r="BP186" s="5">
        <v>369.94</v>
      </c>
      <c r="BQ186" s="16">
        <v>103.04772586</v>
      </c>
      <c r="BR186" s="18">
        <v>2500</v>
      </c>
      <c r="BS186" s="5">
        <v>441.41</v>
      </c>
      <c r="BT186" s="16">
        <v>122.95635920000001</v>
      </c>
      <c r="BU186" s="18">
        <v>3170</v>
      </c>
      <c r="BV186" s="5">
        <v>560.03</v>
      </c>
      <c r="BW186" s="16">
        <v>155.99858032</v>
      </c>
    </row>
    <row r="187" spans="1:75" x14ac:dyDescent="0.2">
      <c r="AC187" s="21" t="s">
        <v>237</v>
      </c>
      <c r="AD187" s="10">
        <v>560</v>
      </c>
      <c r="AE187" s="5">
        <v>99.4</v>
      </c>
      <c r="AF187" s="16">
        <v>31.9</v>
      </c>
      <c r="AG187" s="10">
        <v>460</v>
      </c>
      <c r="AH187" s="5">
        <v>81.7</v>
      </c>
      <c r="AI187" s="16">
        <v>24.5</v>
      </c>
      <c r="AJ187" s="10">
        <v>830</v>
      </c>
      <c r="AK187" s="5">
        <v>147.30000000000001</v>
      </c>
      <c r="AL187" s="16">
        <v>41.1</v>
      </c>
      <c r="AM187" s="10">
        <v>520</v>
      </c>
      <c r="AN187" s="5">
        <v>92.3</v>
      </c>
      <c r="AO187" s="16">
        <v>25.7</v>
      </c>
      <c r="AP187" s="10">
        <v>610</v>
      </c>
      <c r="AQ187" s="5">
        <v>108.3</v>
      </c>
      <c r="AR187" s="16">
        <v>30.2</v>
      </c>
      <c r="AS187" s="10">
        <v>940</v>
      </c>
      <c r="AT187" s="5">
        <v>167</v>
      </c>
      <c r="AU187" s="16">
        <v>46.6</v>
      </c>
      <c r="AV187" s="10">
        <v>930</v>
      </c>
      <c r="AW187" s="5">
        <v>165.1</v>
      </c>
      <c r="AX187" s="16">
        <v>45.8</v>
      </c>
      <c r="AY187" s="10">
        <v>980</v>
      </c>
      <c r="AZ187" s="5">
        <v>174.2</v>
      </c>
      <c r="BA187" s="16">
        <v>48.4</v>
      </c>
      <c r="BB187" s="25">
        <v>1080</v>
      </c>
      <c r="BC187" s="26">
        <v>190.8</v>
      </c>
      <c r="BD187" s="27">
        <v>53.2</v>
      </c>
      <c r="BE187" s="65" t="s">
        <v>237</v>
      </c>
      <c r="BF187" s="18">
        <v>1080</v>
      </c>
      <c r="BG187" s="5">
        <v>191.7</v>
      </c>
      <c r="BH187" s="16">
        <v>53.453143990000001</v>
      </c>
      <c r="BI187" s="10">
        <v>1280</v>
      </c>
      <c r="BJ187" s="5">
        <v>227.4</v>
      </c>
      <c r="BK187" s="16">
        <v>63.404600100000003</v>
      </c>
      <c r="BL187" s="18">
        <v>1440</v>
      </c>
      <c r="BM187" s="5">
        <v>255.6</v>
      </c>
      <c r="BN187" s="16">
        <v>71.276843200000002</v>
      </c>
      <c r="BO187" s="18">
        <v>2110</v>
      </c>
      <c r="BP187" s="5">
        <v>375.24</v>
      </c>
      <c r="BQ187" s="16">
        <v>104.63380006</v>
      </c>
      <c r="BR187" s="18">
        <v>2480</v>
      </c>
      <c r="BS187" s="5">
        <v>440.21</v>
      </c>
      <c r="BT187" s="16">
        <v>122.75130865999999</v>
      </c>
      <c r="BU187" s="18">
        <v>3150</v>
      </c>
      <c r="BV187" s="5">
        <v>559.69000000000005</v>
      </c>
      <c r="BW187" s="16">
        <v>156.06882716999999</v>
      </c>
    </row>
    <row r="188" spans="1:75" x14ac:dyDescent="0.2">
      <c r="AC188" s="21" t="s">
        <v>238</v>
      </c>
      <c r="AD188" s="10">
        <v>440</v>
      </c>
      <c r="AE188" s="5">
        <v>78.5</v>
      </c>
      <c r="AF188" s="16">
        <v>25.2</v>
      </c>
      <c r="AG188" s="10">
        <v>250</v>
      </c>
      <c r="AH188" s="5">
        <v>44.6</v>
      </c>
      <c r="AI188" s="16">
        <v>13.4</v>
      </c>
      <c r="AJ188" s="10">
        <v>830</v>
      </c>
      <c r="AK188" s="5">
        <v>148.1</v>
      </c>
      <c r="AL188" s="16">
        <v>41.4</v>
      </c>
      <c r="AM188" s="10">
        <v>570</v>
      </c>
      <c r="AN188" s="5">
        <v>101.8</v>
      </c>
      <c r="AO188" s="16">
        <v>28.4</v>
      </c>
      <c r="AP188" s="10">
        <v>570</v>
      </c>
      <c r="AQ188" s="5">
        <v>101.8</v>
      </c>
      <c r="AR188" s="16">
        <v>28.4</v>
      </c>
      <c r="AS188" s="10">
        <v>990</v>
      </c>
      <c r="AT188" s="5">
        <v>176.8</v>
      </c>
      <c r="AU188" s="16">
        <v>49.3</v>
      </c>
      <c r="AV188" s="10">
        <v>1040</v>
      </c>
      <c r="AW188" s="5">
        <v>186</v>
      </c>
      <c r="AX188" s="16">
        <v>51.9</v>
      </c>
      <c r="AY188" s="10">
        <v>1090</v>
      </c>
      <c r="AZ188" s="5">
        <v>195.2</v>
      </c>
      <c r="BA188" s="16">
        <v>54.4</v>
      </c>
      <c r="BB188" s="25">
        <v>1000</v>
      </c>
      <c r="BC188" s="26">
        <v>179</v>
      </c>
      <c r="BD188" s="27">
        <v>50</v>
      </c>
      <c r="BE188" s="65" t="s">
        <v>238</v>
      </c>
      <c r="BF188" s="18">
        <v>1130</v>
      </c>
      <c r="BG188" s="5">
        <v>201.7</v>
      </c>
      <c r="BH188" s="16">
        <v>56.302231859999999</v>
      </c>
      <c r="BI188" s="10">
        <v>1210</v>
      </c>
      <c r="BJ188" s="5">
        <v>216</v>
      </c>
      <c r="BK188" s="16">
        <v>60.285809200000003</v>
      </c>
      <c r="BL188" s="18">
        <v>1380</v>
      </c>
      <c r="BM188" s="5">
        <v>245.8</v>
      </c>
      <c r="BN188" s="16">
        <v>68.605763899999999</v>
      </c>
      <c r="BO188" s="18">
        <v>2220</v>
      </c>
      <c r="BP188" s="5">
        <v>395.77</v>
      </c>
      <c r="BQ188" s="16">
        <v>110.47238381999999</v>
      </c>
      <c r="BR188" s="18">
        <v>2820</v>
      </c>
      <c r="BS188" s="5">
        <v>502.87</v>
      </c>
      <c r="BT188" s="16">
        <v>140.36986266999997</v>
      </c>
      <c r="BU188" s="18">
        <v>3380</v>
      </c>
      <c r="BV188" s="5">
        <v>603.69000000000005</v>
      </c>
      <c r="BW188" s="16">
        <v>168.50789690000002</v>
      </c>
    </row>
    <row r="189" spans="1:75" x14ac:dyDescent="0.2">
      <c r="AC189" s="21" t="s">
        <v>239</v>
      </c>
      <c r="AD189" s="10">
        <v>670</v>
      </c>
      <c r="AE189" s="5">
        <v>120.3</v>
      </c>
      <c r="AF189" s="16">
        <v>38.700000000000003</v>
      </c>
      <c r="AG189" s="10">
        <v>530</v>
      </c>
      <c r="AH189" s="5">
        <v>95.1</v>
      </c>
      <c r="AI189" s="16">
        <v>28.6</v>
      </c>
      <c r="AJ189" s="10">
        <v>450</v>
      </c>
      <c r="AK189" s="5">
        <v>80.8</v>
      </c>
      <c r="AL189" s="16">
        <v>22.6</v>
      </c>
      <c r="AM189" s="10">
        <v>710</v>
      </c>
      <c r="AN189" s="5">
        <v>127.4</v>
      </c>
      <c r="AO189" s="16">
        <v>35.6</v>
      </c>
      <c r="AP189" s="10">
        <v>710</v>
      </c>
      <c r="AQ189" s="5">
        <v>127.5</v>
      </c>
      <c r="AR189" s="16">
        <v>35.6</v>
      </c>
      <c r="AS189" s="10">
        <v>800</v>
      </c>
      <c r="AT189" s="5">
        <v>143.6</v>
      </c>
      <c r="AU189" s="16">
        <v>40.1</v>
      </c>
      <c r="AV189" s="10">
        <v>900</v>
      </c>
      <c r="AW189" s="5">
        <v>162.1</v>
      </c>
      <c r="AX189" s="16">
        <v>45.2</v>
      </c>
      <c r="AY189" s="10">
        <v>1110</v>
      </c>
      <c r="AZ189" s="5">
        <v>198.6</v>
      </c>
      <c r="BA189" s="16">
        <v>55.4</v>
      </c>
      <c r="BB189" s="25">
        <v>1120</v>
      </c>
      <c r="BC189" s="26">
        <v>200.2</v>
      </c>
      <c r="BD189" s="27">
        <v>55.9</v>
      </c>
      <c r="BE189" s="65" t="s">
        <v>239</v>
      </c>
      <c r="BF189" s="18">
        <v>1150</v>
      </c>
      <c r="BG189" s="5">
        <v>207.18</v>
      </c>
      <c r="BH189" s="16">
        <v>57.890890560000003</v>
      </c>
      <c r="BI189" s="10">
        <v>1380</v>
      </c>
      <c r="BJ189" s="5">
        <v>248.3</v>
      </c>
      <c r="BK189" s="16">
        <v>69.387005799999997</v>
      </c>
      <c r="BL189" s="18">
        <v>1690</v>
      </c>
      <c r="BM189" s="5">
        <v>304.2</v>
      </c>
      <c r="BN189" s="16">
        <v>85.0070628</v>
      </c>
      <c r="BO189" s="18">
        <v>4200</v>
      </c>
      <c r="BP189" s="5">
        <v>753.79</v>
      </c>
      <c r="BQ189" s="16">
        <v>210.64889030000001</v>
      </c>
      <c r="BR189" s="18">
        <v>5330</v>
      </c>
      <c r="BS189" s="5">
        <v>957.37</v>
      </c>
      <c r="BT189" s="16">
        <v>267.54367478</v>
      </c>
      <c r="BU189" s="18">
        <v>7110</v>
      </c>
      <c r="BV189" s="5">
        <v>1277.0999999999999</v>
      </c>
      <c r="BW189" s="16">
        <v>356.90099305000001</v>
      </c>
    </row>
    <row r="190" spans="1:75" x14ac:dyDescent="0.2">
      <c r="AC190" s="21" t="s">
        <v>240</v>
      </c>
      <c r="AD190" s="10">
        <v>430</v>
      </c>
      <c r="AE190" s="5">
        <v>77.599999999999994</v>
      </c>
      <c r="AF190" s="16">
        <v>25</v>
      </c>
      <c r="AG190" s="10">
        <v>280</v>
      </c>
      <c r="AH190" s="5">
        <v>50.6</v>
      </c>
      <c r="AI190" s="16">
        <v>15.2</v>
      </c>
      <c r="AJ190" s="10">
        <v>500</v>
      </c>
      <c r="AK190" s="5">
        <v>90.3</v>
      </c>
      <c r="AL190" s="16">
        <v>25.2</v>
      </c>
      <c r="AM190" s="10">
        <v>640</v>
      </c>
      <c r="AN190" s="5">
        <v>115.6</v>
      </c>
      <c r="AO190" s="16">
        <v>32.299999999999997</v>
      </c>
      <c r="AP190" s="10">
        <v>680</v>
      </c>
      <c r="AQ190" s="5">
        <v>122.8</v>
      </c>
      <c r="AR190" s="16">
        <v>34.299999999999997</v>
      </c>
      <c r="AS190" s="10">
        <v>690</v>
      </c>
      <c r="AT190" s="5">
        <v>124.4</v>
      </c>
      <c r="AU190" s="16">
        <v>34.799999999999997</v>
      </c>
      <c r="AV190" s="10">
        <v>810</v>
      </c>
      <c r="AW190" s="5">
        <v>146.9</v>
      </c>
      <c r="AX190" s="16">
        <v>41</v>
      </c>
      <c r="AY190" s="10">
        <v>920</v>
      </c>
      <c r="AZ190" s="5">
        <v>166.1</v>
      </c>
      <c r="BA190" s="16">
        <v>46.4</v>
      </c>
      <c r="BB190" s="25">
        <v>1050</v>
      </c>
      <c r="BC190" s="26">
        <v>189.5</v>
      </c>
      <c r="BD190" s="27">
        <v>53</v>
      </c>
      <c r="BE190" s="65" t="s">
        <v>240</v>
      </c>
      <c r="BF190" s="18">
        <v>1110</v>
      </c>
      <c r="BG190" s="5">
        <v>200.32</v>
      </c>
      <c r="BH190" s="16">
        <v>56.026816359999998</v>
      </c>
      <c r="BI190" s="10">
        <v>1310</v>
      </c>
      <c r="BJ190" s="5">
        <v>236.1</v>
      </c>
      <c r="BK190" s="16">
        <v>66.022552000000005</v>
      </c>
      <c r="BL190" s="18">
        <v>1550</v>
      </c>
      <c r="BM190" s="5">
        <v>280.3</v>
      </c>
      <c r="BN190" s="16">
        <v>78.381338700000001</v>
      </c>
      <c r="BO190" s="18">
        <v>2850</v>
      </c>
      <c r="BP190" s="5">
        <v>513.14</v>
      </c>
      <c r="BQ190" s="16">
        <v>143.56460766999999</v>
      </c>
      <c r="BR190" s="18">
        <v>3670</v>
      </c>
      <c r="BS190" s="5">
        <v>662.74</v>
      </c>
      <c r="BT190" s="16">
        <v>185.42831371</v>
      </c>
      <c r="BU190" s="18">
        <v>4550</v>
      </c>
      <c r="BV190" s="5">
        <v>821.33</v>
      </c>
      <c r="BW190" s="16">
        <v>229.80670194999999</v>
      </c>
    </row>
    <row r="191" spans="1:75" x14ac:dyDescent="0.2">
      <c r="AC191" s="21" t="s">
        <v>241</v>
      </c>
      <c r="AD191" s="10">
        <v>300</v>
      </c>
      <c r="AE191" s="5">
        <v>54.5</v>
      </c>
      <c r="AF191" s="16">
        <v>17.600000000000001</v>
      </c>
      <c r="AG191" s="10">
        <v>650</v>
      </c>
      <c r="AH191" s="5">
        <v>118</v>
      </c>
      <c r="AI191" s="16">
        <v>35.5</v>
      </c>
      <c r="AJ191" s="10">
        <v>550</v>
      </c>
      <c r="AK191" s="5">
        <v>99.8</v>
      </c>
      <c r="AL191" s="16">
        <v>27.9</v>
      </c>
      <c r="AM191" s="10">
        <v>750</v>
      </c>
      <c r="AN191" s="5">
        <v>136.1</v>
      </c>
      <c r="AO191" s="16">
        <v>38.1</v>
      </c>
      <c r="AP191" s="10">
        <v>710</v>
      </c>
      <c r="AQ191" s="5">
        <v>128.80000000000001</v>
      </c>
      <c r="AR191" s="16">
        <v>36.1</v>
      </c>
      <c r="AS191" s="10">
        <v>600</v>
      </c>
      <c r="AT191" s="5">
        <v>108.9</v>
      </c>
      <c r="AU191" s="16">
        <v>30.5</v>
      </c>
      <c r="AV191" s="10">
        <v>830</v>
      </c>
      <c r="AW191" s="5">
        <v>150.1</v>
      </c>
      <c r="AX191" s="16">
        <v>42</v>
      </c>
      <c r="AY191" s="10">
        <v>820</v>
      </c>
      <c r="AZ191" s="5">
        <v>147.9</v>
      </c>
      <c r="BA191" s="16">
        <v>41.3</v>
      </c>
      <c r="BB191" s="25">
        <v>960</v>
      </c>
      <c r="BC191" s="26">
        <v>175</v>
      </c>
      <c r="BD191" s="27">
        <v>49</v>
      </c>
      <c r="BE191" s="65" t="s">
        <v>241</v>
      </c>
      <c r="BF191" s="18">
        <v>1020</v>
      </c>
      <c r="BG191" s="5">
        <v>185.31</v>
      </c>
      <c r="BH191" s="16">
        <v>51.88296862</v>
      </c>
      <c r="BI191" s="10">
        <v>1190</v>
      </c>
      <c r="BJ191" s="5">
        <v>216.5</v>
      </c>
      <c r="BK191" s="16">
        <v>60.621475799999999</v>
      </c>
      <c r="BL191" s="18">
        <v>1290</v>
      </c>
      <c r="BM191" s="5">
        <v>233.2</v>
      </c>
      <c r="BN191" s="16">
        <v>65.296886600000008</v>
      </c>
      <c r="BO191" s="18">
        <v>1760</v>
      </c>
      <c r="BP191" s="5">
        <v>318.88</v>
      </c>
      <c r="BQ191" s="16">
        <v>89.433982090000001</v>
      </c>
      <c r="BR191" s="18">
        <v>2170</v>
      </c>
      <c r="BS191" s="5">
        <v>393.11</v>
      </c>
      <c r="BT191" s="16">
        <v>110.25366815999999</v>
      </c>
      <c r="BU191" s="18">
        <v>2750</v>
      </c>
      <c r="BV191" s="5">
        <v>498.92</v>
      </c>
      <c r="BW191" s="16">
        <v>139.92982988999998</v>
      </c>
    </row>
    <row r="192" spans="1:75" x14ac:dyDescent="0.2">
      <c r="AC192" s="21" t="s">
        <v>242</v>
      </c>
      <c r="AD192" s="10">
        <v>600</v>
      </c>
      <c r="AE192" s="5">
        <v>109.5</v>
      </c>
      <c r="AF192" s="16">
        <v>35.299999999999997</v>
      </c>
      <c r="AG192" s="10">
        <v>300</v>
      </c>
      <c r="AH192" s="5">
        <v>54.8</v>
      </c>
      <c r="AI192" s="16">
        <v>16.5</v>
      </c>
      <c r="AJ192" s="10">
        <v>570</v>
      </c>
      <c r="AK192" s="5">
        <v>104</v>
      </c>
      <c r="AL192" s="16">
        <v>29.1</v>
      </c>
      <c r="AM192" s="10">
        <v>430</v>
      </c>
      <c r="AN192" s="5">
        <v>78.5</v>
      </c>
      <c r="AO192" s="16">
        <v>22</v>
      </c>
      <c r="AP192" s="10">
        <v>670</v>
      </c>
      <c r="AQ192" s="5">
        <v>122.2</v>
      </c>
      <c r="AR192" s="16">
        <v>34.299999999999997</v>
      </c>
      <c r="AS192" s="10">
        <v>780</v>
      </c>
      <c r="AT192" s="5">
        <v>142.30000000000001</v>
      </c>
      <c r="AU192" s="16">
        <v>39.9</v>
      </c>
      <c r="AV192" s="10">
        <v>750</v>
      </c>
      <c r="AW192" s="5">
        <v>136.5</v>
      </c>
      <c r="AX192" s="16">
        <v>38.299999999999997</v>
      </c>
      <c r="AY192" s="10">
        <v>840</v>
      </c>
      <c r="AZ192" s="5">
        <v>154</v>
      </c>
      <c r="BA192" s="16">
        <v>43.1</v>
      </c>
      <c r="BB192" s="25">
        <v>900</v>
      </c>
      <c r="BC192" s="26">
        <v>163.30000000000001</v>
      </c>
      <c r="BD192" s="27">
        <v>45.8</v>
      </c>
      <c r="BE192" s="65" t="s">
        <v>242</v>
      </c>
      <c r="BF192" s="18">
        <v>1010</v>
      </c>
      <c r="BG192" s="5">
        <v>183.95</v>
      </c>
      <c r="BH192" s="16">
        <v>51.550886740000003</v>
      </c>
      <c r="BI192" s="10">
        <v>1180</v>
      </c>
      <c r="BJ192" s="5">
        <v>214.4</v>
      </c>
      <c r="BK192" s="16">
        <v>60.091118799999997</v>
      </c>
      <c r="BL192" s="18">
        <v>1220</v>
      </c>
      <c r="BM192" s="5">
        <v>221.7</v>
      </c>
      <c r="BN192" s="16">
        <v>62.135279300000001</v>
      </c>
      <c r="BO192" s="18">
        <v>1690</v>
      </c>
      <c r="BP192" s="5">
        <v>308.77</v>
      </c>
      <c r="BQ192" s="16">
        <v>86.784665510000011</v>
      </c>
      <c r="BR192" s="18">
        <v>1980</v>
      </c>
      <c r="BS192" s="5">
        <v>360.61</v>
      </c>
      <c r="BT192" s="16">
        <v>101.35483074</v>
      </c>
      <c r="BU192" s="18">
        <v>2510</v>
      </c>
      <c r="BV192" s="5">
        <v>457.54</v>
      </c>
      <c r="BW192" s="16">
        <v>128.6022543</v>
      </c>
    </row>
    <row r="193" spans="29:75" x14ac:dyDescent="0.2">
      <c r="AC193" s="21" t="s">
        <v>243</v>
      </c>
      <c r="AD193" s="10">
        <v>290</v>
      </c>
      <c r="AE193" s="5">
        <v>53.2</v>
      </c>
      <c r="AF193" s="16">
        <v>17.2</v>
      </c>
      <c r="AG193" s="10">
        <v>520</v>
      </c>
      <c r="AH193" s="5">
        <v>95.5</v>
      </c>
      <c r="AI193" s="16">
        <v>28.8</v>
      </c>
      <c r="AJ193" s="10">
        <v>620</v>
      </c>
      <c r="AK193" s="5">
        <v>113.8</v>
      </c>
      <c r="AL193" s="16">
        <v>31.9</v>
      </c>
      <c r="AM193" s="10">
        <v>450</v>
      </c>
      <c r="AN193" s="5">
        <v>82.5</v>
      </c>
      <c r="AO193" s="16">
        <v>23.1</v>
      </c>
      <c r="AP193" s="10">
        <v>780</v>
      </c>
      <c r="AQ193" s="5">
        <v>143.1</v>
      </c>
      <c r="AR193" s="16">
        <v>40.1</v>
      </c>
      <c r="AS193" s="10">
        <v>650</v>
      </c>
      <c r="AT193" s="5">
        <v>119.3</v>
      </c>
      <c r="AU193" s="16">
        <v>33.5</v>
      </c>
      <c r="AV193" s="10">
        <v>810</v>
      </c>
      <c r="AW193" s="5">
        <v>148.30000000000001</v>
      </c>
      <c r="AX193" s="16">
        <v>41.5</v>
      </c>
      <c r="AY193" s="10">
        <v>850</v>
      </c>
      <c r="AZ193" s="5">
        <v>155.30000000000001</v>
      </c>
      <c r="BA193" s="16">
        <v>43.5</v>
      </c>
      <c r="BB193" s="25">
        <v>890</v>
      </c>
      <c r="BC193" s="26">
        <v>163</v>
      </c>
      <c r="BD193" s="27">
        <v>45.7</v>
      </c>
      <c r="BE193" s="65" t="s">
        <v>243</v>
      </c>
      <c r="BF193" s="18">
        <v>1020</v>
      </c>
      <c r="BG193" s="5">
        <v>187.36</v>
      </c>
      <c r="BH193" s="16">
        <v>52.556747109999996</v>
      </c>
      <c r="BI193" s="10">
        <v>1140</v>
      </c>
      <c r="BJ193" s="5">
        <v>209.6</v>
      </c>
      <c r="BK193" s="16">
        <v>58.784873700000006</v>
      </c>
      <c r="BL193" s="18">
        <v>1200</v>
      </c>
      <c r="BM193" s="5">
        <v>219.3</v>
      </c>
      <c r="BN193" s="16">
        <v>61.510362899999997</v>
      </c>
      <c r="BO193" s="18">
        <v>1520</v>
      </c>
      <c r="BP193" s="5">
        <v>279.64</v>
      </c>
      <c r="BQ193" s="16">
        <v>78.763931459999995</v>
      </c>
      <c r="BR193" s="18">
        <v>1830</v>
      </c>
      <c r="BS193" s="5">
        <v>335.06</v>
      </c>
      <c r="BT193" s="16">
        <v>94.373033239999998</v>
      </c>
      <c r="BU193" s="18">
        <v>2330</v>
      </c>
      <c r="BV193" s="5">
        <v>427.18</v>
      </c>
      <c r="BW193" s="16">
        <v>120.31800702</v>
      </c>
    </row>
    <row r="194" spans="29:75" x14ac:dyDescent="0.2">
      <c r="AC194" s="21" t="s">
        <v>244</v>
      </c>
      <c r="AD194" s="10">
        <v>350</v>
      </c>
      <c r="AE194" s="5">
        <v>64.599999999999994</v>
      </c>
      <c r="AF194" s="16">
        <v>20.9</v>
      </c>
      <c r="AG194" s="10">
        <v>230</v>
      </c>
      <c r="AH194" s="5">
        <v>42.4</v>
      </c>
      <c r="AI194" s="16">
        <v>12.8</v>
      </c>
      <c r="AJ194" s="10">
        <v>470</v>
      </c>
      <c r="AK194" s="5">
        <v>86.7</v>
      </c>
      <c r="AL194" s="16">
        <v>24.3</v>
      </c>
      <c r="AM194" s="10">
        <v>190</v>
      </c>
      <c r="AN194" s="5">
        <v>35</v>
      </c>
      <c r="AO194" s="16">
        <v>9.8000000000000007</v>
      </c>
      <c r="AP194" s="10">
        <v>700</v>
      </c>
      <c r="AQ194" s="5">
        <v>129.1</v>
      </c>
      <c r="AR194" s="16">
        <v>36.299999999999997</v>
      </c>
      <c r="AS194" s="10">
        <v>620</v>
      </c>
      <c r="AT194" s="5">
        <v>114.4</v>
      </c>
      <c r="AU194" s="16">
        <v>32.1</v>
      </c>
      <c r="AV194" s="10">
        <v>770</v>
      </c>
      <c r="AW194" s="5">
        <v>141.4</v>
      </c>
      <c r="AX194" s="16">
        <v>39.6</v>
      </c>
      <c r="AY194" s="10">
        <v>850</v>
      </c>
      <c r="AZ194" s="5">
        <v>156.6</v>
      </c>
      <c r="BA194" s="16">
        <v>44</v>
      </c>
      <c r="BB194" s="25">
        <v>910</v>
      </c>
      <c r="BC194" s="26">
        <v>168.3</v>
      </c>
      <c r="BD194" s="27">
        <v>47.2</v>
      </c>
      <c r="BE194" s="65" t="s">
        <v>244</v>
      </c>
      <c r="BF194" s="18">
        <v>1020</v>
      </c>
      <c r="BG194" s="5">
        <v>187.66</v>
      </c>
      <c r="BH194" s="16">
        <v>52.694182810000001</v>
      </c>
      <c r="BI194" s="10">
        <v>1120</v>
      </c>
      <c r="BJ194" s="5">
        <v>207</v>
      </c>
      <c r="BK194" s="16">
        <v>58.1255764</v>
      </c>
      <c r="BL194" s="18">
        <v>1190</v>
      </c>
      <c r="BM194" s="5">
        <v>219.6</v>
      </c>
      <c r="BN194" s="16">
        <v>61.655741299999995</v>
      </c>
      <c r="BO194" s="18">
        <v>1540</v>
      </c>
      <c r="BP194" s="5">
        <v>283.98</v>
      </c>
      <c r="BQ194" s="16">
        <v>80.158811349999993</v>
      </c>
      <c r="BR194" s="18">
        <v>1820</v>
      </c>
      <c r="BS194" s="5">
        <v>335.8</v>
      </c>
      <c r="BT194" s="16">
        <v>94.781616389999996</v>
      </c>
      <c r="BU194" s="18">
        <v>2400</v>
      </c>
      <c r="BV194" s="5">
        <v>442.26</v>
      </c>
      <c r="BW194" s="16">
        <v>124.82720123999999</v>
      </c>
    </row>
    <row r="195" spans="29:75" x14ac:dyDescent="0.2">
      <c r="AC195" s="21" t="s">
        <v>245</v>
      </c>
      <c r="AD195" s="10">
        <v>230</v>
      </c>
      <c r="AE195" s="5">
        <v>42.7</v>
      </c>
      <c r="AF195" s="16">
        <v>13.8</v>
      </c>
      <c r="AG195" s="10">
        <v>400</v>
      </c>
      <c r="AH195" s="5">
        <v>74.2</v>
      </c>
      <c r="AI195" s="16">
        <v>22.4</v>
      </c>
      <c r="AJ195" s="10">
        <v>420</v>
      </c>
      <c r="AK195" s="5">
        <v>77.900000000000006</v>
      </c>
      <c r="AL195" s="16">
        <v>21.9</v>
      </c>
      <c r="AM195" s="10">
        <v>510</v>
      </c>
      <c r="AN195" s="5">
        <v>94.6</v>
      </c>
      <c r="AO195" s="16">
        <v>26.6</v>
      </c>
      <c r="AP195" s="10">
        <v>520</v>
      </c>
      <c r="AQ195" s="5">
        <v>96.4</v>
      </c>
      <c r="AR195" s="16">
        <v>27.1</v>
      </c>
      <c r="AS195" s="10">
        <v>530</v>
      </c>
      <c r="AT195" s="5">
        <v>98.3</v>
      </c>
      <c r="AU195" s="16">
        <v>27.6</v>
      </c>
      <c r="AV195" s="10">
        <v>740</v>
      </c>
      <c r="AW195" s="5">
        <v>137.5</v>
      </c>
      <c r="AX195" s="16">
        <v>38.6</v>
      </c>
      <c r="AY195" s="10">
        <v>780</v>
      </c>
      <c r="AZ195" s="5">
        <v>144.9</v>
      </c>
      <c r="BA195" s="16">
        <v>40.6</v>
      </c>
      <c r="BB195" s="25">
        <v>850</v>
      </c>
      <c r="BC195" s="26">
        <v>158.4</v>
      </c>
      <c r="BD195" s="27">
        <v>44.5</v>
      </c>
      <c r="BE195" s="65" t="s">
        <v>245</v>
      </c>
      <c r="BF195" s="18">
        <v>950</v>
      </c>
      <c r="BG195" s="5">
        <v>175.68</v>
      </c>
      <c r="BH195" s="16">
        <v>49.374157140000001</v>
      </c>
      <c r="BI195" s="10">
        <v>1120</v>
      </c>
      <c r="BJ195" s="5">
        <v>207</v>
      </c>
      <c r="BK195" s="16">
        <v>58.185191400000001</v>
      </c>
      <c r="BL195" s="18">
        <v>1150</v>
      </c>
      <c r="BM195" s="5">
        <v>213.9</v>
      </c>
      <c r="BN195" s="16">
        <v>60.105922</v>
      </c>
      <c r="BO195" s="18">
        <v>1500</v>
      </c>
      <c r="BP195" s="5">
        <v>278.43</v>
      </c>
      <c r="BQ195" s="16">
        <v>78.748106550000003</v>
      </c>
      <c r="BR195" s="18">
        <v>1820</v>
      </c>
      <c r="BS195" s="5">
        <v>338.31</v>
      </c>
      <c r="BT195" s="16">
        <v>95.679922860000005</v>
      </c>
      <c r="BU195" s="18">
        <v>2430</v>
      </c>
      <c r="BV195" s="5">
        <v>450.16</v>
      </c>
      <c r="BW195" s="16">
        <v>127.31382201000001</v>
      </c>
    </row>
    <row r="196" spans="29:75" x14ac:dyDescent="0.2">
      <c r="AC196" s="21" t="s">
        <v>246</v>
      </c>
      <c r="AD196" s="10">
        <v>260</v>
      </c>
      <c r="AE196" s="5">
        <v>48.5</v>
      </c>
      <c r="AF196" s="16">
        <v>15.7</v>
      </c>
      <c r="AG196" s="10">
        <v>390</v>
      </c>
      <c r="AH196" s="5">
        <v>72.8</v>
      </c>
      <c r="AI196" s="16">
        <v>22</v>
      </c>
      <c r="AJ196" s="10">
        <v>450</v>
      </c>
      <c r="AK196" s="5">
        <v>83.9</v>
      </c>
      <c r="AL196" s="16">
        <v>23.6</v>
      </c>
      <c r="AM196" s="10">
        <v>510</v>
      </c>
      <c r="AN196" s="5">
        <v>95.1</v>
      </c>
      <c r="AO196" s="16">
        <v>26.8</v>
      </c>
      <c r="AP196" s="10">
        <v>750</v>
      </c>
      <c r="AQ196" s="5">
        <v>139.9</v>
      </c>
      <c r="AR196" s="16">
        <v>39.299999999999997</v>
      </c>
      <c r="AS196" s="10">
        <v>700</v>
      </c>
      <c r="AT196" s="5">
        <v>130.5</v>
      </c>
      <c r="AU196" s="16">
        <v>36.700000000000003</v>
      </c>
      <c r="AV196" s="10">
        <v>720</v>
      </c>
      <c r="AW196" s="5">
        <v>134.80000000000001</v>
      </c>
      <c r="AX196" s="16">
        <v>37.9</v>
      </c>
      <c r="AY196" s="10">
        <v>780</v>
      </c>
      <c r="AZ196" s="5">
        <v>145.30000000000001</v>
      </c>
      <c r="BA196" s="16">
        <v>40.700000000000003</v>
      </c>
      <c r="BB196" s="25">
        <v>830</v>
      </c>
      <c r="BC196" s="26">
        <v>155.4</v>
      </c>
      <c r="BD196" s="27">
        <v>43.7</v>
      </c>
      <c r="BE196" s="65" t="s">
        <v>246</v>
      </c>
      <c r="BF196" s="18">
        <v>890</v>
      </c>
      <c r="BG196" s="5">
        <v>166.35</v>
      </c>
      <c r="BH196" s="16">
        <v>46.796837979999999</v>
      </c>
      <c r="BI196" s="10">
        <v>1080</v>
      </c>
      <c r="BJ196" s="5">
        <v>202.2</v>
      </c>
      <c r="BK196" s="16">
        <v>56.876674999999999</v>
      </c>
      <c r="BL196" s="18">
        <v>1150</v>
      </c>
      <c r="BM196" s="5">
        <v>214.5</v>
      </c>
      <c r="BN196" s="16">
        <v>60.340688200000002</v>
      </c>
      <c r="BO196" s="18">
        <v>1490</v>
      </c>
      <c r="BP196" s="5">
        <v>276.95999999999998</v>
      </c>
      <c r="BQ196" s="16">
        <v>78.491890220000002</v>
      </c>
      <c r="BR196" s="18">
        <v>1690</v>
      </c>
      <c r="BS196" s="5">
        <v>314.82</v>
      </c>
      <c r="BT196" s="16">
        <v>89.222863790000005</v>
      </c>
      <c r="BU196" s="18">
        <v>2100</v>
      </c>
      <c r="BV196" s="5">
        <v>391.24</v>
      </c>
      <c r="BW196" s="16">
        <v>110.87714118000001</v>
      </c>
    </row>
    <row r="197" spans="29:75" x14ac:dyDescent="0.2">
      <c r="AC197" s="21" t="s">
        <v>247</v>
      </c>
      <c r="AD197" s="10">
        <v>300</v>
      </c>
      <c r="AE197" s="5">
        <v>56.3</v>
      </c>
      <c r="AF197" s="16">
        <v>18.2</v>
      </c>
      <c r="AG197" s="10">
        <v>470</v>
      </c>
      <c r="AH197" s="5">
        <v>88.1</v>
      </c>
      <c r="AI197" s="16">
        <v>26.7</v>
      </c>
      <c r="AJ197" s="10">
        <v>510</v>
      </c>
      <c r="AK197" s="5">
        <v>95.6</v>
      </c>
      <c r="AL197" s="16">
        <v>26.9</v>
      </c>
      <c r="AM197" s="10">
        <v>420</v>
      </c>
      <c r="AN197" s="5">
        <v>78.8</v>
      </c>
      <c r="AO197" s="16">
        <v>22.2</v>
      </c>
      <c r="AP197" s="10">
        <v>470</v>
      </c>
      <c r="AQ197" s="5">
        <v>88.1</v>
      </c>
      <c r="AR197" s="16">
        <v>24.8</v>
      </c>
      <c r="AS197" s="10">
        <v>550</v>
      </c>
      <c r="AT197" s="5">
        <v>103</v>
      </c>
      <c r="AU197" s="16">
        <v>29</v>
      </c>
      <c r="AV197" s="10">
        <v>660</v>
      </c>
      <c r="AW197" s="5">
        <v>123</v>
      </c>
      <c r="AX197" s="16">
        <v>34.5</v>
      </c>
      <c r="AY197" s="10">
        <v>730</v>
      </c>
      <c r="AZ197" s="5">
        <v>136.30000000000001</v>
      </c>
      <c r="BA197" s="16">
        <v>38.4</v>
      </c>
      <c r="BB197" s="25">
        <v>790</v>
      </c>
      <c r="BC197" s="26">
        <v>148.1</v>
      </c>
      <c r="BD197" s="27">
        <v>41.7</v>
      </c>
      <c r="BE197" s="65" t="s">
        <v>247</v>
      </c>
      <c r="BF197" s="18">
        <v>900</v>
      </c>
      <c r="BG197" s="5">
        <v>168.19</v>
      </c>
      <c r="BH197" s="16">
        <v>47.359209360000001</v>
      </c>
      <c r="BI197" s="10">
        <v>1000</v>
      </c>
      <c r="BJ197" s="5">
        <v>188.2</v>
      </c>
      <c r="BK197" s="16">
        <v>53.002743299999999</v>
      </c>
      <c r="BL197" s="18">
        <v>1130</v>
      </c>
      <c r="BM197" s="5">
        <v>211.9</v>
      </c>
      <c r="BN197" s="16">
        <v>59.659212500000002</v>
      </c>
      <c r="BO197" s="18">
        <v>1400</v>
      </c>
      <c r="BP197" s="5">
        <v>262.87</v>
      </c>
      <c r="BQ197" s="16">
        <v>74.648367430000008</v>
      </c>
      <c r="BR197" s="18">
        <v>1670</v>
      </c>
      <c r="BS197" s="5">
        <v>313.86</v>
      </c>
      <c r="BT197" s="16">
        <v>89.125330079999998</v>
      </c>
      <c r="BU197" s="18">
        <v>2050</v>
      </c>
      <c r="BV197" s="5">
        <v>384.79</v>
      </c>
      <c r="BW197" s="16">
        <v>109.27334784</v>
      </c>
    </row>
    <row r="198" spans="29:75" x14ac:dyDescent="0.2">
      <c r="AC198" s="21" t="s">
        <v>248</v>
      </c>
      <c r="AD198" s="10">
        <v>310</v>
      </c>
      <c r="AE198" s="5">
        <v>58.4</v>
      </c>
      <c r="AF198" s="16">
        <v>19</v>
      </c>
      <c r="AG198" s="10">
        <v>310</v>
      </c>
      <c r="AH198" s="5">
        <v>58.4</v>
      </c>
      <c r="AI198" s="16">
        <v>17.7</v>
      </c>
      <c r="AJ198" s="10">
        <v>480</v>
      </c>
      <c r="AK198" s="5">
        <v>90.4</v>
      </c>
      <c r="AL198" s="16">
        <v>25.5</v>
      </c>
      <c r="AM198" s="10">
        <v>390</v>
      </c>
      <c r="AN198" s="5">
        <v>73.5</v>
      </c>
      <c r="AO198" s="16">
        <v>20.7</v>
      </c>
      <c r="AP198" s="10">
        <v>480</v>
      </c>
      <c r="AQ198" s="5">
        <v>90.5</v>
      </c>
      <c r="AR198" s="16">
        <v>25.5</v>
      </c>
      <c r="AS198" s="10">
        <v>780</v>
      </c>
      <c r="AT198" s="5">
        <v>147</v>
      </c>
      <c r="AU198" s="16">
        <v>41.4</v>
      </c>
      <c r="AV198" s="10">
        <v>670</v>
      </c>
      <c r="AW198" s="5">
        <v>127.1</v>
      </c>
      <c r="AX198" s="16">
        <v>35.700000000000003</v>
      </c>
      <c r="AY198" s="10">
        <v>770</v>
      </c>
      <c r="AZ198" s="5">
        <v>144.6</v>
      </c>
      <c r="BA198" s="16">
        <v>40.5</v>
      </c>
      <c r="BB198" s="25">
        <v>760</v>
      </c>
      <c r="BC198" s="26">
        <v>143.1</v>
      </c>
      <c r="BD198" s="27">
        <v>40.299999999999997</v>
      </c>
      <c r="BE198" s="65" t="s">
        <v>248</v>
      </c>
      <c r="BF198" s="18">
        <v>900</v>
      </c>
      <c r="BG198" s="5">
        <v>169.64</v>
      </c>
      <c r="BH198" s="16">
        <v>47.810660159999998</v>
      </c>
      <c r="BI198" s="10">
        <v>940</v>
      </c>
      <c r="BJ198" s="5">
        <v>177.8</v>
      </c>
      <c r="BK198" s="16">
        <v>50.098194799999995</v>
      </c>
      <c r="BL198" s="18">
        <v>1110</v>
      </c>
      <c r="BM198" s="5">
        <v>209.8</v>
      </c>
      <c r="BN198" s="16">
        <v>59.124279999999999</v>
      </c>
      <c r="BO198" s="18">
        <v>1370</v>
      </c>
      <c r="BP198" s="5">
        <v>257.86</v>
      </c>
      <c r="BQ198" s="16">
        <v>73.369271879999999</v>
      </c>
      <c r="BR198" s="18">
        <v>1570</v>
      </c>
      <c r="BS198" s="5">
        <v>296.32</v>
      </c>
      <c r="BT198" s="16">
        <v>84.31308159999999</v>
      </c>
      <c r="BU198" s="18">
        <v>1870</v>
      </c>
      <c r="BV198" s="5">
        <v>352.3</v>
      </c>
      <c r="BW198" s="16">
        <v>100.24273406</v>
      </c>
    </row>
    <row r="199" spans="29:75" x14ac:dyDescent="0.2">
      <c r="AC199" s="21" t="s">
        <v>249</v>
      </c>
      <c r="AD199" s="10">
        <v>320</v>
      </c>
      <c r="AE199" s="5">
        <v>60.7</v>
      </c>
      <c r="AF199" s="16">
        <v>19.7</v>
      </c>
      <c r="AG199" s="10">
        <v>340</v>
      </c>
      <c r="AH199" s="5">
        <v>64.400000000000006</v>
      </c>
      <c r="AI199" s="16">
        <v>19.600000000000001</v>
      </c>
      <c r="AJ199" s="10">
        <v>340</v>
      </c>
      <c r="AK199" s="5">
        <v>64.400000000000006</v>
      </c>
      <c r="AL199" s="16">
        <v>18.2</v>
      </c>
      <c r="AM199" s="10">
        <v>330</v>
      </c>
      <c r="AN199" s="5">
        <v>62.5</v>
      </c>
      <c r="AO199" s="16">
        <v>17.600000000000001</v>
      </c>
      <c r="AP199" s="10">
        <v>570</v>
      </c>
      <c r="AQ199" s="5">
        <v>108</v>
      </c>
      <c r="AR199" s="16">
        <v>30.5</v>
      </c>
      <c r="AS199" s="10">
        <v>840</v>
      </c>
      <c r="AT199" s="5">
        <v>159.30000000000001</v>
      </c>
      <c r="AU199" s="16">
        <v>44.9</v>
      </c>
      <c r="AV199" s="10">
        <v>700</v>
      </c>
      <c r="AW199" s="5">
        <v>132.30000000000001</v>
      </c>
      <c r="AX199" s="16">
        <v>37.299999999999997</v>
      </c>
      <c r="AY199" s="10">
        <v>770</v>
      </c>
      <c r="AZ199" s="5">
        <v>146.30000000000001</v>
      </c>
      <c r="BA199" s="16">
        <v>41.2</v>
      </c>
      <c r="BB199" s="25">
        <v>850</v>
      </c>
      <c r="BC199" s="26">
        <v>161.5</v>
      </c>
      <c r="BD199" s="27">
        <v>45.5</v>
      </c>
      <c r="BE199" s="65" t="s">
        <v>249</v>
      </c>
      <c r="BF199" s="18">
        <v>940</v>
      </c>
      <c r="BG199" s="5">
        <v>178.72</v>
      </c>
      <c r="BH199" s="16">
        <v>50.414718450000002</v>
      </c>
      <c r="BI199" s="10">
        <v>990</v>
      </c>
      <c r="BJ199" s="5">
        <v>187.1</v>
      </c>
      <c r="BK199" s="16">
        <v>52.7682188</v>
      </c>
      <c r="BL199" s="18">
        <v>1030</v>
      </c>
      <c r="BM199" s="5">
        <v>195.2</v>
      </c>
      <c r="BN199" s="16">
        <v>55.062950000000001</v>
      </c>
      <c r="BO199" s="18">
        <v>1300</v>
      </c>
      <c r="BP199" s="5">
        <v>246.37</v>
      </c>
      <c r="BQ199" s="16">
        <v>70.238987440000002</v>
      </c>
      <c r="BR199" s="18">
        <v>1550</v>
      </c>
      <c r="BS199" s="5">
        <v>294.31</v>
      </c>
      <c r="BT199" s="16">
        <v>83.906486349999994</v>
      </c>
      <c r="BU199" s="18">
        <v>2000</v>
      </c>
      <c r="BV199" s="5">
        <v>379</v>
      </c>
      <c r="BW199" s="16">
        <v>108.05171141</v>
      </c>
    </row>
    <row r="200" spans="29:75" x14ac:dyDescent="0.2">
      <c r="AC200" s="21" t="s">
        <v>250</v>
      </c>
      <c r="AD200" s="10">
        <v>310</v>
      </c>
      <c r="AE200" s="5">
        <v>59.1</v>
      </c>
      <c r="AF200" s="16">
        <v>19.2</v>
      </c>
      <c r="AG200" s="10">
        <v>390</v>
      </c>
      <c r="AH200" s="5">
        <v>74.3</v>
      </c>
      <c r="AI200" s="16">
        <v>22.6</v>
      </c>
      <c r="AJ200" s="10">
        <v>400</v>
      </c>
      <c r="AK200" s="5">
        <v>76.2</v>
      </c>
      <c r="AL200" s="16">
        <v>21.5</v>
      </c>
      <c r="AM200" s="10">
        <v>380</v>
      </c>
      <c r="AN200" s="5">
        <v>72.400000000000006</v>
      </c>
      <c r="AO200" s="16">
        <v>20.399999999999999</v>
      </c>
      <c r="AP200" s="10">
        <v>600</v>
      </c>
      <c r="AQ200" s="5">
        <v>114.3</v>
      </c>
      <c r="AR200" s="16">
        <v>32.299999999999997</v>
      </c>
      <c r="AS200" s="10">
        <v>550</v>
      </c>
      <c r="AT200" s="5">
        <v>104.8</v>
      </c>
      <c r="AU200" s="16">
        <v>29.6</v>
      </c>
      <c r="AV200" s="10">
        <v>640</v>
      </c>
      <c r="AW200" s="5">
        <v>121.2</v>
      </c>
      <c r="AX200" s="16">
        <v>34.1</v>
      </c>
      <c r="AY200" s="10">
        <v>720</v>
      </c>
      <c r="AZ200" s="5">
        <v>137.69999999999999</v>
      </c>
      <c r="BA200" s="16">
        <v>38.9</v>
      </c>
      <c r="BB200" s="25">
        <v>860</v>
      </c>
      <c r="BC200" s="26">
        <v>164</v>
      </c>
      <c r="BD200" s="27">
        <v>46.3</v>
      </c>
      <c r="BE200" s="65" t="s">
        <v>250</v>
      </c>
      <c r="BF200" s="18">
        <v>930</v>
      </c>
      <c r="BG200" s="5">
        <v>176.8</v>
      </c>
      <c r="BH200" s="16">
        <v>49.916784139999997</v>
      </c>
      <c r="BI200" s="10">
        <v>1000</v>
      </c>
      <c r="BJ200" s="5">
        <v>190.1</v>
      </c>
      <c r="BK200" s="16">
        <v>53.6754368</v>
      </c>
      <c r="BL200" s="18">
        <v>1080</v>
      </c>
      <c r="BM200" s="5">
        <v>205.3</v>
      </c>
      <c r="BN200" s="16">
        <v>57.971716499999999</v>
      </c>
      <c r="BO200" s="18">
        <v>1360</v>
      </c>
      <c r="BP200" s="5">
        <v>258.85000000000002</v>
      </c>
      <c r="BQ200" s="16">
        <v>73.934034830000002</v>
      </c>
      <c r="BR200" s="18">
        <v>1660</v>
      </c>
      <c r="BS200" s="5">
        <v>315.82</v>
      </c>
      <c r="BT200" s="16">
        <v>90.209700819999995</v>
      </c>
      <c r="BU200" s="18">
        <v>2000</v>
      </c>
      <c r="BV200" s="5">
        <v>381.74</v>
      </c>
      <c r="BW200" s="16">
        <v>109.03768092</v>
      </c>
    </row>
    <row r="201" spans="29:75" x14ac:dyDescent="0.2">
      <c r="AC201" s="21" t="s">
        <v>251</v>
      </c>
      <c r="AD201" s="10">
        <v>380</v>
      </c>
      <c r="AE201" s="5">
        <v>72.8</v>
      </c>
      <c r="AF201" s="16">
        <v>23.7</v>
      </c>
      <c r="AG201" s="10">
        <v>330</v>
      </c>
      <c r="AH201" s="5">
        <v>63.2</v>
      </c>
      <c r="AI201" s="16">
        <v>19.2</v>
      </c>
      <c r="AJ201" s="10">
        <v>480</v>
      </c>
      <c r="AK201" s="5">
        <v>91.9</v>
      </c>
      <c r="AL201" s="16">
        <v>26</v>
      </c>
      <c r="AM201" s="10">
        <v>430</v>
      </c>
      <c r="AN201" s="5">
        <v>82.3</v>
      </c>
      <c r="AO201" s="16">
        <v>23.3</v>
      </c>
      <c r="AP201" s="10">
        <v>490</v>
      </c>
      <c r="AQ201" s="5">
        <v>93.8</v>
      </c>
      <c r="AR201" s="16">
        <v>26.5</v>
      </c>
      <c r="AS201" s="10">
        <v>570</v>
      </c>
      <c r="AT201" s="5">
        <v>109.2</v>
      </c>
      <c r="AU201" s="16">
        <v>30.9</v>
      </c>
      <c r="AV201" s="10">
        <v>630</v>
      </c>
      <c r="AW201" s="5">
        <v>120.5</v>
      </c>
      <c r="AX201" s="16">
        <v>34</v>
      </c>
      <c r="AY201" s="10">
        <v>690</v>
      </c>
      <c r="AZ201" s="5">
        <v>132.5</v>
      </c>
      <c r="BA201" s="16">
        <v>37.299999999999997</v>
      </c>
      <c r="BB201" s="25">
        <v>760</v>
      </c>
      <c r="BC201" s="26">
        <v>145</v>
      </c>
      <c r="BD201" s="27">
        <v>41</v>
      </c>
      <c r="BE201" s="65" t="s">
        <v>251</v>
      </c>
      <c r="BF201" s="18">
        <v>850</v>
      </c>
      <c r="BG201" s="5">
        <v>162.19999999999999</v>
      </c>
      <c r="BH201" s="16">
        <v>45.83688034</v>
      </c>
      <c r="BI201" s="10">
        <v>940</v>
      </c>
      <c r="BJ201" s="5">
        <v>179.2</v>
      </c>
      <c r="BK201" s="16">
        <v>50.6512837</v>
      </c>
      <c r="BL201" s="18">
        <v>1020</v>
      </c>
      <c r="BM201" s="5">
        <v>195.3</v>
      </c>
      <c r="BN201" s="16">
        <v>55.200935200000004</v>
      </c>
      <c r="BO201" s="18">
        <v>1210</v>
      </c>
      <c r="BP201" s="5">
        <v>231.13</v>
      </c>
      <c r="BQ201" s="16">
        <v>66.144562320000006</v>
      </c>
      <c r="BR201" s="18">
        <v>1500</v>
      </c>
      <c r="BS201" s="5">
        <v>286.49</v>
      </c>
      <c r="BT201" s="16">
        <v>81.99155162000001</v>
      </c>
      <c r="BU201" s="18">
        <v>1890</v>
      </c>
      <c r="BV201" s="5">
        <v>362.11</v>
      </c>
      <c r="BW201" s="16">
        <v>103.63145788</v>
      </c>
    </row>
    <row r="202" spans="29:75" x14ac:dyDescent="0.2">
      <c r="AC202" s="21" t="s">
        <v>252</v>
      </c>
      <c r="AD202" s="10">
        <v>220</v>
      </c>
      <c r="AE202" s="5">
        <v>42.3</v>
      </c>
      <c r="AF202" s="16">
        <v>13.8</v>
      </c>
      <c r="AG202" s="10">
        <v>380</v>
      </c>
      <c r="AH202" s="5">
        <v>73.2</v>
      </c>
      <c r="AI202" s="16">
        <v>22.3</v>
      </c>
      <c r="AJ202" s="10">
        <v>430</v>
      </c>
      <c r="AK202" s="5">
        <v>82.7</v>
      </c>
      <c r="AL202" s="16">
        <v>23.4</v>
      </c>
      <c r="AM202" s="10">
        <v>620</v>
      </c>
      <c r="AN202" s="5">
        <v>119.3</v>
      </c>
      <c r="AO202" s="16">
        <v>33.700000000000003</v>
      </c>
      <c r="AP202" s="10">
        <v>710</v>
      </c>
      <c r="AQ202" s="5">
        <v>136.69999999999999</v>
      </c>
      <c r="AR202" s="16">
        <v>38.700000000000003</v>
      </c>
      <c r="AS202" s="10">
        <v>500</v>
      </c>
      <c r="AT202" s="5">
        <v>96.2</v>
      </c>
      <c r="AU202" s="16">
        <v>27.2</v>
      </c>
      <c r="AV202" s="10">
        <v>620</v>
      </c>
      <c r="AW202" s="5">
        <v>119</v>
      </c>
      <c r="AX202" s="16">
        <v>33.6</v>
      </c>
      <c r="AY202" s="10">
        <v>690</v>
      </c>
      <c r="AZ202" s="5">
        <v>133.4</v>
      </c>
      <c r="BA202" s="16">
        <v>37.700000000000003</v>
      </c>
      <c r="BB202" s="25">
        <v>760</v>
      </c>
      <c r="BC202" s="26">
        <v>146.9</v>
      </c>
      <c r="BD202" s="27">
        <v>41.5</v>
      </c>
      <c r="BE202" s="65" t="s">
        <v>252</v>
      </c>
      <c r="BF202" s="18">
        <v>890</v>
      </c>
      <c r="BG202" s="5">
        <v>170.36</v>
      </c>
      <c r="BH202" s="16">
        <v>48.183393459999998</v>
      </c>
      <c r="BI202" s="10">
        <v>930</v>
      </c>
      <c r="BJ202" s="5">
        <v>179.4</v>
      </c>
      <c r="BK202" s="16">
        <v>50.747858100000002</v>
      </c>
      <c r="BL202" s="18">
        <v>1070</v>
      </c>
      <c r="BM202" s="5">
        <v>205.2</v>
      </c>
      <c r="BN202" s="16">
        <v>58.037341600000005</v>
      </c>
      <c r="BO202" s="18">
        <v>1260</v>
      </c>
      <c r="BP202" s="5">
        <v>242.35</v>
      </c>
      <c r="BQ202" s="16">
        <v>69.488546700000001</v>
      </c>
      <c r="BR202" s="18">
        <v>1460</v>
      </c>
      <c r="BS202" s="5">
        <v>281.61</v>
      </c>
      <c r="BT202" s="16">
        <v>80.744841900000011</v>
      </c>
      <c r="BU202" s="18">
        <v>1800</v>
      </c>
      <c r="BV202" s="5">
        <v>345.52</v>
      </c>
      <c r="BW202" s="16">
        <v>99.06738931999999</v>
      </c>
    </row>
    <row r="203" spans="29:75" x14ac:dyDescent="0.2">
      <c r="AC203" s="21" t="s">
        <v>253</v>
      </c>
      <c r="AD203" s="10">
        <v>300</v>
      </c>
      <c r="AE203" s="5">
        <v>58.1</v>
      </c>
      <c r="AF203" s="16">
        <v>18.899999999999999</v>
      </c>
      <c r="AG203" s="10">
        <v>280</v>
      </c>
      <c r="AH203" s="5">
        <v>54.2</v>
      </c>
      <c r="AI203" s="16">
        <v>16.5</v>
      </c>
      <c r="AJ203" s="10">
        <v>400</v>
      </c>
      <c r="AK203" s="5">
        <v>77.400000000000006</v>
      </c>
      <c r="AL203" s="16">
        <v>21.9</v>
      </c>
      <c r="AM203" s="10">
        <v>350</v>
      </c>
      <c r="AN203" s="5">
        <v>67.7</v>
      </c>
      <c r="AO203" s="16">
        <v>19.2</v>
      </c>
      <c r="AP203" s="10">
        <v>380</v>
      </c>
      <c r="AQ203" s="5">
        <v>73.599999999999994</v>
      </c>
      <c r="AR203" s="16">
        <v>20.8</v>
      </c>
      <c r="AS203" s="10">
        <v>440</v>
      </c>
      <c r="AT203" s="5">
        <v>85.1</v>
      </c>
      <c r="AU203" s="16">
        <v>24.1</v>
      </c>
      <c r="AV203" s="10">
        <v>620</v>
      </c>
      <c r="AW203" s="5">
        <v>120.7</v>
      </c>
      <c r="AX203" s="16">
        <v>34.1</v>
      </c>
      <c r="AY203" s="10">
        <v>690</v>
      </c>
      <c r="AZ203" s="5">
        <v>132.69999999999999</v>
      </c>
      <c r="BA203" s="16">
        <v>37.6</v>
      </c>
      <c r="BB203" s="25">
        <v>740</v>
      </c>
      <c r="BC203" s="26">
        <v>143</v>
      </c>
      <c r="BD203" s="27">
        <v>40.5</v>
      </c>
      <c r="BE203" s="65" t="s">
        <v>253</v>
      </c>
      <c r="BF203" s="18">
        <v>840</v>
      </c>
      <c r="BG203" s="5">
        <v>163.31</v>
      </c>
      <c r="BH203" s="16">
        <v>46.229721600000005</v>
      </c>
      <c r="BI203" s="10">
        <v>920</v>
      </c>
      <c r="BJ203" s="5">
        <v>177.8</v>
      </c>
      <c r="BK203" s="16">
        <v>50.338751500000001</v>
      </c>
      <c r="BL203" s="18">
        <v>970</v>
      </c>
      <c r="BM203" s="5">
        <v>188.5</v>
      </c>
      <c r="BN203" s="16">
        <v>53.353329799999997</v>
      </c>
      <c r="BO203" s="18">
        <v>1210</v>
      </c>
      <c r="BP203" s="5">
        <v>233.54</v>
      </c>
      <c r="BQ203" s="16">
        <v>67.086455700000002</v>
      </c>
      <c r="BR203" s="18">
        <v>1370</v>
      </c>
      <c r="BS203" s="5">
        <v>265.10000000000002</v>
      </c>
      <c r="BT203" s="16">
        <v>76.152905579999995</v>
      </c>
      <c r="BU203" s="18">
        <v>1750</v>
      </c>
      <c r="BV203" s="5">
        <v>338.42</v>
      </c>
      <c r="BW203" s="16">
        <v>97.215266849999992</v>
      </c>
    </row>
    <row r="204" spans="29:75" x14ac:dyDescent="0.2">
      <c r="AC204" s="21" t="s">
        <v>254</v>
      </c>
      <c r="AD204" s="10">
        <v>330</v>
      </c>
      <c r="AE204" s="5">
        <v>64.2</v>
      </c>
      <c r="AF204" s="16">
        <v>20.9</v>
      </c>
      <c r="AG204" s="10">
        <v>220</v>
      </c>
      <c r="AH204" s="5">
        <v>42.8</v>
      </c>
      <c r="AI204" s="16">
        <v>13</v>
      </c>
      <c r="AJ204" s="10">
        <v>430</v>
      </c>
      <c r="AK204" s="5">
        <v>83.6</v>
      </c>
      <c r="AL204" s="16">
        <v>23.7</v>
      </c>
      <c r="AM204" s="10">
        <v>280</v>
      </c>
      <c r="AN204" s="5">
        <v>54.5</v>
      </c>
      <c r="AO204" s="16">
        <v>15.4</v>
      </c>
      <c r="AP204" s="10">
        <v>570</v>
      </c>
      <c r="AQ204" s="5">
        <v>110.9</v>
      </c>
      <c r="AR204" s="16">
        <v>31.4</v>
      </c>
      <c r="AS204" s="10">
        <v>730</v>
      </c>
      <c r="AT204" s="5">
        <v>142.1</v>
      </c>
      <c r="AU204" s="16">
        <v>40.299999999999997</v>
      </c>
      <c r="AV204" s="10">
        <v>660</v>
      </c>
      <c r="AW204" s="5">
        <v>128.80000000000001</v>
      </c>
      <c r="AX204" s="16">
        <v>36.4</v>
      </c>
      <c r="AY204" s="10">
        <v>710</v>
      </c>
      <c r="AZ204" s="5">
        <v>137.30000000000001</v>
      </c>
      <c r="BA204" s="16">
        <v>38.799999999999997</v>
      </c>
      <c r="BB204" s="25">
        <v>790</v>
      </c>
      <c r="BC204" s="26">
        <v>153.5</v>
      </c>
      <c r="BD204" s="27">
        <v>43.5</v>
      </c>
      <c r="BE204" s="65" t="s">
        <v>254</v>
      </c>
      <c r="BF204" s="18">
        <v>860</v>
      </c>
      <c r="BG204" s="5">
        <v>166.9</v>
      </c>
      <c r="BH204" s="16">
        <v>47.286136920000004</v>
      </c>
      <c r="BI204" s="10">
        <v>950</v>
      </c>
      <c r="BJ204" s="5">
        <v>184.6</v>
      </c>
      <c r="BK204" s="16">
        <v>52.294887000000003</v>
      </c>
      <c r="BL204" s="18">
        <v>1000</v>
      </c>
      <c r="BM204" s="5">
        <v>193.7</v>
      </c>
      <c r="BN204" s="16">
        <v>54.890115200000004</v>
      </c>
      <c r="BO204" s="18">
        <v>1140</v>
      </c>
      <c r="BP204" s="5">
        <v>222.32</v>
      </c>
      <c r="BQ204" s="16">
        <v>63.980893399999999</v>
      </c>
      <c r="BR204" s="18">
        <v>1420</v>
      </c>
      <c r="BS204" s="5">
        <v>275.41000000000003</v>
      </c>
      <c r="BT204" s="16">
        <v>79.260210450000002</v>
      </c>
      <c r="BU204" s="18">
        <v>1740</v>
      </c>
      <c r="BV204" s="5">
        <v>337.65</v>
      </c>
      <c r="BW204" s="16">
        <v>97.171651620000006</v>
      </c>
    </row>
    <row r="205" spans="29:75" x14ac:dyDescent="0.2">
      <c r="AC205" s="21" t="s">
        <v>255</v>
      </c>
      <c r="AD205" s="10">
        <v>430</v>
      </c>
      <c r="AE205" s="5">
        <v>84.1</v>
      </c>
      <c r="AF205" s="16">
        <v>27.5</v>
      </c>
      <c r="AG205" s="10">
        <v>250</v>
      </c>
      <c r="AH205" s="5">
        <v>48.9</v>
      </c>
      <c r="AI205" s="16">
        <v>14.9</v>
      </c>
      <c r="AJ205" s="10">
        <v>300</v>
      </c>
      <c r="AK205" s="5">
        <v>58.7</v>
      </c>
      <c r="AL205" s="16">
        <v>16.600000000000001</v>
      </c>
      <c r="AM205" s="10">
        <v>410</v>
      </c>
      <c r="AN205" s="5">
        <v>80.2</v>
      </c>
      <c r="AO205" s="16">
        <v>22.7</v>
      </c>
      <c r="AP205" s="10">
        <v>720</v>
      </c>
      <c r="AQ205" s="5">
        <v>140.69999999999999</v>
      </c>
      <c r="AR205" s="16">
        <v>39.9</v>
      </c>
      <c r="AS205" s="10">
        <v>550</v>
      </c>
      <c r="AT205" s="5">
        <v>107.5</v>
      </c>
      <c r="AU205" s="16">
        <v>30.5</v>
      </c>
      <c r="AV205" s="10">
        <v>630</v>
      </c>
      <c r="AW205" s="5">
        <v>123.8</v>
      </c>
      <c r="AX205" s="16">
        <v>34.9</v>
      </c>
      <c r="AY205" s="10">
        <v>660</v>
      </c>
      <c r="AZ205" s="5">
        <v>129</v>
      </c>
      <c r="BA205" s="16">
        <v>36.5</v>
      </c>
      <c r="BB205" s="25">
        <v>730</v>
      </c>
      <c r="BC205" s="26">
        <v>143.5</v>
      </c>
      <c r="BD205" s="27">
        <v>40.700000000000003</v>
      </c>
      <c r="BE205" s="65" t="s">
        <v>255</v>
      </c>
      <c r="BF205" s="18">
        <v>790</v>
      </c>
      <c r="BG205" s="5">
        <v>154.63</v>
      </c>
      <c r="BH205" s="16">
        <v>43.846560350000004</v>
      </c>
      <c r="BI205" s="10">
        <v>900</v>
      </c>
      <c r="BJ205" s="5">
        <v>176.7</v>
      </c>
      <c r="BK205" s="16">
        <v>50.109594100000002</v>
      </c>
      <c r="BL205" s="18">
        <v>1010</v>
      </c>
      <c r="BM205" s="5">
        <v>197.6</v>
      </c>
      <c r="BN205" s="16">
        <v>56.038509299999994</v>
      </c>
      <c r="BO205" s="18">
        <v>1150</v>
      </c>
      <c r="BP205" s="5">
        <v>225.39</v>
      </c>
      <c r="BQ205" s="16">
        <v>64.98131789</v>
      </c>
      <c r="BR205" s="18">
        <v>1390</v>
      </c>
      <c r="BS205" s="5">
        <v>271.52999999999997</v>
      </c>
      <c r="BT205" s="16">
        <v>78.282479219999999</v>
      </c>
      <c r="BU205" s="18">
        <v>1680</v>
      </c>
      <c r="BV205" s="5">
        <v>328.82</v>
      </c>
      <c r="BW205" s="16">
        <v>94.801690379999997</v>
      </c>
    </row>
    <row r="206" spans="29:75" x14ac:dyDescent="0.2">
      <c r="AC206" s="21" t="s">
        <v>256</v>
      </c>
      <c r="AD206" s="10">
        <v>260</v>
      </c>
      <c r="AE206" s="5">
        <v>51.1</v>
      </c>
      <c r="AF206" s="16">
        <v>16.7</v>
      </c>
      <c r="AG206" s="10">
        <v>180</v>
      </c>
      <c r="AH206" s="5">
        <v>35.4</v>
      </c>
      <c r="AI206" s="16">
        <v>10.8</v>
      </c>
      <c r="AJ206" s="10">
        <v>420</v>
      </c>
      <c r="AK206" s="5">
        <v>82.5</v>
      </c>
      <c r="AL206" s="16">
        <v>23.4</v>
      </c>
      <c r="AM206" s="10">
        <v>600</v>
      </c>
      <c r="AN206" s="5">
        <v>117.9</v>
      </c>
      <c r="AO206" s="16">
        <v>33.5</v>
      </c>
      <c r="AP206" s="10">
        <v>440</v>
      </c>
      <c r="AQ206" s="5">
        <v>86.4</v>
      </c>
      <c r="AR206" s="16">
        <v>24.5</v>
      </c>
      <c r="AS206" s="10">
        <v>390</v>
      </c>
      <c r="AT206" s="5">
        <v>76.7</v>
      </c>
      <c r="AU206" s="16">
        <v>21.8</v>
      </c>
      <c r="AV206" s="10">
        <v>600</v>
      </c>
      <c r="AW206" s="5">
        <v>117.7</v>
      </c>
      <c r="AX206" s="16">
        <v>33.299999999999997</v>
      </c>
      <c r="AY206" s="10">
        <v>660</v>
      </c>
      <c r="AZ206" s="5">
        <v>129.5</v>
      </c>
      <c r="BA206" s="16">
        <v>36.700000000000003</v>
      </c>
      <c r="BB206" s="25">
        <v>680</v>
      </c>
      <c r="BC206" s="26">
        <v>133.80000000000001</v>
      </c>
      <c r="BD206" s="27">
        <v>38</v>
      </c>
      <c r="BE206" s="65" t="s">
        <v>256</v>
      </c>
      <c r="BF206" s="18">
        <v>780</v>
      </c>
      <c r="BG206" s="5">
        <v>153.66999999999999</v>
      </c>
      <c r="BH206" s="16">
        <v>43.610100709999998</v>
      </c>
      <c r="BI206" s="10">
        <v>900</v>
      </c>
      <c r="BJ206" s="5">
        <v>176.1</v>
      </c>
      <c r="BK206" s="16">
        <v>49.963581900000001</v>
      </c>
      <c r="BL206" s="18">
        <v>930</v>
      </c>
      <c r="BM206" s="5">
        <v>181.7</v>
      </c>
      <c r="BN206" s="16">
        <v>51.576551700000003</v>
      </c>
      <c r="BO206" s="18">
        <v>1130</v>
      </c>
      <c r="BP206" s="5">
        <v>222.04</v>
      </c>
      <c r="BQ206" s="16">
        <v>64.131224639999999</v>
      </c>
      <c r="BR206" s="18">
        <v>1320</v>
      </c>
      <c r="BS206" s="5">
        <v>258.58999999999997</v>
      </c>
      <c r="BT206" s="16">
        <v>74.68892305</v>
      </c>
      <c r="BU206" s="18">
        <v>1670</v>
      </c>
      <c r="BV206" s="5">
        <v>327.74</v>
      </c>
      <c r="BW206" s="16">
        <v>94.658601329999996</v>
      </c>
    </row>
    <row r="207" spans="29:75" x14ac:dyDescent="0.2">
      <c r="AC207" s="21" t="s">
        <v>257</v>
      </c>
      <c r="AD207" s="10">
        <v>330</v>
      </c>
      <c r="AE207" s="5">
        <v>65.2</v>
      </c>
      <c r="AF207" s="16">
        <v>21.3</v>
      </c>
      <c r="AG207" s="10">
        <v>370</v>
      </c>
      <c r="AH207" s="5">
        <v>73.099999999999994</v>
      </c>
      <c r="AI207" s="16">
        <v>22.3</v>
      </c>
      <c r="AJ207" s="10">
        <v>470</v>
      </c>
      <c r="AK207" s="5">
        <v>92.9</v>
      </c>
      <c r="AL207" s="16">
        <v>26.4</v>
      </c>
      <c r="AM207" s="10">
        <v>320</v>
      </c>
      <c r="AN207" s="5">
        <v>63.2</v>
      </c>
      <c r="AO207" s="16">
        <v>18</v>
      </c>
      <c r="AP207" s="10">
        <v>450</v>
      </c>
      <c r="AQ207" s="5">
        <v>88.9</v>
      </c>
      <c r="AR207" s="16">
        <v>25.2</v>
      </c>
      <c r="AS207" s="10">
        <v>490</v>
      </c>
      <c r="AT207" s="5">
        <v>96.8</v>
      </c>
      <c r="AU207" s="16">
        <v>27.5</v>
      </c>
      <c r="AV207" s="10">
        <v>530</v>
      </c>
      <c r="AW207" s="5">
        <v>104.9</v>
      </c>
      <c r="AX207" s="16">
        <v>29.8</v>
      </c>
      <c r="AY207" s="10">
        <v>640</v>
      </c>
      <c r="AZ207" s="5">
        <v>126.8</v>
      </c>
      <c r="BA207" s="16">
        <v>36</v>
      </c>
      <c r="BB207" s="25">
        <v>730</v>
      </c>
      <c r="BC207" s="26">
        <v>144</v>
      </c>
      <c r="BD207" s="27">
        <v>40.9</v>
      </c>
      <c r="BE207" s="65" t="s">
        <v>257</v>
      </c>
      <c r="BF207" s="18">
        <v>750</v>
      </c>
      <c r="BG207" s="5">
        <v>147.93</v>
      </c>
      <c r="BH207" s="16">
        <v>42.015895960000002</v>
      </c>
      <c r="BI207" s="10">
        <v>870</v>
      </c>
      <c r="BJ207" s="5">
        <v>171.2</v>
      </c>
      <c r="BK207" s="16">
        <v>48.6336072</v>
      </c>
      <c r="BL207" s="18">
        <v>850</v>
      </c>
      <c r="BM207" s="5">
        <v>168.7</v>
      </c>
      <c r="BN207" s="16">
        <v>47.9031412</v>
      </c>
      <c r="BO207" s="18">
        <v>1060</v>
      </c>
      <c r="BP207" s="5">
        <v>209.15</v>
      </c>
      <c r="BQ207" s="16">
        <v>60.513686820000004</v>
      </c>
      <c r="BR207" s="18">
        <v>1370</v>
      </c>
      <c r="BS207" s="5">
        <v>270.58</v>
      </c>
      <c r="BT207" s="16">
        <v>78.290500309999999</v>
      </c>
      <c r="BU207" s="18">
        <v>1590</v>
      </c>
      <c r="BV207" s="5">
        <v>314.43</v>
      </c>
      <c r="BW207" s="16">
        <v>90.977805950000004</v>
      </c>
    </row>
    <row r="208" spans="29:75" x14ac:dyDescent="0.2">
      <c r="AC208" s="21" t="s">
        <v>258</v>
      </c>
      <c r="AD208" s="10">
        <v>270</v>
      </c>
      <c r="AE208" s="5">
        <v>53.6</v>
      </c>
      <c r="AF208" s="16">
        <v>17.5</v>
      </c>
      <c r="AG208" s="10">
        <v>250</v>
      </c>
      <c r="AH208" s="5">
        <v>49.6</v>
      </c>
      <c r="AI208" s="16">
        <v>15.2</v>
      </c>
      <c r="AJ208" s="10">
        <v>420</v>
      </c>
      <c r="AK208" s="5">
        <v>83.4</v>
      </c>
      <c r="AL208" s="16">
        <v>23.7</v>
      </c>
      <c r="AM208" s="10">
        <v>460</v>
      </c>
      <c r="AN208" s="5">
        <v>91.3</v>
      </c>
      <c r="AO208" s="16">
        <v>26</v>
      </c>
      <c r="AP208" s="10">
        <v>360</v>
      </c>
      <c r="AQ208" s="5">
        <v>71.5</v>
      </c>
      <c r="AR208" s="16">
        <v>20.3</v>
      </c>
      <c r="AS208" s="10">
        <v>430</v>
      </c>
      <c r="AT208" s="5">
        <v>85.3</v>
      </c>
      <c r="AU208" s="16">
        <v>24.3</v>
      </c>
      <c r="AV208" s="10">
        <v>570</v>
      </c>
      <c r="AW208" s="5">
        <v>112.8</v>
      </c>
      <c r="AX208" s="16">
        <v>31.9</v>
      </c>
      <c r="AY208" s="10">
        <v>600</v>
      </c>
      <c r="AZ208" s="5">
        <v>118.3</v>
      </c>
      <c r="BA208" s="16">
        <v>33.6</v>
      </c>
      <c r="BB208" s="25">
        <v>640</v>
      </c>
      <c r="BC208" s="26">
        <v>127.6</v>
      </c>
      <c r="BD208" s="27">
        <v>36.299999999999997</v>
      </c>
      <c r="BE208" s="65" t="s">
        <v>258</v>
      </c>
      <c r="BF208" s="18">
        <v>780</v>
      </c>
      <c r="BG208" s="5">
        <v>155.63</v>
      </c>
      <c r="BH208" s="16">
        <v>44.237667639999998</v>
      </c>
      <c r="BI208" s="10">
        <v>830</v>
      </c>
      <c r="BJ208" s="5">
        <v>165.5</v>
      </c>
      <c r="BK208" s="16">
        <v>47.056400100000005</v>
      </c>
      <c r="BL208" s="18">
        <v>940</v>
      </c>
      <c r="BM208" s="5">
        <v>185.8</v>
      </c>
      <c r="BN208" s="16">
        <v>52.810287000000002</v>
      </c>
      <c r="BO208" s="18">
        <v>1090</v>
      </c>
      <c r="BP208" s="5">
        <v>217.18</v>
      </c>
      <c r="BQ208" s="16">
        <v>62.950195469999997</v>
      </c>
      <c r="BR208" s="18">
        <v>1250</v>
      </c>
      <c r="BS208" s="5">
        <v>248.32</v>
      </c>
      <c r="BT208" s="16">
        <v>71.974966659999993</v>
      </c>
      <c r="BU208" s="18">
        <v>1620</v>
      </c>
      <c r="BV208" s="5">
        <v>320.58999999999997</v>
      </c>
      <c r="BW208" s="16">
        <v>92.922391989999994</v>
      </c>
    </row>
    <row r="209" spans="29:75" x14ac:dyDescent="0.2">
      <c r="AC209" s="62" t="s">
        <v>259</v>
      </c>
      <c r="AD209" s="61">
        <v>180</v>
      </c>
      <c r="AE209" s="59">
        <v>35.9</v>
      </c>
      <c r="AF209" s="60">
        <v>11.8</v>
      </c>
      <c r="AG209" s="61">
        <v>190</v>
      </c>
      <c r="AH209" s="59">
        <v>37.9</v>
      </c>
      <c r="AI209" s="60">
        <v>11.6</v>
      </c>
      <c r="AJ209" s="61">
        <v>570</v>
      </c>
      <c r="AK209" s="59">
        <v>113.8</v>
      </c>
      <c r="AL209" s="60">
        <v>32.4</v>
      </c>
      <c r="AM209" s="61">
        <v>580</v>
      </c>
      <c r="AN209" s="59">
        <v>115.7</v>
      </c>
      <c r="AO209" s="60">
        <v>32.9</v>
      </c>
      <c r="AP209" s="61">
        <v>680</v>
      </c>
      <c r="AQ209" s="59">
        <v>135.69999999999999</v>
      </c>
      <c r="AR209" s="60">
        <v>38.6</v>
      </c>
      <c r="AS209" s="61">
        <v>540</v>
      </c>
      <c r="AT209" s="59">
        <v>107.8</v>
      </c>
      <c r="AU209" s="60">
        <v>30.7</v>
      </c>
      <c r="AV209" s="61">
        <v>700</v>
      </c>
      <c r="AW209" s="59">
        <v>139.5</v>
      </c>
      <c r="AX209" s="60">
        <v>39.5</v>
      </c>
      <c r="AY209" s="61">
        <v>810</v>
      </c>
      <c r="AZ209" s="59">
        <v>161.6</v>
      </c>
      <c r="BA209" s="60">
        <v>45.9</v>
      </c>
      <c r="BB209" s="63">
        <v>870</v>
      </c>
      <c r="BC209" s="64">
        <v>172.9</v>
      </c>
      <c r="BD209" s="64">
        <v>49.2</v>
      </c>
      <c r="BE209" s="66" t="s">
        <v>259</v>
      </c>
      <c r="BF209" s="58">
        <v>940</v>
      </c>
      <c r="BG209" s="59">
        <v>187.82</v>
      </c>
      <c r="BH209" s="60">
        <v>53.435151060000003</v>
      </c>
      <c r="BI209" s="61">
        <v>1070</v>
      </c>
      <c r="BJ209" s="59">
        <v>214</v>
      </c>
      <c r="BK209" s="60">
        <v>60.880427900000001</v>
      </c>
      <c r="BL209" s="58">
        <v>1030</v>
      </c>
      <c r="BM209" s="59">
        <v>205.3</v>
      </c>
      <c r="BN209" s="60">
        <v>58.420757899999998</v>
      </c>
      <c r="BO209" s="58">
        <v>1250</v>
      </c>
      <c r="BP209" s="59">
        <v>249.67</v>
      </c>
      <c r="BQ209" s="60">
        <v>72.499659600000001</v>
      </c>
      <c r="BR209" s="58">
        <v>1350</v>
      </c>
      <c r="BS209" s="59">
        <v>268.8</v>
      </c>
      <c r="BT209" s="60">
        <v>78.053787830000005</v>
      </c>
      <c r="BU209" s="58">
        <v>1740</v>
      </c>
      <c r="BV209" s="59">
        <v>347.38</v>
      </c>
      <c r="BW209" s="60">
        <v>100.86590045999999</v>
      </c>
    </row>
    <row r="210" spans="29:75" x14ac:dyDescent="0.2">
      <c r="AC210" s="21" t="s">
        <v>208</v>
      </c>
      <c r="AD210" s="10">
        <v>1530</v>
      </c>
      <c r="AE210" s="5">
        <v>310.10000000000002</v>
      </c>
      <c r="AF210" s="16">
        <v>101.9</v>
      </c>
      <c r="AG210" s="10">
        <v>1410</v>
      </c>
      <c r="AH210" s="5">
        <v>285.8</v>
      </c>
      <c r="AI210" s="16">
        <v>87.7</v>
      </c>
      <c r="AJ210" s="10">
        <v>1890</v>
      </c>
      <c r="AK210" s="5">
        <v>383</v>
      </c>
      <c r="AL210" s="16">
        <v>109.2</v>
      </c>
      <c r="AM210" s="10">
        <v>2180</v>
      </c>
      <c r="AN210" s="5">
        <v>441.4</v>
      </c>
      <c r="AO210" s="16">
        <v>125.9</v>
      </c>
      <c r="AP210" s="10">
        <v>2120</v>
      </c>
      <c r="AQ210" s="5">
        <v>428.7</v>
      </c>
      <c r="AR210" s="16">
        <v>122.2</v>
      </c>
      <c r="AS210" s="10">
        <v>2790</v>
      </c>
      <c r="AT210" s="5">
        <v>564</v>
      </c>
      <c r="AU210" s="16">
        <v>160.80000000000001</v>
      </c>
      <c r="AV210" s="10">
        <v>2650</v>
      </c>
      <c r="AW210" s="5">
        <v>537.20000000000005</v>
      </c>
      <c r="AX210" s="16">
        <v>152.5</v>
      </c>
      <c r="AY210" s="10">
        <v>2960</v>
      </c>
      <c r="AZ210" s="5">
        <v>599.9</v>
      </c>
      <c r="BA210" s="16">
        <v>170.5</v>
      </c>
      <c r="BB210" s="25">
        <v>3280</v>
      </c>
      <c r="BC210" s="26">
        <v>663.7</v>
      </c>
      <c r="BD210" s="27">
        <v>189.3</v>
      </c>
      <c r="BE210" s="65" t="s">
        <v>208</v>
      </c>
      <c r="BF210" s="18">
        <v>3760</v>
      </c>
      <c r="BG210" s="5">
        <v>760.96</v>
      </c>
      <c r="BH210" s="16">
        <v>216.98600794999999</v>
      </c>
      <c r="BI210" s="10">
        <v>4420</v>
      </c>
      <c r="BJ210" s="5">
        <v>894.6</v>
      </c>
      <c r="BK210" s="16">
        <v>255.07207460000001</v>
      </c>
      <c r="BL210" s="18">
        <v>4540</v>
      </c>
      <c r="BM210" s="5">
        <v>918.7</v>
      </c>
      <c r="BN210" s="16">
        <v>261.96118849999999</v>
      </c>
      <c r="BO210" s="18">
        <v>5580</v>
      </c>
      <c r="BP210" s="5">
        <v>1130.04</v>
      </c>
      <c r="BQ210" s="16">
        <v>329.70485694000001</v>
      </c>
      <c r="BR210" s="18">
        <v>6560</v>
      </c>
      <c r="BS210" s="5">
        <v>1327.1</v>
      </c>
      <c r="BT210" s="16">
        <v>387.19620802999998</v>
      </c>
      <c r="BU210" s="18">
        <v>7920</v>
      </c>
      <c r="BV210" s="5">
        <v>1602.17</v>
      </c>
      <c r="BW210" s="16">
        <v>467.47671574999998</v>
      </c>
    </row>
    <row r="211" spans="29:75" x14ac:dyDescent="0.2">
      <c r="AC211" s="21" t="s">
        <v>210</v>
      </c>
      <c r="AD211" s="10">
        <v>990</v>
      </c>
      <c r="AE211" s="5">
        <v>205.8</v>
      </c>
      <c r="AF211" s="16">
        <v>67.8</v>
      </c>
      <c r="AG211" s="10">
        <v>1260</v>
      </c>
      <c r="AH211" s="5">
        <v>261.3</v>
      </c>
      <c r="AI211" s="16">
        <v>80.5</v>
      </c>
      <c r="AJ211" s="10">
        <v>2130</v>
      </c>
      <c r="AK211" s="5">
        <v>442.7</v>
      </c>
      <c r="AL211" s="16">
        <v>126.8</v>
      </c>
      <c r="AM211" s="10">
        <v>2230</v>
      </c>
      <c r="AN211" s="5">
        <v>462.9</v>
      </c>
      <c r="AO211" s="16">
        <v>132.5</v>
      </c>
      <c r="AP211" s="10">
        <v>2280</v>
      </c>
      <c r="AQ211" s="5">
        <v>472.6</v>
      </c>
      <c r="AR211" s="16">
        <v>135.30000000000001</v>
      </c>
      <c r="AS211" s="10">
        <v>2140</v>
      </c>
      <c r="AT211" s="5">
        <v>444</v>
      </c>
      <c r="AU211" s="16">
        <v>127.1</v>
      </c>
      <c r="AV211" s="10">
        <v>2470</v>
      </c>
      <c r="AW211" s="5">
        <v>513.1</v>
      </c>
      <c r="AX211" s="16">
        <v>146.4</v>
      </c>
      <c r="AY211" s="10">
        <v>2770</v>
      </c>
      <c r="AZ211" s="5">
        <v>573.70000000000005</v>
      </c>
      <c r="BA211" s="16">
        <v>163.9</v>
      </c>
      <c r="BB211" s="25">
        <v>3240</v>
      </c>
      <c r="BC211" s="26">
        <v>671.9</v>
      </c>
      <c r="BD211" s="27">
        <v>192.3</v>
      </c>
      <c r="BE211" s="65" t="s">
        <v>210</v>
      </c>
      <c r="BF211" s="18">
        <v>3510</v>
      </c>
      <c r="BG211" s="5">
        <v>729.15</v>
      </c>
      <c r="BH211" s="16">
        <v>208.72245147000001</v>
      </c>
      <c r="BI211" s="10">
        <v>3980</v>
      </c>
      <c r="BJ211" s="5">
        <v>826.2</v>
      </c>
      <c r="BK211" s="16">
        <v>236.49557630000001</v>
      </c>
      <c r="BL211" s="18">
        <v>4300</v>
      </c>
      <c r="BM211" s="5">
        <v>892.9</v>
      </c>
      <c r="BN211" s="16">
        <v>255.57187730000001</v>
      </c>
      <c r="BO211" s="18">
        <v>4560</v>
      </c>
      <c r="BP211" s="5">
        <v>945.75</v>
      </c>
      <c r="BQ211" s="16">
        <v>278.22670814999998</v>
      </c>
      <c r="BR211" s="18">
        <v>5350</v>
      </c>
      <c r="BS211" s="5">
        <v>1109.3399999999999</v>
      </c>
      <c r="BT211" s="16">
        <v>326.36409372000003</v>
      </c>
      <c r="BU211" s="18">
        <v>6690</v>
      </c>
      <c r="BV211" s="5">
        <v>1388.74</v>
      </c>
      <c r="BW211" s="16">
        <v>408.53024689</v>
      </c>
    </row>
    <row r="212" spans="29:75" x14ac:dyDescent="0.2">
      <c r="AC212" s="21" t="s">
        <v>212</v>
      </c>
      <c r="AD212" s="10">
        <v>970</v>
      </c>
      <c r="AE212" s="5">
        <v>206.2</v>
      </c>
      <c r="AF212" s="16">
        <v>68.2</v>
      </c>
      <c r="AG212" s="10">
        <v>1030</v>
      </c>
      <c r="AH212" s="5">
        <v>218.6</v>
      </c>
      <c r="AI212" s="16">
        <v>67.5</v>
      </c>
      <c r="AJ212" s="10">
        <v>1210</v>
      </c>
      <c r="AK212" s="5">
        <v>257.10000000000002</v>
      </c>
      <c r="AL212" s="16">
        <v>73.8</v>
      </c>
      <c r="AM212" s="10">
        <v>1350</v>
      </c>
      <c r="AN212" s="5">
        <v>286.7</v>
      </c>
      <c r="AO212" s="16">
        <v>82.4</v>
      </c>
      <c r="AP212" s="10">
        <v>1610</v>
      </c>
      <c r="AQ212" s="5">
        <v>342</v>
      </c>
      <c r="AR212" s="16">
        <v>98.2</v>
      </c>
      <c r="AS212" s="10">
        <v>1850</v>
      </c>
      <c r="AT212" s="5">
        <v>393</v>
      </c>
      <c r="AU212" s="16">
        <v>112.9</v>
      </c>
      <c r="AV212" s="10">
        <v>2260</v>
      </c>
      <c r="AW212" s="5">
        <v>480.9</v>
      </c>
      <c r="AX212" s="16">
        <v>137.9</v>
      </c>
      <c r="AY212" s="10">
        <v>2410</v>
      </c>
      <c r="AZ212" s="5">
        <v>512.29999999999995</v>
      </c>
      <c r="BA212" s="16">
        <v>146.9</v>
      </c>
      <c r="BB212" s="25">
        <v>2710</v>
      </c>
      <c r="BC212" s="26">
        <v>575.1</v>
      </c>
      <c r="BD212" s="27">
        <v>165.2</v>
      </c>
      <c r="BE212" s="65" t="s">
        <v>212</v>
      </c>
      <c r="BF212" s="18">
        <v>3010</v>
      </c>
      <c r="BG212" s="5">
        <v>640.09</v>
      </c>
      <c r="BH212" s="16">
        <v>183.87039727000001</v>
      </c>
      <c r="BI212" s="10">
        <v>3330</v>
      </c>
      <c r="BJ212" s="5">
        <v>706.3</v>
      </c>
      <c r="BK212" s="16">
        <v>202.88901090000002</v>
      </c>
      <c r="BL212" s="18">
        <v>3550</v>
      </c>
      <c r="BM212" s="5">
        <v>753.1</v>
      </c>
      <c r="BN212" s="16">
        <v>216.34310480000002</v>
      </c>
      <c r="BO212" s="18">
        <v>4170</v>
      </c>
      <c r="BP212" s="5">
        <v>885.32</v>
      </c>
      <c r="BQ212" s="16">
        <v>262.43627244999999</v>
      </c>
      <c r="BR212" s="18">
        <v>5040</v>
      </c>
      <c r="BS212" s="5">
        <v>1069.55</v>
      </c>
      <c r="BT212" s="16">
        <v>317.0302145</v>
      </c>
      <c r="BU212" s="18">
        <v>6050</v>
      </c>
      <c r="BV212" s="5">
        <v>1285.04</v>
      </c>
      <c r="BW212" s="16">
        <v>380.90993800999996</v>
      </c>
    </row>
    <row r="213" spans="29:75" x14ac:dyDescent="0.2">
      <c r="AC213" s="21" t="s">
        <v>214</v>
      </c>
      <c r="AD213" s="10">
        <v>1020</v>
      </c>
      <c r="AE213" s="5">
        <v>221.9</v>
      </c>
      <c r="AF213" s="16">
        <v>73.7</v>
      </c>
      <c r="AG213" s="10">
        <v>860</v>
      </c>
      <c r="AH213" s="5">
        <v>186.9</v>
      </c>
      <c r="AI213" s="16">
        <v>58</v>
      </c>
      <c r="AJ213" s="10">
        <v>1380</v>
      </c>
      <c r="AK213" s="5">
        <v>300.5</v>
      </c>
      <c r="AL213" s="16">
        <v>86.6</v>
      </c>
      <c r="AM213" s="10">
        <v>1690</v>
      </c>
      <c r="AN213" s="5">
        <v>367.8</v>
      </c>
      <c r="AO213" s="16">
        <v>106</v>
      </c>
      <c r="AP213" s="10">
        <v>1710</v>
      </c>
      <c r="AQ213" s="5">
        <v>372</v>
      </c>
      <c r="AR213" s="16">
        <v>107.2</v>
      </c>
      <c r="AS213" s="10">
        <v>1810</v>
      </c>
      <c r="AT213" s="5">
        <v>393.3</v>
      </c>
      <c r="AU213" s="16">
        <v>113.3</v>
      </c>
      <c r="AV213" s="10">
        <v>1960</v>
      </c>
      <c r="AW213" s="5">
        <v>427.1</v>
      </c>
      <c r="AX213" s="16">
        <v>123</v>
      </c>
      <c r="AY213" s="10">
        <v>2310</v>
      </c>
      <c r="AZ213" s="5">
        <v>501.7</v>
      </c>
      <c r="BA213" s="16">
        <v>144.1</v>
      </c>
      <c r="BB213" s="25">
        <v>2440</v>
      </c>
      <c r="BC213" s="26">
        <v>530.79999999999995</v>
      </c>
      <c r="BD213" s="27">
        <v>153</v>
      </c>
      <c r="BE213" s="65" t="s">
        <v>214</v>
      </c>
      <c r="BF213" s="18">
        <v>2760</v>
      </c>
      <c r="BG213" s="5">
        <v>600.67999999999995</v>
      </c>
      <c r="BH213" s="16">
        <v>173.14542338999999</v>
      </c>
      <c r="BI213" s="10">
        <v>3130</v>
      </c>
      <c r="BJ213" s="5">
        <v>680.9</v>
      </c>
      <c r="BK213" s="16">
        <v>196.26175940000002</v>
      </c>
      <c r="BL213" s="18">
        <v>3390</v>
      </c>
      <c r="BM213" s="5">
        <v>736.2</v>
      </c>
      <c r="BN213" s="16">
        <v>212.20190159999999</v>
      </c>
      <c r="BO213" s="18">
        <v>3780</v>
      </c>
      <c r="BP213" s="5">
        <v>821.65</v>
      </c>
      <c r="BQ213" s="16">
        <v>245.33577</v>
      </c>
      <c r="BR213" s="18">
        <v>4560</v>
      </c>
      <c r="BS213" s="5">
        <v>992.21</v>
      </c>
      <c r="BT213" s="16">
        <v>296.25032248000002</v>
      </c>
      <c r="BU213" s="18">
        <v>5470</v>
      </c>
      <c r="BV213" s="5">
        <v>1189.7</v>
      </c>
      <c r="BW213" s="16">
        <v>355.22067857999997</v>
      </c>
    </row>
    <row r="214" spans="29:75" x14ac:dyDescent="0.2">
      <c r="AC214" s="21" t="s">
        <v>216</v>
      </c>
      <c r="AD214" s="10">
        <v>760</v>
      </c>
      <c r="AE214" s="5">
        <v>169.3</v>
      </c>
      <c r="AF214" s="16">
        <v>56.4</v>
      </c>
      <c r="AG214" s="10">
        <v>900</v>
      </c>
      <c r="AH214" s="5">
        <v>199.8</v>
      </c>
      <c r="AI214" s="16">
        <v>62.2</v>
      </c>
      <c r="AJ214" s="10">
        <v>1140</v>
      </c>
      <c r="AK214" s="5">
        <v>253.9</v>
      </c>
      <c r="AL214" s="16">
        <v>73.5</v>
      </c>
      <c r="AM214" s="10">
        <v>1910</v>
      </c>
      <c r="AN214" s="5">
        <v>425.4</v>
      </c>
      <c r="AO214" s="16">
        <v>123</v>
      </c>
      <c r="AP214" s="10">
        <v>1630</v>
      </c>
      <c r="AQ214" s="5">
        <v>362.6</v>
      </c>
      <c r="AR214" s="16">
        <v>104.9</v>
      </c>
      <c r="AS214" s="10">
        <v>1620</v>
      </c>
      <c r="AT214" s="5">
        <v>360.4</v>
      </c>
      <c r="AU214" s="16">
        <v>104.2</v>
      </c>
      <c r="AV214" s="10">
        <v>1900</v>
      </c>
      <c r="AW214" s="5">
        <v>423.1</v>
      </c>
      <c r="AX214" s="16">
        <v>122.2</v>
      </c>
      <c r="AY214" s="10">
        <v>2050</v>
      </c>
      <c r="AZ214" s="5">
        <v>455.9</v>
      </c>
      <c r="BA214" s="16">
        <v>131.80000000000001</v>
      </c>
      <c r="BB214" s="25">
        <v>2420</v>
      </c>
      <c r="BC214" s="26">
        <v>538.20000000000005</v>
      </c>
      <c r="BD214" s="27">
        <v>155.6</v>
      </c>
      <c r="BE214" s="65" t="s">
        <v>216</v>
      </c>
      <c r="BF214" s="18">
        <v>2520</v>
      </c>
      <c r="BG214" s="5">
        <v>560.66999999999996</v>
      </c>
      <c r="BH214" s="16">
        <v>162.14100794999999</v>
      </c>
      <c r="BI214" s="10">
        <v>2860</v>
      </c>
      <c r="BJ214" s="5">
        <v>636.5</v>
      </c>
      <c r="BK214" s="16">
        <v>184.0638821</v>
      </c>
      <c r="BL214" s="18">
        <v>3030</v>
      </c>
      <c r="BM214" s="5">
        <v>675</v>
      </c>
      <c r="BN214" s="16">
        <v>195.21329319999998</v>
      </c>
      <c r="BO214" s="18">
        <v>3500</v>
      </c>
      <c r="BP214" s="5">
        <v>778.88</v>
      </c>
      <c r="BQ214" s="16">
        <v>234.14478907</v>
      </c>
      <c r="BR214" s="18">
        <v>4180</v>
      </c>
      <c r="BS214" s="5">
        <v>929.27</v>
      </c>
      <c r="BT214" s="16">
        <v>279.35704462000001</v>
      </c>
      <c r="BU214" s="18">
        <v>4980</v>
      </c>
      <c r="BV214" s="5">
        <v>1108.49</v>
      </c>
      <c r="BW214" s="16">
        <v>333.2504351</v>
      </c>
    </row>
    <row r="215" spans="29:75" x14ac:dyDescent="0.2">
      <c r="AC215" s="21" t="s">
        <v>218</v>
      </c>
      <c r="AD215" s="10">
        <v>730</v>
      </c>
      <c r="AE215" s="5">
        <v>166.2</v>
      </c>
      <c r="AF215" s="16">
        <v>55.5</v>
      </c>
      <c r="AG215" s="10">
        <v>890</v>
      </c>
      <c r="AH215" s="5">
        <v>202.4</v>
      </c>
      <c r="AI215" s="16">
        <v>63.2</v>
      </c>
      <c r="AJ215" s="10">
        <v>920</v>
      </c>
      <c r="AK215" s="5">
        <v>209.2</v>
      </c>
      <c r="AL215" s="16">
        <v>60.7</v>
      </c>
      <c r="AM215" s="10">
        <v>1700</v>
      </c>
      <c r="AN215" s="5">
        <v>386.7</v>
      </c>
      <c r="AO215" s="16">
        <v>112.2</v>
      </c>
      <c r="AP215" s="10">
        <v>1320</v>
      </c>
      <c r="AQ215" s="5">
        <v>299.89999999999998</v>
      </c>
      <c r="AR215" s="16">
        <v>87</v>
      </c>
      <c r="AS215" s="10">
        <v>1820</v>
      </c>
      <c r="AT215" s="5">
        <v>414.1</v>
      </c>
      <c r="AU215" s="16">
        <v>120.1</v>
      </c>
      <c r="AV215" s="10">
        <v>1680</v>
      </c>
      <c r="AW215" s="5">
        <v>382.7</v>
      </c>
      <c r="AX215" s="16">
        <v>110.7</v>
      </c>
      <c r="AY215" s="10">
        <v>1850</v>
      </c>
      <c r="AZ215" s="5">
        <v>420.7</v>
      </c>
      <c r="BA215" s="16">
        <v>121.7</v>
      </c>
      <c r="BB215" s="25">
        <v>2130</v>
      </c>
      <c r="BC215" s="26">
        <v>484.1</v>
      </c>
      <c r="BD215" s="27">
        <v>140.4</v>
      </c>
      <c r="BE215" s="65" t="s">
        <v>218</v>
      </c>
      <c r="BF215" s="18">
        <v>2350</v>
      </c>
      <c r="BG215" s="5">
        <v>533.75</v>
      </c>
      <c r="BH215" s="16">
        <v>154.83463422</v>
      </c>
      <c r="BI215" s="10">
        <v>2580</v>
      </c>
      <c r="BJ215" s="5">
        <v>586.4</v>
      </c>
      <c r="BK215" s="16">
        <v>170.1160529</v>
      </c>
      <c r="BL215" s="18">
        <v>2820</v>
      </c>
      <c r="BM215" s="5">
        <v>640.5</v>
      </c>
      <c r="BN215" s="16">
        <v>185.8004761</v>
      </c>
      <c r="BO215" s="18">
        <v>3210</v>
      </c>
      <c r="BP215" s="5">
        <v>728.83</v>
      </c>
      <c r="BQ215" s="16">
        <v>220.52960874000001</v>
      </c>
      <c r="BR215" s="18">
        <v>3720</v>
      </c>
      <c r="BS215" s="5">
        <v>846.35</v>
      </c>
      <c r="BT215" s="16">
        <v>256.08316919999999</v>
      </c>
      <c r="BU215" s="18">
        <v>4600</v>
      </c>
      <c r="BV215" s="5">
        <v>1046.06</v>
      </c>
      <c r="BW215" s="16">
        <v>316.53510141000004</v>
      </c>
    </row>
    <row r="216" spans="29:75" x14ac:dyDescent="0.2">
      <c r="AC216" s="21" t="s">
        <v>220</v>
      </c>
      <c r="AD216" s="10">
        <v>880</v>
      </c>
      <c r="AE216" s="5">
        <v>204.5</v>
      </c>
      <c r="AF216" s="16">
        <v>68.5</v>
      </c>
      <c r="AG216" s="10">
        <v>900</v>
      </c>
      <c r="AH216" s="5">
        <v>209.1</v>
      </c>
      <c r="AI216" s="16">
        <v>65.5</v>
      </c>
      <c r="AJ216" s="10">
        <v>1210</v>
      </c>
      <c r="AK216" s="5">
        <v>281.5</v>
      </c>
      <c r="AL216" s="16">
        <v>81.900000000000006</v>
      </c>
      <c r="AM216" s="10">
        <v>1120</v>
      </c>
      <c r="AN216" s="5">
        <v>260.60000000000002</v>
      </c>
      <c r="AO216" s="16">
        <v>75.8</v>
      </c>
      <c r="AP216" s="10">
        <v>1310</v>
      </c>
      <c r="AQ216" s="5">
        <v>304.8</v>
      </c>
      <c r="AR216" s="16">
        <v>88.7</v>
      </c>
      <c r="AS216" s="10">
        <v>1130</v>
      </c>
      <c r="AT216" s="5">
        <v>262.60000000000002</v>
      </c>
      <c r="AU216" s="16">
        <v>76.400000000000006</v>
      </c>
      <c r="AV216" s="10">
        <v>1630</v>
      </c>
      <c r="AW216" s="5">
        <v>378.1</v>
      </c>
      <c r="AX216" s="16">
        <v>109.9</v>
      </c>
      <c r="AY216" s="10">
        <v>1720</v>
      </c>
      <c r="AZ216" s="5">
        <v>398.7</v>
      </c>
      <c r="BA216" s="16">
        <v>115.6</v>
      </c>
      <c r="BB216" s="25">
        <v>1890</v>
      </c>
      <c r="BC216" s="26">
        <v>439.3</v>
      </c>
      <c r="BD216" s="27">
        <v>127.8</v>
      </c>
      <c r="BE216" s="65" t="s">
        <v>220</v>
      </c>
      <c r="BF216" s="18">
        <v>2180</v>
      </c>
      <c r="BG216" s="5">
        <v>506.04</v>
      </c>
      <c r="BH216" s="16">
        <v>147.22692583</v>
      </c>
      <c r="BI216" s="10">
        <v>2440</v>
      </c>
      <c r="BJ216" s="5">
        <v>567.6</v>
      </c>
      <c r="BK216" s="16">
        <v>165.12308580000001</v>
      </c>
      <c r="BL216" s="18">
        <v>2560</v>
      </c>
      <c r="BM216" s="5">
        <v>593.9</v>
      </c>
      <c r="BN216" s="16">
        <v>172.77277809999998</v>
      </c>
      <c r="BO216" s="18">
        <v>2930</v>
      </c>
      <c r="BP216" s="5">
        <v>681.14</v>
      </c>
      <c r="BQ216" s="16">
        <v>207.39565941999999</v>
      </c>
      <c r="BR216" s="18">
        <v>3420</v>
      </c>
      <c r="BS216" s="5">
        <v>795.02</v>
      </c>
      <c r="BT216" s="16">
        <v>242.06828949000001</v>
      </c>
      <c r="BU216" s="18">
        <v>4170</v>
      </c>
      <c r="BV216" s="5">
        <v>969.04</v>
      </c>
      <c r="BW216" s="16">
        <v>295.04439877999999</v>
      </c>
    </row>
    <row r="217" spans="29:75" x14ac:dyDescent="0.2">
      <c r="AC217" s="21" t="s">
        <v>222</v>
      </c>
      <c r="AD217" s="10">
        <v>660</v>
      </c>
      <c r="AE217" s="5">
        <v>157</v>
      </c>
      <c r="AF217" s="16">
        <v>52.7</v>
      </c>
      <c r="AG217" s="10">
        <v>1100</v>
      </c>
      <c r="AH217" s="5">
        <v>261.10000000000002</v>
      </c>
      <c r="AI217" s="16">
        <v>82</v>
      </c>
      <c r="AJ217" s="10">
        <v>1050</v>
      </c>
      <c r="AK217" s="5">
        <v>249.7</v>
      </c>
      <c r="AL217" s="16">
        <v>72.900000000000006</v>
      </c>
      <c r="AM217" s="10">
        <v>1020</v>
      </c>
      <c r="AN217" s="5">
        <v>242.2</v>
      </c>
      <c r="AO217" s="16">
        <v>70.7</v>
      </c>
      <c r="AP217" s="10">
        <v>1240</v>
      </c>
      <c r="AQ217" s="5">
        <v>294.89999999999998</v>
      </c>
      <c r="AR217" s="16">
        <v>86.1</v>
      </c>
      <c r="AS217" s="10">
        <v>1330</v>
      </c>
      <c r="AT217" s="5">
        <v>315.8</v>
      </c>
      <c r="AU217" s="16">
        <v>92.1</v>
      </c>
      <c r="AV217" s="10">
        <v>1550</v>
      </c>
      <c r="AW217" s="5">
        <v>369.2</v>
      </c>
      <c r="AX217" s="16">
        <v>107.6</v>
      </c>
      <c r="AY217" s="10">
        <v>1640</v>
      </c>
      <c r="AZ217" s="5">
        <v>390</v>
      </c>
      <c r="BA217" s="16">
        <v>113.5</v>
      </c>
      <c r="BB217" s="25">
        <v>1770</v>
      </c>
      <c r="BC217" s="26">
        <v>420.2</v>
      </c>
      <c r="BD217" s="27">
        <v>122.6</v>
      </c>
      <c r="BE217" s="65" t="s">
        <v>222</v>
      </c>
      <c r="BF217" s="18">
        <v>2000</v>
      </c>
      <c r="BG217" s="5">
        <v>474.07</v>
      </c>
      <c r="BH217" s="16">
        <v>138.31849144999998</v>
      </c>
      <c r="BI217" s="10">
        <v>2280</v>
      </c>
      <c r="BJ217" s="5">
        <v>541.20000000000005</v>
      </c>
      <c r="BK217" s="16">
        <v>157.919084</v>
      </c>
      <c r="BL217" s="18">
        <v>2440</v>
      </c>
      <c r="BM217" s="5">
        <v>578.70000000000005</v>
      </c>
      <c r="BN217" s="16">
        <v>168.8591381</v>
      </c>
      <c r="BO217" s="18">
        <v>2680</v>
      </c>
      <c r="BP217" s="5">
        <v>636.33000000000004</v>
      </c>
      <c r="BQ217" s="16">
        <v>194.90964251</v>
      </c>
      <c r="BR217" s="18">
        <v>3230</v>
      </c>
      <c r="BS217" s="5">
        <v>767.27</v>
      </c>
      <c r="BT217" s="16">
        <v>235.00462271000001</v>
      </c>
      <c r="BU217" s="18">
        <v>3810</v>
      </c>
      <c r="BV217" s="5">
        <v>903.68</v>
      </c>
      <c r="BW217" s="16">
        <v>276.77261316000005</v>
      </c>
    </row>
    <row r="218" spans="29:75" x14ac:dyDescent="0.2">
      <c r="AC218" s="21" t="s">
        <v>224</v>
      </c>
      <c r="AD218" s="10">
        <v>820</v>
      </c>
      <c r="AE218" s="5">
        <v>198.8</v>
      </c>
      <c r="AF218" s="16">
        <v>67</v>
      </c>
      <c r="AG218" s="10">
        <v>710</v>
      </c>
      <c r="AH218" s="5">
        <v>171.9</v>
      </c>
      <c r="AI218" s="16">
        <v>54.1</v>
      </c>
      <c r="AJ218" s="10">
        <v>660</v>
      </c>
      <c r="AK218" s="5">
        <v>160</v>
      </c>
      <c r="AL218" s="16">
        <v>46.8</v>
      </c>
      <c r="AM218" s="10">
        <v>1200</v>
      </c>
      <c r="AN218" s="5">
        <v>290.8</v>
      </c>
      <c r="AO218" s="16">
        <v>85.1</v>
      </c>
      <c r="AP218" s="10">
        <v>1040</v>
      </c>
      <c r="AQ218" s="5">
        <v>252.3</v>
      </c>
      <c r="AR218" s="16">
        <v>73.8</v>
      </c>
      <c r="AS218" s="10">
        <v>1450</v>
      </c>
      <c r="AT218" s="5">
        <v>351.4</v>
      </c>
      <c r="AU218" s="16">
        <v>102.8</v>
      </c>
      <c r="AV218" s="10">
        <v>1490</v>
      </c>
      <c r="AW218" s="5">
        <v>360.1</v>
      </c>
      <c r="AX218" s="16">
        <v>105.3</v>
      </c>
      <c r="AY218" s="10">
        <v>1530</v>
      </c>
      <c r="AZ218" s="5">
        <v>370.5</v>
      </c>
      <c r="BA218" s="16">
        <v>108.3</v>
      </c>
      <c r="BB218" s="25">
        <v>1720</v>
      </c>
      <c r="BC218" s="26">
        <v>417.9</v>
      </c>
      <c r="BD218" s="27">
        <v>122.3</v>
      </c>
      <c r="BE218" s="65" t="s">
        <v>224</v>
      </c>
      <c r="BF218" s="18">
        <v>1870</v>
      </c>
      <c r="BG218" s="5">
        <v>453.45</v>
      </c>
      <c r="BH218" s="16">
        <v>132.65768005000001</v>
      </c>
      <c r="BI218" s="10">
        <v>2080</v>
      </c>
      <c r="BJ218" s="5">
        <v>505.1</v>
      </c>
      <c r="BK218" s="16">
        <v>147.75891730000001</v>
      </c>
      <c r="BL218" s="18">
        <v>2300</v>
      </c>
      <c r="BM218" s="5">
        <v>557</v>
      </c>
      <c r="BN218" s="16">
        <v>162.96602300000001</v>
      </c>
      <c r="BO218" s="18">
        <v>2550</v>
      </c>
      <c r="BP218" s="5">
        <v>617.08000000000004</v>
      </c>
      <c r="BQ218" s="16">
        <v>190.06609918000001</v>
      </c>
      <c r="BR218" s="18">
        <v>2830</v>
      </c>
      <c r="BS218" s="5">
        <v>685.46</v>
      </c>
      <c r="BT218" s="16">
        <v>211.127219</v>
      </c>
      <c r="BU218" s="18">
        <v>3520</v>
      </c>
      <c r="BV218" s="5">
        <v>852.49</v>
      </c>
      <c r="BW218" s="16">
        <v>262.57435299000002</v>
      </c>
    </row>
    <row r="219" spans="29:75" x14ac:dyDescent="0.2">
      <c r="AC219" s="21" t="s">
        <v>226</v>
      </c>
      <c r="AD219" s="10">
        <v>750</v>
      </c>
      <c r="AE219" s="5">
        <v>185.7</v>
      </c>
      <c r="AF219" s="16">
        <v>62.7</v>
      </c>
      <c r="AG219" s="10">
        <v>740</v>
      </c>
      <c r="AH219" s="5">
        <v>183.3</v>
      </c>
      <c r="AI219" s="16">
        <v>57.9</v>
      </c>
      <c r="AJ219" s="10">
        <v>1100</v>
      </c>
      <c r="AK219" s="5">
        <v>272.39999999999998</v>
      </c>
      <c r="AL219" s="16">
        <v>79.900000000000006</v>
      </c>
      <c r="AM219" s="10">
        <v>730</v>
      </c>
      <c r="AN219" s="5">
        <v>180.3</v>
      </c>
      <c r="AO219" s="16">
        <v>52.9</v>
      </c>
      <c r="AP219" s="10">
        <v>1170</v>
      </c>
      <c r="AQ219" s="5">
        <v>289.8</v>
      </c>
      <c r="AR219" s="16">
        <v>85</v>
      </c>
      <c r="AS219" s="10">
        <v>910</v>
      </c>
      <c r="AT219" s="5">
        <v>225.3</v>
      </c>
      <c r="AU219" s="16">
        <v>66.099999999999994</v>
      </c>
      <c r="AV219" s="10">
        <v>1410</v>
      </c>
      <c r="AW219" s="5">
        <v>350</v>
      </c>
      <c r="AX219" s="16">
        <v>102.6</v>
      </c>
      <c r="AY219" s="10">
        <v>1560</v>
      </c>
      <c r="AZ219" s="5">
        <v>386.7</v>
      </c>
      <c r="BA219" s="16">
        <v>113.4</v>
      </c>
      <c r="BB219" s="25">
        <v>1540</v>
      </c>
      <c r="BC219" s="26">
        <v>381.9</v>
      </c>
      <c r="BD219" s="27">
        <v>112</v>
      </c>
      <c r="BE219" s="65" t="s">
        <v>226</v>
      </c>
      <c r="BF219" s="18">
        <v>1740</v>
      </c>
      <c r="BG219" s="5">
        <v>431.43</v>
      </c>
      <c r="BH219" s="16">
        <v>126.54499819</v>
      </c>
      <c r="BI219" s="10">
        <v>1990</v>
      </c>
      <c r="BJ219" s="5">
        <v>493.2</v>
      </c>
      <c r="BK219" s="16">
        <v>144.66286049999999</v>
      </c>
      <c r="BL219" s="18">
        <v>2040</v>
      </c>
      <c r="BM219" s="5">
        <v>505.7</v>
      </c>
      <c r="BN219" s="16">
        <v>148.34300150000001</v>
      </c>
      <c r="BO219" s="18">
        <v>2400</v>
      </c>
      <c r="BP219" s="5">
        <v>595.04999999999995</v>
      </c>
      <c r="BQ219" s="16">
        <v>184.27960624000002</v>
      </c>
      <c r="BR219" s="18">
        <v>2730</v>
      </c>
      <c r="BS219" s="5">
        <v>675.72</v>
      </c>
      <c r="BT219" s="16">
        <v>209.25878391000001</v>
      </c>
      <c r="BU219" s="18">
        <v>3280</v>
      </c>
      <c r="BV219" s="5">
        <v>812.67</v>
      </c>
      <c r="BW219" s="16">
        <v>251.65449228</v>
      </c>
    </row>
    <row r="220" spans="29:75" x14ac:dyDescent="0.2">
      <c r="AC220" s="21" t="s">
        <v>260</v>
      </c>
      <c r="AD220" s="10">
        <v>580</v>
      </c>
      <c r="AE220" s="5">
        <v>146.30000000000001</v>
      </c>
      <c r="AF220" s="16">
        <v>49.5</v>
      </c>
      <c r="AG220" s="10">
        <v>620</v>
      </c>
      <c r="AH220" s="5">
        <v>156.9</v>
      </c>
      <c r="AI220" s="16">
        <v>49.6</v>
      </c>
      <c r="AJ220" s="10">
        <v>810</v>
      </c>
      <c r="AK220" s="5">
        <v>204.4</v>
      </c>
      <c r="AL220" s="16">
        <v>60.1</v>
      </c>
      <c r="AM220" s="10">
        <v>990</v>
      </c>
      <c r="AN220" s="5">
        <v>249.9</v>
      </c>
      <c r="AO220" s="16">
        <v>73.5</v>
      </c>
      <c r="AP220" s="10">
        <v>1120</v>
      </c>
      <c r="AQ220" s="5">
        <v>282.7</v>
      </c>
      <c r="AR220" s="16">
        <v>83.1</v>
      </c>
      <c r="AS220" s="10">
        <v>1240</v>
      </c>
      <c r="AT220" s="5">
        <v>313.3</v>
      </c>
      <c r="AU220" s="16">
        <v>92.1</v>
      </c>
      <c r="AV220" s="10">
        <v>1250</v>
      </c>
      <c r="AW220" s="5">
        <v>315.3</v>
      </c>
      <c r="AX220" s="16">
        <v>92.6</v>
      </c>
      <c r="AY220" s="10">
        <v>1300</v>
      </c>
      <c r="AZ220" s="5">
        <v>327.8</v>
      </c>
      <c r="BA220" s="16">
        <v>96.3</v>
      </c>
      <c r="BB220" s="25">
        <v>1480</v>
      </c>
      <c r="BC220" s="26">
        <v>374.2</v>
      </c>
      <c r="BD220" s="27">
        <v>110</v>
      </c>
      <c r="BE220" s="65" t="s">
        <v>260</v>
      </c>
      <c r="BF220" s="18">
        <v>1700</v>
      </c>
      <c r="BG220" s="5">
        <v>428.08</v>
      </c>
      <c r="BH220" s="16">
        <v>125.86567056</v>
      </c>
      <c r="BI220" s="10">
        <v>1820</v>
      </c>
      <c r="BJ220" s="5">
        <v>459</v>
      </c>
      <c r="BK220" s="16">
        <v>134.95600290000002</v>
      </c>
      <c r="BL220" s="18">
        <v>2060</v>
      </c>
      <c r="BM220" s="5">
        <v>519.79999999999995</v>
      </c>
      <c r="BN220" s="16">
        <v>152.83363309999999</v>
      </c>
      <c r="BO220" s="18">
        <v>2230</v>
      </c>
      <c r="BP220" s="5">
        <v>563.9</v>
      </c>
      <c r="BQ220" s="16">
        <v>175.5082778</v>
      </c>
      <c r="BR220" s="18">
        <v>2610</v>
      </c>
      <c r="BS220" s="5">
        <v>658.85</v>
      </c>
      <c r="BT220" s="16">
        <v>205.0448552</v>
      </c>
      <c r="BU220" s="18">
        <v>3050</v>
      </c>
      <c r="BV220" s="5">
        <v>770.67</v>
      </c>
      <c r="BW220" s="16">
        <v>239.86948859</v>
      </c>
    </row>
    <row r="221" spans="29:75" x14ac:dyDescent="0.2">
      <c r="AC221" s="21" t="s">
        <v>261</v>
      </c>
      <c r="AD221" s="10">
        <v>560</v>
      </c>
      <c r="AE221" s="5">
        <v>144.1</v>
      </c>
      <c r="AF221" s="16">
        <v>48.9</v>
      </c>
      <c r="AG221" s="10">
        <v>680</v>
      </c>
      <c r="AH221" s="5">
        <v>175.1</v>
      </c>
      <c r="AI221" s="16">
        <v>55.5</v>
      </c>
      <c r="AJ221" s="10">
        <v>550</v>
      </c>
      <c r="AK221" s="5">
        <v>141.6</v>
      </c>
      <c r="AL221" s="16">
        <v>41.7</v>
      </c>
      <c r="AM221" s="10">
        <v>580</v>
      </c>
      <c r="AN221" s="5">
        <v>149.30000000000001</v>
      </c>
      <c r="AO221" s="16">
        <v>44</v>
      </c>
      <c r="AP221" s="10">
        <v>930</v>
      </c>
      <c r="AQ221" s="5">
        <v>239.7</v>
      </c>
      <c r="AR221" s="16">
        <v>70.599999999999994</v>
      </c>
      <c r="AS221" s="10">
        <v>1010</v>
      </c>
      <c r="AT221" s="5">
        <v>259.89999999999998</v>
      </c>
      <c r="AU221" s="16">
        <v>76.599999999999994</v>
      </c>
      <c r="AV221" s="10">
        <v>1140</v>
      </c>
      <c r="AW221" s="5">
        <v>293.60000000000002</v>
      </c>
      <c r="AX221" s="16">
        <v>86.4</v>
      </c>
      <c r="AY221" s="10">
        <v>1310</v>
      </c>
      <c r="AZ221" s="5">
        <v>336.5</v>
      </c>
      <c r="BA221" s="16">
        <v>99.2</v>
      </c>
      <c r="BB221" s="25">
        <v>1390</v>
      </c>
      <c r="BC221" s="26">
        <v>358.2</v>
      </c>
      <c r="BD221" s="27">
        <v>105.6</v>
      </c>
      <c r="BE221" s="65" t="s">
        <v>261</v>
      </c>
      <c r="BF221" s="18">
        <v>1410</v>
      </c>
      <c r="BG221" s="5">
        <v>361.78</v>
      </c>
      <c r="BH221" s="16">
        <v>106.63065428</v>
      </c>
      <c r="BI221" s="10">
        <v>1690</v>
      </c>
      <c r="BJ221" s="5">
        <v>436.2</v>
      </c>
      <c r="BK221" s="16">
        <v>128.57193709999999</v>
      </c>
      <c r="BL221" s="18">
        <v>1850</v>
      </c>
      <c r="BM221" s="5">
        <v>477.4</v>
      </c>
      <c r="BN221" s="16">
        <v>140.6998825</v>
      </c>
      <c r="BO221" s="18">
        <v>2110</v>
      </c>
      <c r="BP221" s="5">
        <v>543.70000000000005</v>
      </c>
      <c r="BQ221" s="16">
        <v>170.0567485</v>
      </c>
      <c r="BR221" s="18">
        <v>2310</v>
      </c>
      <c r="BS221" s="5">
        <v>593.99</v>
      </c>
      <c r="BT221" s="16">
        <v>185.79247933000002</v>
      </c>
      <c r="BU221" s="18">
        <v>2720</v>
      </c>
      <c r="BV221" s="5">
        <v>700.37</v>
      </c>
      <c r="BW221" s="16">
        <v>219.06907137000002</v>
      </c>
    </row>
    <row r="222" spans="29:75" x14ac:dyDescent="0.2">
      <c r="AC222" s="21" t="s">
        <v>262</v>
      </c>
      <c r="AD222" s="10">
        <v>440</v>
      </c>
      <c r="AE222" s="5">
        <v>115.7</v>
      </c>
      <c r="AF222" s="16">
        <v>39.4</v>
      </c>
      <c r="AG222" s="10">
        <v>540</v>
      </c>
      <c r="AH222" s="5">
        <v>141.69999999999999</v>
      </c>
      <c r="AI222" s="16">
        <v>45</v>
      </c>
      <c r="AJ222" s="10">
        <v>920</v>
      </c>
      <c r="AK222" s="5">
        <v>241.4</v>
      </c>
      <c r="AL222" s="16">
        <v>71.3</v>
      </c>
      <c r="AM222" s="10">
        <v>750</v>
      </c>
      <c r="AN222" s="5">
        <v>196.6</v>
      </c>
      <c r="AO222" s="16">
        <v>58.1</v>
      </c>
      <c r="AP222" s="10">
        <v>610</v>
      </c>
      <c r="AQ222" s="5">
        <v>160.1</v>
      </c>
      <c r="AR222" s="16">
        <v>47.3</v>
      </c>
      <c r="AS222" s="10">
        <v>920</v>
      </c>
      <c r="AT222" s="5">
        <v>241.2</v>
      </c>
      <c r="AU222" s="16">
        <v>71.3</v>
      </c>
      <c r="AV222" s="10">
        <v>1070</v>
      </c>
      <c r="AW222" s="5">
        <v>280.60000000000002</v>
      </c>
      <c r="AX222" s="16">
        <v>82.9</v>
      </c>
      <c r="AY222" s="10">
        <v>1130</v>
      </c>
      <c r="AZ222" s="5">
        <v>297.39999999999998</v>
      </c>
      <c r="BA222" s="16">
        <v>87.9</v>
      </c>
      <c r="BB222" s="25">
        <v>1240</v>
      </c>
      <c r="BC222" s="26">
        <v>326.3</v>
      </c>
      <c r="BD222" s="27">
        <v>96.4</v>
      </c>
      <c r="BE222" s="65" t="s">
        <v>262</v>
      </c>
      <c r="BF222" s="18">
        <v>1370</v>
      </c>
      <c r="BG222" s="5">
        <v>360.54</v>
      </c>
      <c r="BH222" s="16">
        <v>106.50289383</v>
      </c>
      <c r="BI222" s="10">
        <v>1510</v>
      </c>
      <c r="BJ222" s="5">
        <v>397.3</v>
      </c>
      <c r="BK222" s="16">
        <v>117.37767579999999</v>
      </c>
      <c r="BL222" s="18">
        <v>1770</v>
      </c>
      <c r="BM222" s="5">
        <v>463.7</v>
      </c>
      <c r="BN222" s="16">
        <v>136.98960299999999</v>
      </c>
      <c r="BO222" s="18">
        <v>1870</v>
      </c>
      <c r="BP222" s="5">
        <v>491.47</v>
      </c>
      <c r="BQ222" s="16">
        <v>154.43673361</v>
      </c>
      <c r="BR222" s="18">
        <v>2210</v>
      </c>
      <c r="BS222" s="5">
        <v>580.16</v>
      </c>
      <c r="BT222" s="16">
        <v>182.30816586</v>
      </c>
      <c r="BU222" s="18">
        <v>2510</v>
      </c>
      <c r="BV222" s="5">
        <v>658.2</v>
      </c>
      <c r="BW222" s="16">
        <v>206.83948135</v>
      </c>
    </row>
    <row r="223" spans="29:75" x14ac:dyDescent="0.2">
      <c r="AC223" s="21" t="s">
        <v>263</v>
      </c>
      <c r="AD223" s="10">
        <v>470</v>
      </c>
      <c r="AE223" s="5">
        <v>125.7</v>
      </c>
      <c r="AF223" s="16">
        <v>42.8</v>
      </c>
      <c r="AG223" s="10">
        <v>450</v>
      </c>
      <c r="AH223" s="5">
        <v>120.4</v>
      </c>
      <c r="AI223" s="16">
        <v>38.4</v>
      </c>
      <c r="AJ223" s="10">
        <v>600</v>
      </c>
      <c r="AK223" s="5">
        <v>160.69999999999999</v>
      </c>
      <c r="AL223" s="16">
        <v>47.6</v>
      </c>
      <c r="AM223" s="10">
        <v>770</v>
      </c>
      <c r="AN223" s="5">
        <v>206</v>
      </c>
      <c r="AO223" s="16">
        <v>61</v>
      </c>
      <c r="AP223" s="10">
        <v>810</v>
      </c>
      <c r="AQ223" s="5">
        <v>216.2</v>
      </c>
      <c r="AR223" s="16">
        <v>64</v>
      </c>
      <c r="AS223" s="10">
        <v>720</v>
      </c>
      <c r="AT223" s="5">
        <v>192.5</v>
      </c>
      <c r="AU223" s="16">
        <v>57</v>
      </c>
      <c r="AV223" s="10">
        <v>990</v>
      </c>
      <c r="AW223" s="5">
        <v>265.39999999999998</v>
      </c>
      <c r="AX223" s="16">
        <v>78.599999999999994</v>
      </c>
      <c r="AY223" s="10">
        <v>1110</v>
      </c>
      <c r="AZ223" s="5">
        <v>297</v>
      </c>
      <c r="BA223" s="16">
        <v>87.8</v>
      </c>
      <c r="BB223" s="25">
        <v>1210</v>
      </c>
      <c r="BC223" s="26">
        <v>322.39999999999998</v>
      </c>
      <c r="BD223" s="27">
        <v>95.4</v>
      </c>
      <c r="BE223" s="65" t="s">
        <v>263</v>
      </c>
      <c r="BF223" s="18">
        <v>1330</v>
      </c>
      <c r="BG223" s="5">
        <v>354.39</v>
      </c>
      <c r="BH223" s="16">
        <v>104.91885194</v>
      </c>
      <c r="BI223" s="10">
        <v>1500</v>
      </c>
      <c r="BJ223" s="5">
        <v>402.3</v>
      </c>
      <c r="BK223" s="16">
        <v>119.0924517</v>
      </c>
      <c r="BL223" s="18">
        <v>1560</v>
      </c>
      <c r="BM223" s="5">
        <v>417.9</v>
      </c>
      <c r="BN223" s="16">
        <v>123.7287357</v>
      </c>
      <c r="BO223" s="18">
        <v>1750</v>
      </c>
      <c r="BP223" s="5">
        <v>469.2</v>
      </c>
      <c r="BQ223" s="16">
        <v>148.11687544999998</v>
      </c>
      <c r="BR223" s="18">
        <v>1940</v>
      </c>
      <c r="BS223" s="5">
        <v>517.5</v>
      </c>
      <c r="BT223" s="16">
        <v>163.35837161000001</v>
      </c>
      <c r="BU223" s="18">
        <v>2360</v>
      </c>
      <c r="BV223" s="5">
        <v>630.6</v>
      </c>
      <c r="BW223" s="16">
        <v>199.05792056999999</v>
      </c>
    </row>
    <row r="224" spans="29:75" x14ac:dyDescent="0.2">
      <c r="AC224" s="21" t="s">
        <v>264</v>
      </c>
      <c r="AD224" s="10">
        <v>420</v>
      </c>
      <c r="AE224" s="5">
        <v>114.4</v>
      </c>
      <c r="AF224" s="16">
        <v>39.1</v>
      </c>
      <c r="AG224" s="10">
        <v>600</v>
      </c>
      <c r="AH224" s="5">
        <v>163.4</v>
      </c>
      <c r="AI224" s="16">
        <v>52.2</v>
      </c>
      <c r="AJ224" s="10">
        <v>690</v>
      </c>
      <c r="AK224" s="5">
        <v>187.8</v>
      </c>
      <c r="AL224" s="16">
        <v>55.7</v>
      </c>
      <c r="AM224" s="10">
        <v>720</v>
      </c>
      <c r="AN224" s="5">
        <v>196.4</v>
      </c>
      <c r="AO224" s="16">
        <v>58.3</v>
      </c>
      <c r="AP224" s="10">
        <v>700</v>
      </c>
      <c r="AQ224" s="5">
        <v>190.9</v>
      </c>
      <c r="AR224" s="16">
        <v>56.7</v>
      </c>
      <c r="AS224" s="10">
        <v>830</v>
      </c>
      <c r="AT224" s="5">
        <v>226.1</v>
      </c>
      <c r="AU224" s="16">
        <v>67.099999999999994</v>
      </c>
      <c r="AV224" s="10">
        <v>920</v>
      </c>
      <c r="AW224" s="5">
        <v>250.2</v>
      </c>
      <c r="AX224" s="16">
        <v>74.099999999999994</v>
      </c>
      <c r="AY224" s="10">
        <v>1040</v>
      </c>
      <c r="AZ224" s="5">
        <v>284.2</v>
      </c>
      <c r="BA224" s="16">
        <v>84.3</v>
      </c>
      <c r="BB224" s="25">
        <v>1130</v>
      </c>
      <c r="BC224" s="26">
        <v>308.10000000000002</v>
      </c>
      <c r="BD224" s="27">
        <v>91.4</v>
      </c>
      <c r="BE224" s="65" t="s">
        <v>264</v>
      </c>
      <c r="BF224" s="18">
        <v>1260</v>
      </c>
      <c r="BG224" s="5">
        <v>342.99</v>
      </c>
      <c r="BH224" s="16">
        <v>101.75660927</v>
      </c>
      <c r="BI224" s="10">
        <v>1340</v>
      </c>
      <c r="BJ224" s="5">
        <v>365.9</v>
      </c>
      <c r="BK224" s="16">
        <v>108.55412679999999</v>
      </c>
      <c r="BL224" s="18">
        <v>1510</v>
      </c>
      <c r="BM224" s="5">
        <v>410.9</v>
      </c>
      <c r="BN224" s="16">
        <v>121.8961757</v>
      </c>
      <c r="BO224" s="18">
        <v>1570</v>
      </c>
      <c r="BP224" s="5">
        <v>426.43</v>
      </c>
      <c r="BQ224" s="16">
        <v>135.19542941999998</v>
      </c>
      <c r="BR224" s="18">
        <v>1840</v>
      </c>
      <c r="BS224" s="5">
        <v>501.53</v>
      </c>
      <c r="BT224" s="16">
        <v>158.99659842</v>
      </c>
      <c r="BU224" s="18">
        <v>2160</v>
      </c>
      <c r="BV224" s="5">
        <v>587.94000000000005</v>
      </c>
      <c r="BW224" s="16">
        <v>186.39458925</v>
      </c>
    </row>
    <row r="225" spans="1:77" x14ac:dyDescent="0.2">
      <c r="A225" s="3"/>
      <c r="AC225" s="21" t="s">
        <v>265</v>
      </c>
      <c r="AD225" s="10">
        <v>370</v>
      </c>
      <c r="AE225" s="5">
        <v>102.7</v>
      </c>
      <c r="AF225" s="16">
        <v>35.1</v>
      </c>
      <c r="AG225" s="10">
        <v>390</v>
      </c>
      <c r="AH225" s="5">
        <v>108.4</v>
      </c>
      <c r="AI225" s="16">
        <v>34.700000000000003</v>
      </c>
      <c r="AJ225" s="10">
        <v>510</v>
      </c>
      <c r="AK225" s="5">
        <v>141.69999999999999</v>
      </c>
      <c r="AL225" s="16">
        <v>42.1</v>
      </c>
      <c r="AM225" s="10">
        <v>630</v>
      </c>
      <c r="AN225" s="5">
        <v>174.8</v>
      </c>
      <c r="AO225" s="16">
        <v>52</v>
      </c>
      <c r="AP225" s="10">
        <v>740</v>
      </c>
      <c r="AQ225" s="5">
        <v>205.8</v>
      </c>
      <c r="AR225" s="16">
        <v>61.2</v>
      </c>
      <c r="AS225" s="10">
        <v>840</v>
      </c>
      <c r="AT225" s="5">
        <v>232.9</v>
      </c>
      <c r="AU225" s="16">
        <v>69.2</v>
      </c>
      <c r="AV225" s="10">
        <v>900</v>
      </c>
      <c r="AW225" s="5">
        <v>249.5</v>
      </c>
      <c r="AX225" s="16">
        <v>74.2</v>
      </c>
      <c r="AY225" s="10">
        <v>970</v>
      </c>
      <c r="AZ225" s="5">
        <v>269.2</v>
      </c>
      <c r="BA225" s="16">
        <v>80</v>
      </c>
      <c r="BB225" s="25">
        <v>1090</v>
      </c>
      <c r="BC225" s="26">
        <v>302.3</v>
      </c>
      <c r="BD225" s="27">
        <v>89.9</v>
      </c>
      <c r="BE225" s="65" t="s">
        <v>265</v>
      </c>
      <c r="BF225" s="18">
        <v>1110</v>
      </c>
      <c r="BG225" s="5">
        <v>309.11</v>
      </c>
      <c r="BH225" s="16">
        <v>91.889830060000008</v>
      </c>
      <c r="BI225" s="10">
        <v>1290</v>
      </c>
      <c r="BJ225" s="5">
        <v>358.1</v>
      </c>
      <c r="BK225" s="16">
        <v>106.4610807</v>
      </c>
      <c r="BL225" s="18">
        <v>1470</v>
      </c>
      <c r="BM225" s="5">
        <v>407.6</v>
      </c>
      <c r="BN225" s="16">
        <v>121.1724225</v>
      </c>
      <c r="BO225" s="18">
        <v>1520</v>
      </c>
      <c r="BP225" s="5">
        <v>420.97</v>
      </c>
      <c r="BQ225" s="16">
        <v>134.01928290000001</v>
      </c>
      <c r="BR225" s="18">
        <v>1710</v>
      </c>
      <c r="BS225" s="5">
        <v>474.49</v>
      </c>
      <c r="BT225" s="16">
        <v>151.05721778</v>
      </c>
      <c r="BU225" s="18">
        <v>2080</v>
      </c>
      <c r="BV225" s="5">
        <v>576.58000000000004</v>
      </c>
      <c r="BW225" s="16">
        <v>183.55534099000002</v>
      </c>
    </row>
    <row r="226" spans="1:77" x14ac:dyDescent="0.2">
      <c r="AC226" s="21" t="s">
        <v>266</v>
      </c>
      <c r="AD226" s="10">
        <v>420</v>
      </c>
      <c r="AE226" s="5">
        <v>118.5</v>
      </c>
      <c r="AF226" s="16">
        <v>40.6</v>
      </c>
      <c r="AG226" s="10">
        <v>400</v>
      </c>
      <c r="AH226" s="5">
        <v>113.2</v>
      </c>
      <c r="AI226" s="16">
        <v>36.299999999999997</v>
      </c>
      <c r="AJ226" s="10">
        <v>540</v>
      </c>
      <c r="AK226" s="5">
        <v>152.6</v>
      </c>
      <c r="AL226" s="16">
        <v>45.4</v>
      </c>
      <c r="AM226" s="10">
        <v>590</v>
      </c>
      <c r="AN226" s="5">
        <v>166.6</v>
      </c>
      <c r="AO226" s="16">
        <v>49.6</v>
      </c>
      <c r="AP226" s="10">
        <v>1060</v>
      </c>
      <c r="AQ226" s="5">
        <v>299.39999999999998</v>
      </c>
      <c r="AR226" s="16">
        <v>89.2</v>
      </c>
      <c r="AS226" s="10">
        <v>870</v>
      </c>
      <c r="AT226" s="5">
        <v>246.2</v>
      </c>
      <c r="AU226" s="16">
        <v>73.400000000000006</v>
      </c>
      <c r="AV226" s="10">
        <v>840</v>
      </c>
      <c r="AW226" s="5">
        <v>236.5</v>
      </c>
      <c r="AX226" s="16">
        <v>70.2</v>
      </c>
      <c r="AY226" s="10">
        <v>910</v>
      </c>
      <c r="AZ226" s="5">
        <v>258.2</v>
      </c>
      <c r="BA226" s="16">
        <v>76.7</v>
      </c>
      <c r="BB226" s="25">
        <v>1060</v>
      </c>
      <c r="BC226" s="26">
        <v>299.3</v>
      </c>
      <c r="BD226" s="27">
        <v>89.1</v>
      </c>
      <c r="BE226" s="65" t="s">
        <v>266</v>
      </c>
      <c r="BF226" s="18">
        <v>1120</v>
      </c>
      <c r="BG226" s="5">
        <v>316.32</v>
      </c>
      <c r="BH226" s="16">
        <v>94.215735590000008</v>
      </c>
      <c r="BI226" s="10">
        <v>1220</v>
      </c>
      <c r="BJ226" s="5">
        <v>343.2</v>
      </c>
      <c r="BK226" s="16">
        <v>102.214009</v>
      </c>
      <c r="BL226" s="18">
        <v>1320</v>
      </c>
      <c r="BM226" s="5">
        <v>372.9</v>
      </c>
      <c r="BN226" s="16">
        <v>111.06298120000001</v>
      </c>
      <c r="BO226" s="18">
        <v>1470</v>
      </c>
      <c r="BP226" s="5">
        <v>415.75</v>
      </c>
      <c r="BQ226" s="16">
        <v>132.87936542</v>
      </c>
      <c r="BR226" s="18">
        <v>1660</v>
      </c>
      <c r="BS226" s="5">
        <v>469.69</v>
      </c>
      <c r="BT226" s="16">
        <v>150.11999696000001</v>
      </c>
      <c r="BU226" s="18">
        <v>2010</v>
      </c>
      <c r="BV226" s="5">
        <v>566.88</v>
      </c>
      <c r="BW226" s="16">
        <v>181.18397856000001</v>
      </c>
    </row>
    <row r="227" spans="1:77" x14ac:dyDescent="0.2">
      <c r="AC227" s="21" t="s">
        <v>267</v>
      </c>
      <c r="AD227" s="10">
        <v>350</v>
      </c>
      <c r="AE227" s="5">
        <v>100.7</v>
      </c>
      <c r="AF227" s="16">
        <v>34.6</v>
      </c>
      <c r="AG227" s="10">
        <v>470</v>
      </c>
      <c r="AH227" s="5">
        <v>135.1</v>
      </c>
      <c r="AI227" s="16">
        <v>43.4</v>
      </c>
      <c r="AJ227" s="10">
        <v>540</v>
      </c>
      <c r="AK227" s="5">
        <v>155</v>
      </c>
      <c r="AL227" s="16">
        <v>46.2</v>
      </c>
      <c r="AM227" s="10">
        <v>660</v>
      </c>
      <c r="AN227" s="5">
        <v>189.8</v>
      </c>
      <c r="AO227" s="16">
        <v>56.7</v>
      </c>
      <c r="AP227" s="10">
        <v>510</v>
      </c>
      <c r="AQ227" s="5">
        <v>146.80000000000001</v>
      </c>
      <c r="AR227" s="16">
        <v>43.8</v>
      </c>
      <c r="AS227" s="10">
        <v>630</v>
      </c>
      <c r="AT227" s="5">
        <v>181.1</v>
      </c>
      <c r="AU227" s="16">
        <v>54</v>
      </c>
      <c r="AV227" s="10">
        <v>820</v>
      </c>
      <c r="AW227" s="5">
        <v>234.9</v>
      </c>
      <c r="AX227" s="16">
        <v>70</v>
      </c>
      <c r="AY227" s="10">
        <v>900</v>
      </c>
      <c r="AZ227" s="5">
        <v>258.5</v>
      </c>
      <c r="BA227" s="16">
        <v>77</v>
      </c>
      <c r="BB227" s="25">
        <v>910</v>
      </c>
      <c r="BC227" s="26">
        <v>262</v>
      </c>
      <c r="BD227" s="27">
        <v>78.2</v>
      </c>
      <c r="BE227" s="65" t="s">
        <v>267</v>
      </c>
      <c r="BF227" s="18">
        <v>1020</v>
      </c>
      <c r="BG227" s="5">
        <v>292</v>
      </c>
      <c r="BH227" s="16">
        <v>87.135798989999998</v>
      </c>
      <c r="BI227" s="10">
        <v>1140</v>
      </c>
      <c r="BJ227" s="5">
        <v>328.6</v>
      </c>
      <c r="BK227" s="16">
        <v>98.045923000000002</v>
      </c>
      <c r="BL227" s="18">
        <v>1290</v>
      </c>
      <c r="BM227" s="5">
        <v>370.9</v>
      </c>
      <c r="BN227" s="16">
        <v>110.6720705</v>
      </c>
      <c r="BO227" s="18">
        <v>1350</v>
      </c>
      <c r="BP227" s="5">
        <v>387.84</v>
      </c>
      <c r="BQ227" s="16">
        <v>124.44000931999999</v>
      </c>
      <c r="BR227" s="18">
        <v>1480</v>
      </c>
      <c r="BS227" s="5">
        <v>426.29</v>
      </c>
      <c r="BT227" s="16">
        <v>136.77065525999998</v>
      </c>
      <c r="BU227" s="18">
        <v>1780</v>
      </c>
      <c r="BV227" s="5">
        <v>511.41</v>
      </c>
      <c r="BW227" s="16">
        <v>164.08473563999999</v>
      </c>
    </row>
    <row r="228" spans="1:77" x14ac:dyDescent="0.2">
      <c r="AC228" s="21" t="s">
        <v>268</v>
      </c>
      <c r="AD228" s="10">
        <v>480</v>
      </c>
      <c r="AE228" s="5">
        <v>140.4</v>
      </c>
      <c r="AF228" s="16">
        <v>48.3</v>
      </c>
      <c r="AG228" s="10">
        <v>330</v>
      </c>
      <c r="AH228" s="5">
        <v>96.5</v>
      </c>
      <c r="AI228" s="16">
        <v>31</v>
      </c>
      <c r="AJ228" s="10">
        <v>390</v>
      </c>
      <c r="AK228" s="5">
        <v>113.8</v>
      </c>
      <c r="AL228" s="16">
        <v>34</v>
      </c>
      <c r="AM228" s="10">
        <v>610</v>
      </c>
      <c r="AN228" s="5">
        <v>178.5</v>
      </c>
      <c r="AO228" s="16">
        <v>53.4</v>
      </c>
      <c r="AP228" s="10">
        <v>580</v>
      </c>
      <c r="AQ228" s="5">
        <v>169.8</v>
      </c>
      <c r="AR228" s="16">
        <v>50.8</v>
      </c>
      <c r="AS228" s="10">
        <v>740</v>
      </c>
      <c r="AT228" s="5">
        <v>216.5</v>
      </c>
      <c r="AU228" s="16">
        <v>64.7</v>
      </c>
      <c r="AV228" s="10">
        <v>790</v>
      </c>
      <c r="AW228" s="5">
        <v>229.8</v>
      </c>
      <c r="AX228" s="16">
        <v>68.7</v>
      </c>
      <c r="AY228" s="10">
        <v>820</v>
      </c>
      <c r="AZ228" s="5">
        <v>240.2</v>
      </c>
      <c r="BA228" s="16">
        <v>71.8</v>
      </c>
      <c r="BB228" s="25">
        <v>930</v>
      </c>
      <c r="BC228" s="26">
        <v>271.5</v>
      </c>
      <c r="BD228" s="27">
        <v>81.2</v>
      </c>
      <c r="BE228" s="65" t="s">
        <v>268</v>
      </c>
      <c r="BF228" s="18">
        <v>950</v>
      </c>
      <c r="BG228" s="5">
        <v>277.25</v>
      </c>
      <c r="BH228" s="16">
        <v>82.885873709999998</v>
      </c>
      <c r="BI228" s="10">
        <v>1050</v>
      </c>
      <c r="BJ228" s="5">
        <v>306.2</v>
      </c>
      <c r="BK228" s="16">
        <v>91.548618700000006</v>
      </c>
      <c r="BL228" s="18">
        <v>1210</v>
      </c>
      <c r="BM228" s="5">
        <v>352.7</v>
      </c>
      <c r="BN228" s="16">
        <v>105.44566759999999</v>
      </c>
      <c r="BO228" s="18">
        <v>1280</v>
      </c>
      <c r="BP228" s="5">
        <v>372.88</v>
      </c>
      <c r="BQ228" s="16">
        <v>120.07783297</v>
      </c>
      <c r="BR228" s="18">
        <v>1470</v>
      </c>
      <c r="BS228" s="5">
        <v>430.48</v>
      </c>
      <c r="BT228" s="16">
        <v>138.62378784000001</v>
      </c>
      <c r="BU228" s="18">
        <v>1720</v>
      </c>
      <c r="BV228" s="5">
        <v>502.44</v>
      </c>
      <c r="BW228" s="16">
        <v>161.79740430000001</v>
      </c>
    </row>
    <row r="229" spans="1:77" x14ac:dyDescent="0.2">
      <c r="AC229" s="21" t="s">
        <v>269</v>
      </c>
      <c r="AD229" s="10">
        <v>310</v>
      </c>
      <c r="AE229" s="5">
        <v>92.3</v>
      </c>
      <c r="AF229" s="16">
        <v>31.8</v>
      </c>
      <c r="AG229" s="10">
        <v>420</v>
      </c>
      <c r="AH229" s="5">
        <v>124.9</v>
      </c>
      <c r="AI229" s="16">
        <v>40.200000000000003</v>
      </c>
      <c r="AJ229" s="10">
        <v>550</v>
      </c>
      <c r="AK229" s="5">
        <v>163.5</v>
      </c>
      <c r="AL229" s="16">
        <v>49</v>
      </c>
      <c r="AM229" s="10">
        <v>550</v>
      </c>
      <c r="AN229" s="5">
        <v>164</v>
      </c>
      <c r="AO229" s="16">
        <v>49.1</v>
      </c>
      <c r="AP229" s="10">
        <v>730</v>
      </c>
      <c r="AQ229" s="5">
        <v>217.6</v>
      </c>
      <c r="AR229" s="16">
        <v>65.2</v>
      </c>
      <c r="AS229" s="10">
        <v>670</v>
      </c>
      <c r="AT229" s="5">
        <v>199.3</v>
      </c>
      <c r="AU229" s="16">
        <v>59.7</v>
      </c>
      <c r="AV229" s="10">
        <v>750</v>
      </c>
      <c r="AW229" s="5">
        <v>223.1</v>
      </c>
      <c r="AX229" s="16">
        <v>66.8</v>
      </c>
      <c r="AY229" s="10">
        <v>800</v>
      </c>
      <c r="AZ229" s="5">
        <v>237.8</v>
      </c>
      <c r="BA229" s="16">
        <v>71.099999999999994</v>
      </c>
      <c r="BB229" s="25">
        <v>940</v>
      </c>
      <c r="BC229" s="26">
        <v>279.39999999999998</v>
      </c>
      <c r="BD229" s="27">
        <v>83.7</v>
      </c>
      <c r="BE229" s="66" t="s">
        <v>269</v>
      </c>
      <c r="BF229" s="19">
        <v>910</v>
      </c>
      <c r="BG229" s="8">
        <v>270.19</v>
      </c>
      <c r="BH229" s="16">
        <v>80.917194349999988</v>
      </c>
      <c r="BI229" s="7">
        <v>1070</v>
      </c>
      <c r="BJ229" s="8">
        <v>319.3</v>
      </c>
      <c r="BK229" s="16">
        <v>95.6165831</v>
      </c>
      <c r="BL229" s="19">
        <v>1180</v>
      </c>
      <c r="BM229" s="8">
        <v>351.4</v>
      </c>
      <c r="BN229" s="16">
        <v>105.2544721</v>
      </c>
      <c r="BO229" s="19">
        <v>1220</v>
      </c>
      <c r="BP229" s="8">
        <v>363.89</v>
      </c>
      <c r="BQ229" s="16">
        <v>117.60233347</v>
      </c>
      <c r="BR229" s="18">
        <v>1380</v>
      </c>
      <c r="BS229" s="5">
        <v>410</v>
      </c>
      <c r="BT229" s="16">
        <v>132.50409551999999</v>
      </c>
      <c r="BU229" s="18">
        <v>1590</v>
      </c>
      <c r="BV229" s="5">
        <v>473.76</v>
      </c>
      <c r="BW229" s="16">
        <v>153.11758153</v>
      </c>
    </row>
    <row r="230" spans="1:77" x14ac:dyDescent="0.2">
      <c r="AC230" s="23" t="s">
        <v>270</v>
      </c>
      <c r="AD230" s="7">
        <v>9380</v>
      </c>
      <c r="AE230" s="8">
        <v>5213</v>
      </c>
      <c r="AF230" s="17">
        <v>1882.9</v>
      </c>
      <c r="AG230" s="7">
        <v>8260</v>
      </c>
      <c r="AH230" s="8">
        <v>4640.3999999999996</v>
      </c>
      <c r="AI230" s="17">
        <v>1566.7</v>
      </c>
      <c r="AJ230" s="7">
        <v>12050</v>
      </c>
      <c r="AK230" s="8">
        <v>6500.7</v>
      </c>
      <c r="AL230" s="17">
        <v>2035.8</v>
      </c>
      <c r="AM230" s="7">
        <v>14580</v>
      </c>
      <c r="AN230" s="8">
        <v>8500.9</v>
      </c>
      <c r="AO230" s="17">
        <v>2672.9</v>
      </c>
      <c r="AP230" s="7">
        <v>13570</v>
      </c>
      <c r="AQ230" s="8">
        <v>6876.5</v>
      </c>
      <c r="AR230" s="17">
        <v>2146</v>
      </c>
      <c r="AS230" s="7">
        <v>15020</v>
      </c>
      <c r="AT230" s="8">
        <v>7772</v>
      </c>
      <c r="AU230" s="17">
        <v>2428.4</v>
      </c>
      <c r="AV230" s="7">
        <v>18350</v>
      </c>
      <c r="AW230" s="8">
        <v>9730.7000000000007</v>
      </c>
      <c r="AX230" s="17">
        <v>3043.1</v>
      </c>
      <c r="AY230" s="7">
        <v>20040</v>
      </c>
      <c r="AZ230" s="8">
        <v>10722.4</v>
      </c>
      <c r="BA230" s="17">
        <v>3354.9</v>
      </c>
      <c r="BB230" s="28">
        <v>21970</v>
      </c>
      <c r="BC230" s="12">
        <v>11779.2</v>
      </c>
      <c r="BD230" s="29">
        <v>3687.7</v>
      </c>
      <c r="BE230" s="67" t="s">
        <v>271</v>
      </c>
      <c r="BF230" s="39">
        <v>7170</v>
      </c>
      <c r="BG230" s="5">
        <v>2317</v>
      </c>
      <c r="BH230" s="38">
        <v>699.49844130999998</v>
      </c>
      <c r="BI230" s="36">
        <v>7570</v>
      </c>
      <c r="BJ230" s="37">
        <v>2443.6999999999998</v>
      </c>
      <c r="BK230" s="38">
        <v>737.74044240000001</v>
      </c>
      <c r="BL230" s="36">
        <v>9200</v>
      </c>
      <c r="BM230" s="37">
        <v>2972.1</v>
      </c>
      <c r="BN230" s="38">
        <v>897.2460926</v>
      </c>
      <c r="BO230" s="36">
        <v>9200</v>
      </c>
      <c r="BP230" s="37">
        <v>2969.37</v>
      </c>
      <c r="BQ230" s="38">
        <v>975.1582258200001</v>
      </c>
      <c r="BR230" s="36">
        <v>10150</v>
      </c>
      <c r="BS230" s="37">
        <v>3276.82</v>
      </c>
      <c r="BT230" s="38">
        <v>1076.1365430000001</v>
      </c>
      <c r="BU230" s="36">
        <v>11670</v>
      </c>
      <c r="BV230" s="37">
        <v>3767.81</v>
      </c>
      <c r="BW230" s="38">
        <v>1237.5039667000001</v>
      </c>
    </row>
    <row r="231" spans="1:77" x14ac:dyDescent="0.2">
      <c r="BB231" s="9"/>
      <c r="BC231" s="9"/>
      <c r="BD231" s="9"/>
      <c r="BE231" s="68" t="s">
        <v>272</v>
      </c>
      <c r="BF231" s="10">
        <v>4510</v>
      </c>
      <c r="BG231" s="5">
        <v>1685.08</v>
      </c>
      <c r="BH231" s="16">
        <v>515.10772066000004</v>
      </c>
      <c r="BI231" s="18">
        <v>5040</v>
      </c>
      <c r="BJ231" s="5">
        <v>1883.2</v>
      </c>
      <c r="BK231" s="16">
        <v>575.66855599999997</v>
      </c>
      <c r="BL231" s="18">
        <v>6200</v>
      </c>
      <c r="BM231" s="5">
        <v>2315.1</v>
      </c>
      <c r="BN231" s="16">
        <v>707.66440850000004</v>
      </c>
      <c r="BO231" s="18">
        <v>5720</v>
      </c>
      <c r="BP231" s="5">
        <v>2133.85</v>
      </c>
      <c r="BQ231" s="16">
        <v>718.52781037</v>
      </c>
      <c r="BR231" s="18">
        <v>6340</v>
      </c>
      <c r="BS231" s="5">
        <v>2362.6</v>
      </c>
      <c r="BT231" s="16">
        <v>795.45299290999992</v>
      </c>
      <c r="BU231" s="18">
        <v>7100</v>
      </c>
      <c r="BV231" s="5">
        <v>2649.27</v>
      </c>
      <c r="BW231" s="16">
        <v>892.10686411000006</v>
      </c>
      <c r="BY231" s="2" t="s">
        <v>312</v>
      </c>
    </row>
    <row r="232" spans="1:77" x14ac:dyDescent="0.2">
      <c r="BB232" s="9"/>
      <c r="BC232" s="9"/>
      <c r="BD232" s="9"/>
      <c r="BE232" s="68" t="s">
        <v>273</v>
      </c>
      <c r="BF232" s="10">
        <v>2790</v>
      </c>
      <c r="BG232" s="5">
        <v>1181.33</v>
      </c>
      <c r="BH232" s="16">
        <v>364.47695396</v>
      </c>
      <c r="BI232" s="18">
        <v>3180</v>
      </c>
      <c r="BJ232" s="5">
        <v>1343.8</v>
      </c>
      <c r="BK232" s="16">
        <v>414.63175949999999</v>
      </c>
      <c r="BL232" s="18">
        <v>4090</v>
      </c>
      <c r="BM232" s="5">
        <v>1731.1</v>
      </c>
      <c r="BN232" s="16">
        <v>534.11974680000003</v>
      </c>
      <c r="BO232" s="18">
        <v>3640</v>
      </c>
      <c r="BP232" s="5">
        <v>1540.76</v>
      </c>
      <c r="BQ232" s="16">
        <v>528.59301070999993</v>
      </c>
      <c r="BR232" s="18">
        <v>4020</v>
      </c>
      <c r="BS232" s="5">
        <v>1701.06</v>
      </c>
      <c r="BT232" s="16">
        <v>583.51749723</v>
      </c>
      <c r="BU232" s="18">
        <v>4770</v>
      </c>
      <c r="BV232" s="5">
        <v>2016.99</v>
      </c>
      <c r="BW232" s="16">
        <v>691.87805944000002</v>
      </c>
    </row>
    <row r="233" spans="1:77" x14ac:dyDescent="0.2">
      <c r="BB233" s="9"/>
      <c r="BC233" s="9"/>
      <c r="BD233" s="9"/>
      <c r="BE233" s="68" t="s">
        <v>274</v>
      </c>
      <c r="BF233" s="10">
        <v>2100</v>
      </c>
      <c r="BG233" s="5">
        <v>995.34</v>
      </c>
      <c r="BH233" s="16">
        <v>309.36599482999998</v>
      </c>
      <c r="BI233" s="18">
        <v>2100</v>
      </c>
      <c r="BJ233" s="5">
        <v>995.5</v>
      </c>
      <c r="BK233" s="16">
        <v>309.44673080000001</v>
      </c>
      <c r="BL233" s="18">
        <v>2950</v>
      </c>
      <c r="BM233" s="5">
        <v>1397.8</v>
      </c>
      <c r="BN233" s="16">
        <v>434.48092610000003</v>
      </c>
      <c r="BO233" s="18">
        <v>2470</v>
      </c>
      <c r="BP233" s="5">
        <v>1173.8900000000001</v>
      </c>
      <c r="BQ233" s="16">
        <v>408.63219850999997</v>
      </c>
      <c r="BR233" s="18">
        <v>2770</v>
      </c>
      <c r="BS233" s="5">
        <v>1310.32</v>
      </c>
      <c r="BT233" s="16">
        <v>456.03504826</v>
      </c>
      <c r="BU233" s="18">
        <v>3160</v>
      </c>
      <c r="BV233" s="5">
        <v>1496.42</v>
      </c>
      <c r="BW233" s="16">
        <v>520.80189754000003</v>
      </c>
    </row>
    <row r="234" spans="1:77" x14ac:dyDescent="0.2">
      <c r="BB234" s="9"/>
      <c r="BC234" s="9"/>
      <c r="BD234" s="9"/>
      <c r="BE234" s="68" t="s">
        <v>275</v>
      </c>
      <c r="BF234" s="10">
        <v>1400</v>
      </c>
      <c r="BG234" s="5">
        <v>734.01</v>
      </c>
      <c r="BH234" s="16">
        <v>229.49395202000002</v>
      </c>
      <c r="BI234" s="18">
        <v>1590</v>
      </c>
      <c r="BJ234" s="5">
        <v>829.5</v>
      </c>
      <c r="BK234" s="16">
        <v>259.35751800000003</v>
      </c>
      <c r="BL234" s="18">
        <v>2220</v>
      </c>
      <c r="BM234" s="5">
        <v>1161.4000000000001</v>
      </c>
      <c r="BN234" s="16">
        <v>363.13082800000001</v>
      </c>
      <c r="BO234" s="18">
        <v>1780</v>
      </c>
      <c r="BP234" s="5">
        <v>932.74</v>
      </c>
      <c r="BQ234" s="16">
        <v>328.32155428999999</v>
      </c>
      <c r="BR234" s="18">
        <v>2070</v>
      </c>
      <c r="BS234" s="5">
        <v>1083.5</v>
      </c>
      <c r="BT234" s="16">
        <v>381.41529657000001</v>
      </c>
      <c r="BU234" s="18">
        <v>2290</v>
      </c>
      <c r="BV234" s="5">
        <v>1197.5999999999999</v>
      </c>
      <c r="BW234" s="16">
        <v>421.55855297000005</v>
      </c>
    </row>
    <row r="235" spans="1:77" x14ac:dyDescent="0.2">
      <c r="BB235" s="9"/>
      <c r="BC235" s="9"/>
      <c r="BD235" s="9"/>
      <c r="BE235" s="68" t="s">
        <v>276</v>
      </c>
      <c r="BF235" s="10">
        <v>1120</v>
      </c>
      <c r="BG235" s="5">
        <v>642.79999999999995</v>
      </c>
      <c r="BH235" s="16">
        <v>201.95538984999999</v>
      </c>
      <c r="BI235" s="18">
        <v>1210</v>
      </c>
      <c r="BJ235" s="5">
        <v>696.8</v>
      </c>
      <c r="BK235" s="16">
        <v>218.91386680000002</v>
      </c>
      <c r="BL235" s="18">
        <v>1660</v>
      </c>
      <c r="BM235" s="5">
        <v>954.8</v>
      </c>
      <c r="BN235" s="16">
        <v>299.98262080000001</v>
      </c>
      <c r="BO235" s="18">
        <v>1340</v>
      </c>
      <c r="BP235" s="5">
        <v>770.59</v>
      </c>
      <c r="BQ235" s="16">
        <v>273.86937329</v>
      </c>
      <c r="BR235" s="18">
        <v>1530</v>
      </c>
      <c r="BS235" s="5">
        <v>880.69</v>
      </c>
      <c r="BT235" s="16">
        <v>312.97331945999997</v>
      </c>
      <c r="BU235" s="18">
        <v>1680</v>
      </c>
      <c r="BV235" s="5">
        <v>961.14</v>
      </c>
      <c r="BW235" s="16">
        <v>341.54723875999997</v>
      </c>
    </row>
    <row r="236" spans="1:77" x14ac:dyDescent="0.2">
      <c r="BB236" s="9"/>
      <c r="BC236" s="9"/>
      <c r="BD236" s="9"/>
      <c r="BE236" s="68" t="s">
        <v>277</v>
      </c>
      <c r="BF236" s="10">
        <v>840</v>
      </c>
      <c r="BG236" s="5">
        <v>522.66999999999996</v>
      </c>
      <c r="BH236" s="16">
        <v>164.87216519</v>
      </c>
      <c r="BI236" s="18">
        <v>910</v>
      </c>
      <c r="BJ236" s="5">
        <v>570.5</v>
      </c>
      <c r="BK236" s="16">
        <v>179.97984840000001</v>
      </c>
      <c r="BL236" s="18">
        <v>1400</v>
      </c>
      <c r="BM236" s="5">
        <v>873.3</v>
      </c>
      <c r="BN236" s="16">
        <v>275.4906388</v>
      </c>
      <c r="BO236" s="18">
        <v>980</v>
      </c>
      <c r="BP236" s="5">
        <v>613.51</v>
      </c>
      <c r="BQ236" s="16">
        <v>219.72714331</v>
      </c>
      <c r="BR236" s="18">
        <v>1050</v>
      </c>
      <c r="BS236" s="5">
        <v>654.41999999999996</v>
      </c>
      <c r="BT236" s="16">
        <v>234.36807415999999</v>
      </c>
      <c r="BU236" s="18">
        <v>1310</v>
      </c>
      <c r="BV236" s="5">
        <v>817.32</v>
      </c>
      <c r="BW236" s="16">
        <v>292.71117674999999</v>
      </c>
    </row>
    <row r="237" spans="1:77" x14ac:dyDescent="0.2">
      <c r="BB237" s="9"/>
      <c r="BC237" s="9"/>
      <c r="BD237" s="9"/>
      <c r="BE237" s="68" t="s">
        <v>278</v>
      </c>
      <c r="BF237" s="10">
        <v>650</v>
      </c>
      <c r="BG237" s="5">
        <v>436.39</v>
      </c>
      <c r="BH237" s="16">
        <v>138.13304021000002</v>
      </c>
      <c r="BI237" s="18">
        <v>720</v>
      </c>
      <c r="BJ237" s="5">
        <v>484.9</v>
      </c>
      <c r="BK237" s="16">
        <v>153.4831604</v>
      </c>
      <c r="BL237" s="18">
        <v>1100</v>
      </c>
      <c r="BM237" s="5">
        <v>741.9</v>
      </c>
      <c r="BN237" s="16">
        <v>234.83138640000001</v>
      </c>
      <c r="BO237" s="18">
        <v>840</v>
      </c>
      <c r="BP237" s="5">
        <v>564.13</v>
      </c>
      <c r="BQ237" s="16">
        <v>203.35031438999999</v>
      </c>
      <c r="BR237" s="18">
        <v>940</v>
      </c>
      <c r="BS237" s="5">
        <v>634.51</v>
      </c>
      <c r="BT237" s="16">
        <v>228.75238831000001</v>
      </c>
      <c r="BU237" s="18">
        <v>1020</v>
      </c>
      <c r="BV237" s="5">
        <v>688.54</v>
      </c>
      <c r="BW237" s="16">
        <v>248.23117575999999</v>
      </c>
    </row>
    <row r="238" spans="1:77" x14ac:dyDescent="0.2">
      <c r="BB238" s="9"/>
      <c r="BC238" s="9"/>
      <c r="BD238" s="9"/>
      <c r="BE238" s="68" t="s">
        <v>279</v>
      </c>
      <c r="BF238" s="10">
        <v>550</v>
      </c>
      <c r="BG238" s="5">
        <v>394</v>
      </c>
      <c r="BH238" s="16">
        <v>125.07009106</v>
      </c>
      <c r="BI238" s="18">
        <v>530</v>
      </c>
      <c r="BJ238" s="5">
        <v>380.9</v>
      </c>
      <c r="BK238" s="16">
        <v>120.93171529999999</v>
      </c>
      <c r="BL238" s="18">
        <v>950</v>
      </c>
      <c r="BM238" s="5">
        <v>688.7</v>
      </c>
      <c r="BN238" s="16">
        <v>218.64558890000001</v>
      </c>
      <c r="BO238" s="18">
        <v>610</v>
      </c>
      <c r="BP238" s="5">
        <v>443.09</v>
      </c>
      <c r="BQ238" s="16">
        <v>160.64005573</v>
      </c>
      <c r="BR238" s="18">
        <v>670</v>
      </c>
      <c r="BS238" s="5">
        <v>487.64</v>
      </c>
      <c r="BT238" s="16">
        <v>176.78034004</v>
      </c>
      <c r="BU238" s="18">
        <v>850</v>
      </c>
      <c r="BV238" s="5">
        <v>614.04</v>
      </c>
      <c r="BW238" s="16">
        <v>222.61680564</v>
      </c>
    </row>
    <row r="239" spans="1:77" x14ac:dyDescent="0.2">
      <c r="BB239" s="9"/>
      <c r="BC239" s="9"/>
      <c r="BD239" s="9"/>
      <c r="BE239" s="68" t="s">
        <v>280</v>
      </c>
      <c r="BF239" s="10">
        <v>430</v>
      </c>
      <c r="BG239" s="5">
        <v>329.47</v>
      </c>
      <c r="BH239" s="16">
        <v>104.85699876999999</v>
      </c>
      <c r="BI239" s="18">
        <v>460</v>
      </c>
      <c r="BJ239" s="5">
        <v>353.7</v>
      </c>
      <c r="BK239" s="16">
        <v>112.5749678</v>
      </c>
      <c r="BL239" s="18">
        <v>770</v>
      </c>
      <c r="BM239" s="5">
        <v>591.6</v>
      </c>
      <c r="BN239" s="16">
        <v>188.2910468</v>
      </c>
      <c r="BO239" s="18">
        <v>530</v>
      </c>
      <c r="BP239" s="5">
        <v>410.42</v>
      </c>
      <c r="BQ239" s="16">
        <v>149.52919588</v>
      </c>
      <c r="BR239" s="18">
        <v>530</v>
      </c>
      <c r="BS239" s="5">
        <v>407.07</v>
      </c>
      <c r="BT239" s="16">
        <v>148.29873069999999</v>
      </c>
      <c r="BU239" s="18">
        <v>690</v>
      </c>
      <c r="BV239" s="5">
        <v>536.1</v>
      </c>
      <c r="BW239" s="16">
        <v>195.30402038999998</v>
      </c>
    </row>
    <row r="240" spans="1:77" x14ac:dyDescent="0.2">
      <c r="BB240" s="9"/>
      <c r="BC240" s="9"/>
      <c r="BD240" s="9"/>
      <c r="BE240" s="68" t="s">
        <v>281</v>
      </c>
      <c r="BF240" s="10">
        <v>330</v>
      </c>
      <c r="BG240" s="5">
        <v>272.47000000000003</v>
      </c>
      <c r="BH240" s="16">
        <v>86.911049419999998</v>
      </c>
      <c r="BI240" s="18">
        <v>390</v>
      </c>
      <c r="BJ240" s="5">
        <v>317.8</v>
      </c>
      <c r="BK240" s="16">
        <v>101.366947</v>
      </c>
      <c r="BL240" s="18">
        <v>700</v>
      </c>
      <c r="BM240" s="5">
        <v>578.6</v>
      </c>
      <c r="BN240" s="16">
        <v>184.56603989999999</v>
      </c>
      <c r="BO240" s="18">
        <v>450</v>
      </c>
      <c r="BP240" s="5">
        <v>370.86</v>
      </c>
      <c r="BQ240" s="16">
        <v>135.68875287999998</v>
      </c>
      <c r="BR240" s="18">
        <v>530</v>
      </c>
      <c r="BS240" s="5">
        <v>436.68</v>
      </c>
      <c r="BT240" s="16">
        <v>159.76743290000002</v>
      </c>
      <c r="BU240" s="18">
        <v>530</v>
      </c>
      <c r="BV240" s="5">
        <v>433.11</v>
      </c>
      <c r="BW240" s="16">
        <v>158.45700459</v>
      </c>
    </row>
    <row r="241" spans="29:77" x14ac:dyDescent="0.2">
      <c r="BB241" s="9"/>
      <c r="BC241" s="9"/>
      <c r="BD241" s="9"/>
      <c r="BE241" s="68" t="s">
        <v>282</v>
      </c>
      <c r="BF241" s="10">
        <v>290</v>
      </c>
      <c r="BG241" s="5">
        <v>254.58</v>
      </c>
      <c r="BH241" s="16">
        <v>81.370766529999997</v>
      </c>
      <c r="BI241" s="18">
        <v>330</v>
      </c>
      <c r="BJ241" s="5">
        <v>291.10000000000002</v>
      </c>
      <c r="BK241" s="16">
        <v>93.028661700000001</v>
      </c>
      <c r="BL241" s="18">
        <v>500</v>
      </c>
      <c r="BM241" s="5">
        <v>436.2</v>
      </c>
      <c r="BN241" s="16">
        <v>139.4155974</v>
      </c>
      <c r="BO241" s="18">
        <v>350</v>
      </c>
      <c r="BP241" s="5">
        <v>307.11</v>
      </c>
      <c r="BQ241" s="16">
        <v>112.79659347</v>
      </c>
      <c r="BR241" s="18">
        <v>350</v>
      </c>
      <c r="BS241" s="5">
        <v>306.95</v>
      </c>
      <c r="BT241" s="16">
        <v>112.73134151000001</v>
      </c>
      <c r="BU241" s="18">
        <v>480</v>
      </c>
      <c r="BV241" s="5">
        <v>417.43</v>
      </c>
      <c r="BW241" s="16">
        <v>153.31464546999999</v>
      </c>
    </row>
    <row r="242" spans="29:77" x14ac:dyDescent="0.2">
      <c r="BB242" s="9"/>
      <c r="BC242" s="9"/>
      <c r="BD242" s="9"/>
      <c r="BE242" s="68" t="s">
        <v>283</v>
      </c>
      <c r="BF242" s="10">
        <v>230</v>
      </c>
      <c r="BG242" s="5">
        <v>216.17</v>
      </c>
      <c r="BH242" s="16">
        <v>69.212609579999992</v>
      </c>
      <c r="BI242" s="18">
        <v>240</v>
      </c>
      <c r="BJ242" s="5">
        <v>221.9</v>
      </c>
      <c r="BK242" s="16">
        <v>71.045954599999988</v>
      </c>
      <c r="BL242" s="18">
        <v>490</v>
      </c>
      <c r="BM242" s="5">
        <v>456</v>
      </c>
      <c r="BN242" s="16">
        <v>146.00176180000003</v>
      </c>
      <c r="BO242" s="18">
        <v>350</v>
      </c>
      <c r="BP242" s="5">
        <v>326.41000000000003</v>
      </c>
      <c r="BQ242" s="16">
        <v>120.28387695000001</v>
      </c>
      <c r="BR242" s="18">
        <v>290</v>
      </c>
      <c r="BS242" s="5">
        <v>265.41000000000003</v>
      </c>
      <c r="BT242" s="16">
        <v>97.804312980000006</v>
      </c>
      <c r="BU242" s="18">
        <v>320</v>
      </c>
      <c r="BV242" s="5">
        <v>298.33</v>
      </c>
      <c r="BW242" s="16">
        <v>109.9286262</v>
      </c>
      <c r="BY242" s="2" t="s">
        <v>312</v>
      </c>
    </row>
    <row r="243" spans="29:77" x14ac:dyDescent="0.2">
      <c r="BB243" s="9"/>
      <c r="BC243" s="9"/>
      <c r="BD243" s="9"/>
      <c r="BE243" s="68" t="s">
        <v>284</v>
      </c>
      <c r="BF243" s="10">
        <v>200</v>
      </c>
      <c r="BG243" s="5">
        <v>196.23</v>
      </c>
      <c r="BH243" s="16">
        <v>62.929780360000002</v>
      </c>
      <c r="BI243" s="18">
        <v>220</v>
      </c>
      <c r="BJ243" s="5">
        <v>210.4</v>
      </c>
      <c r="BK243" s="16">
        <v>67.465633099999991</v>
      </c>
      <c r="BL243" s="18">
        <v>430</v>
      </c>
      <c r="BM243" s="5">
        <v>415.1</v>
      </c>
      <c r="BN243" s="16">
        <v>133.099515</v>
      </c>
      <c r="BO243" s="18">
        <v>250</v>
      </c>
      <c r="BP243" s="5">
        <v>246.67</v>
      </c>
      <c r="BQ243" s="16">
        <v>91.173257190000001</v>
      </c>
      <c r="BR243" s="18">
        <v>260</v>
      </c>
      <c r="BS243" s="5">
        <v>256.33</v>
      </c>
      <c r="BT243" s="16">
        <v>94.73968936</v>
      </c>
      <c r="BU243" s="18">
        <v>280</v>
      </c>
      <c r="BV243" s="5">
        <v>267.81</v>
      </c>
      <c r="BW243" s="16">
        <v>98.980829249999999</v>
      </c>
    </row>
    <row r="244" spans="29:77" x14ac:dyDescent="0.2">
      <c r="BB244" s="9"/>
      <c r="BC244" s="9"/>
      <c r="BD244" s="9"/>
      <c r="BE244" s="66" t="s">
        <v>285</v>
      </c>
      <c r="BF244" s="7">
        <v>1610</v>
      </c>
      <c r="BG244" s="8">
        <v>2869.91</v>
      </c>
      <c r="BH244" s="17">
        <v>932.45014512</v>
      </c>
      <c r="BI244" s="19">
        <v>1840</v>
      </c>
      <c r="BJ244" s="8">
        <v>3331.3</v>
      </c>
      <c r="BK244" s="17">
        <v>1082.6072055</v>
      </c>
      <c r="BL244" s="19">
        <v>4570</v>
      </c>
      <c r="BM244" s="8">
        <v>10379.200000000001</v>
      </c>
      <c r="BN244" s="17">
        <v>3383.6117095</v>
      </c>
      <c r="BO244" s="19">
        <v>2090</v>
      </c>
      <c r="BP244" s="8">
        <v>3849.34</v>
      </c>
      <c r="BQ244" s="17">
        <v>1459.6338715999998</v>
      </c>
      <c r="BR244" s="19">
        <v>2150</v>
      </c>
      <c r="BS244" s="8">
        <v>3985.42</v>
      </c>
      <c r="BT244" s="17">
        <v>1511.492712</v>
      </c>
      <c r="BU244" s="19">
        <v>2690</v>
      </c>
      <c r="BV244" s="8">
        <v>5150.97</v>
      </c>
      <c r="BW244" s="17">
        <v>1955.4395509999999</v>
      </c>
    </row>
    <row r="245" spans="29:77" x14ac:dyDescent="0.2">
      <c r="BB245" s="9"/>
      <c r="BC245" s="9"/>
      <c r="BD245" s="9"/>
      <c r="BE245" s="9"/>
      <c r="BG245" s="5"/>
      <c r="BH245" s="5"/>
      <c r="BX245" s="2" t="s">
        <v>312</v>
      </c>
    </row>
    <row r="246" spans="29:77" x14ac:dyDescent="0.2">
      <c r="AC246" s="3" t="s">
        <v>231</v>
      </c>
      <c r="AD246" s="6">
        <f>SUM(AD8:AD230)</f>
        <v>3443350</v>
      </c>
      <c r="AE246" s="6">
        <f t="shared" ref="AE246:BD246" si="1">SUM(AE8:AE230)</f>
        <v>118338.00000000009</v>
      </c>
      <c r="AF246" s="6">
        <f t="shared" si="1"/>
        <v>25337.900000000023</v>
      </c>
      <c r="AG246" s="6">
        <f t="shared" si="1"/>
        <v>3449800</v>
      </c>
      <c r="AH246" s="6">
        <f t="shared" si="1"/>
        <v>121370.2</v>
      </c>
      <c r="AI246" s="6">
        <f t="shared" si="1"/>
        <v>24202.099999999991</v>
      </c>
      <c r="AJ246" s="6">
        <f t="shared" si="1"/>
        <v>3472950</v>
      </c>
      <c r="AK246" s="6">
        <f t="shared" si="1"/>
        <v>130431.70000000008</v>
      </c>
      <c r="AL246" s="6">
        <f t="shared" si="1"/>
        <v>24660.800000000003</v>
      </c>
      <c r="AM246" s="6">
        <f t="shared" si="1"/>
        <v>3491190</v>
      </c>
      <c r="AN246" s="6">
        <f t="shared" si="1"/>
        <v>138006.69999999992</v>
      </c>
      <c r="AO246" s="6">
        <f t="shared" si="1"/>
        <v>26675.599999999995</v>
      </c>
      <c r="AP246" s="6">
        <f t="shared" si="1"/>
        <v>3544650</v>
      </c>
      <c r="AQ246" s="6">
        <f t="shared" si="1"/>
        <v>142387.09999999992</v>
      </c>
      <c r="AR246" s="6">
        <f t="shared" si="1"/>
        <v>27528.299999999992</v>
      </c>
      <c r="AS246" s="6">
        <f t="shared" si="1"/>
        <v>3619700</v>
      </c>
      <c r="AT246" s="6">
        <f t="shared" si="1"/>
        <v>149892.69999999987</v>
      </c>
      <c r="AU246" s="6">
        <f t="shared" si="1"/>
        <v>29288.299999999996</v>
      </c>
      <c r="AV246" s="6">
        <f t="shared" si="1"/>
        <v>3660250</v>
      </c>
      <c r="AW246" s="6">
        <f t="shared" si="1"/>
        <v>157770.69999999995</v>
      </c>
      <c r="AX246" s="6">
        <f t="shared" si="1"/>
        <v>31315.999999999985</v>
      </c>
      <c r="AY246" s="6">
        <f t="shared" si="1"/>
        <v>3741030</v>
      </c>
      <c r="AZ246" s="6">
        <f t="shared" si="1"/>
        <v>165873.70000000001</v>
      </c>
      <c r="BA246" s="6">
        <f t="shared" si="1"/>
        <v>33186.300000000017</v>
      </c>
      <c r="BB246" s="6">
        <f t="shared" si="1"/>
        <v>3821590</v>
      </c>
      <c r="BC246" s="6">
        <f t="shared" si="1"/>
        <v>176080.59999999989</v>
      </c>
      <c r="BD246" s="6">
        <f t="shared" si="1"/>
        <v>35671.100000000006</v>
      </c>
      <c r="BE246" s="6" t="s">
        <v>231</v>
      </c>
      <c r="BF246" s="6">
        <f>SUM(BF8:BF244)</f>
        <v>4239750</v>
      </c>
      <c r="BG246" s="6">
        <f t="shared" ref="BG246:BQ246" si="2">SUM(BG8:BG244)</f>
        <v>187284.01</v>
      </c>
      <c r="BH246" s="6">
        <f t="shared" si="2"/>
        <v>38354.403829469964</v>
      </c>
      <c r="BI246" s="6">
        <f t="shared" si="2"/>
        <v>4336140</v>
      </c>
      <c r="BJ246" s="6">
        <f t="shared" si="2"/>
        <v>199737.70000000004</v>
      </c>
      <c r="BK246" s="6">
        <f t="shared" si="2"/>
        <v>41462.670917600008</v>
      </c>
      <c r="BL246" s="6">
        <f>SUM(BL8:BL244)</f>
        <v>4334730</v>
      </c>
      <c r="BM246" s="6">
        <f t="shared" si="2"/>
        <v>217897</v>
      </c>
      <c r="BN246" s="6">
        <f>SUM(BN8:BN244)</f>
        <v>46820.430416199983</v>
      </c>
      <c r="BO246" s="6">
        <f t="shared" si="2"/>
        <v>4371060</v>
      </c>
      <c r="BP246" s="6">
        <f t="shared" si="2"/>
        <v>224763.56999999977</v>
      </c>
      <c r="BQ246" s="6">
        <f t="shared" si="2"/>
        <v>48960.870299660011</v>
      </c>
      <c r="BR246" s="6">
        <f>SUM(BR8:BR244)</f>
        <v>4546240</v>
      </c>
      <c r="BS246" s="6">
        <f t="shared" ref="BS246:BT246" si="3">SUM(BS8:BS244)</f>
        <v>243495.85999999993</v>
      </c>
      <c r="BT246" s="6">
        <f t="shared" si="3"/>
        <v>53978.191773460007</v>
      </c>
      <c r="BU246" s="6">
        <f>SUM(BU8:BU244)</f>
        <v>4693920</v>
      </c>
      <c r="BV246" s="6">
        <f t="shared" ref="BV246:BW246" si="4">SUM(BV8:BV244)</f>
        <v>267988.86</v>
      </c>
      <c r="BW246" s="6">
        <f t="shared" si="4"/>
        <v>60676.797696910013</v>
      </c>
      <c r="BY246" s="10"/>
    </row>
    <row r="247" spans="29:77" x14ac:dyDescent="0.2">
      <c r="BB247" s="11"/>
      <c r="BC247" s="9"/>
      <c r="BD247" s="9"/>
      <c r="BE247" s="9"/>
      <c r="BM247" s="69"/>
      <c r="BP247" s="69"/>
      <c r="BR247" s="69"/>
      <c r="BS247" s="69"/>
      <c r="BT247" s="69"/>
      <c r="BU247" s="69"/>
      <c r="BV247" s="69"/>
      <c r="BW247" s="69"/>
    </row>
    <row r="248" spans="29:77" x14ac:dyDescent="0.2">
      <c r="BB248" s="9"/>
      <c r="BC248" s="9"/>
      <c r="BD248" s="9"/>
      <c r="BE248" s="9"/>
    </row>
    <row r="249" spans="29:77" x14ac:dyDescent="0.2">
      <c r="BB249" s="9"/>
      <c r="BC249" s="9"/>
      <c r="BD249" s="9"/>
      <c r="BE249" s="117" t="s">
        <v>286</v>
      </c>
      <c r="BF249" s="108">
        <v>2019</v>
      </c>
      <c r="BG249" s="109"/>
      <c r="BH249" s="110"/>
      <c r="BI249" s="109">
        <v>2020</v>
      </c>
      <c r="BJ249" s="109"/>
      <c r="BK249" s="110"/>
      <c r="BL249" s="108">
        <v>2021</v>
      </c>
      <c r="BM249" s="109"/>
      <c r="BN249" s="110"/>
      <c r="BO249" s="108">
        <v>2022</v>
      </c>
      <c r="BP249" s="109"/>
      <c r="BQ249" s="110"/>
      <c r="BR249" s="108">
        <v>2023</v>
      </c>
      <c r="BS249" s="109"/>
      <c r="BT249" s="110"/>
      <c r="BU249" s="108">
        <v>2024</v>
      </c>
      <c r="BV249" s="109"/>
      <c r="BW249" s="110"/>
    </row>
    <row r="250" spans="29:77" x14ac:dyDescent="0.2">
      <c r="BB250" s="9"/>
      <c r="BC250" s="9"/>
      <c r="BD250" s="9"/>
      <c r="BE250" s="118"/>
      <c r="BF250" s="102" t="s">
        <v>287</v>
      </c>
      <c r="BG250" s="104" t="s">
        <v>31</v>
      </c>
      <c r="BH250" s="106" t="s">
        <v>32</v>
      </c>
      <c r="BI250" s="102" t="s">
        <v>287</v>
      </c>
      <c r="BJ250" s="104" t="s">
        <v>31</v>
      </c>
      <c r="BK250" s="106" t="s">
        <v>32</v>
      </c>
      <c r="BL250" s="102" t="s">
        <v>287</v>
      </c>
      <c r="BM250" s="104" t="s">
        <v>31</v>
      </c>
      <c r="BN250" s="106" t="s">
        <v>32</v>
      </c>
      <c r="BO250" s="102" t="s">
        <v>287</v>
      </c>
      <c r="BP250" s="104" t="s">
        <v>31</v>
      </c>
      <c r="BQ250" s="106" t="s">
        <v>32</v>
      </c>
      <c r="BR250" s="102" t="s">
        <v>287</v>
      </c>
      <c r="BS250" s="104" t="s">
        <v>31</v>
      </c>
      <c r="BT250" s="106" t="s">
        <v>32</v>
      </c>
      <c r="BU250" s="102" t="s">
        <v>287</v>
      </c>
      <c r="BV250" s="104" t="s">
        <v>31</v>
      </c>
      <c r="BW250" s="106" t="s">
        <v>32</v>
      </c>
    </row>
    <row r="251" spans="29:77" ht="50.25" customHeight="1" x14ac:dyDescent="0.2">
      <c r="BB251" s="9"/>
      <c r="BC251" s="9"/>
      <c r="BD251" s="9"/>
      <c r="BE251" s="119"/>
      <c r="BF251" s="103"/>
      <c r="BG251" s="105"/>
      <c r="BH251" s="107"/>
      <c r="BI251" s="103"/>
      <c r="BJ251" s="105"/>
      <c r="BK251" s="107"/>
      <c r="BL251" s="103"/>
      <c r="BM251" s="105"/>
      <c r="BN251" s="107"/>
      <c r="BO251" s="103"/>
      <c r="BP251" s="105"/>
      <c r="BQ251" s="107"/>
      <c r="BR251" s="103"/>
      <c r="BS251" s="105"/>
      <c r="BT251" s="107"/>
      <c r="BU251" s="103"/>
      <c r="BV251" s="105"/>
      <c r="BW251" s="107"/>
    </row>
    <row r="252" spans="29:77" x14ac:dyDescent="0.2">
      <c r="BB252" s="9"/>
      <c r="BC252" s="9"/>
      <c r="BD252" s="9"/>
      <c r="BE252" s="15"/>
      <c r="BF252" s="32"/>
      <c r="BG252" s="33"/>
      <c r="BH252" s="34"/>
      <c r="BI252" s="32"/>
      <c r="BJ252" s="33"/>
      <c r="BK252" s="33"/>
      <c r="BL252" s="32"/>
      <c r="BM252" s="33"/>
      <c r="BN252" s="34"/>
      <c r="BO252" s="32"/>
      <c r="BP252" s="33"/>
      <c r="BQ252" s="34"/>
      <c r="BR252" s="32"/>
      <c r="BS252" s="33"/>
      <c r="BT252" s="34"/>
      <c r="BU252" s="32"/>
      <c r="BV252" s="33"/>
      <c r="BW252" s="34"/>
    </row>
    <row r="253" spans="29:77" x14ac:dyDescent="0.2">
      <c r="BB253" s="9"/>
      <c r="BC253" s="9"/>
      <c r="BD253" s="9"/>
      <c r="BE253" s="30">
        <v>1</v>
      </c>
      <c r="BF253" s="18">
        <v>290</v>
      </c>
      <c r="BG253" s="5">
        <v>10.3</v>
      </c>
      <c r="BH253" s="16">
        <v>1</v>
      </c>
      <c r="BI253" s="18">
        <v>250</v>
      </c>
      <c r="BJ253" s="5">
        <v>8.6999999999999993</v>
      </c>
      <c r="BK253" s="5">
        <v>0.8</v>
      </c>
      <c r="BL253" s="18">
        <v>191</v>
      </c>
      <c r="BM253" s="5">
        <v>5.3</v>
      </c>
      <c r="BN253" s="16">
        <v>0.5</v>
      </c>
      <c r="BO253" s="18">
        <v>328</v>
      </c>
      <c r="BP253" s="5">
        <v>9.3000000000000007</v>
      </c>
      <c r="BQ253" s="16">
        <v>0.9</v>
      </c>
      <c r="BR253" s="18">
        <v>286</v>
      </c>
      <c r="BS253" s="5">
        <v>13.7</v>
      </c>
      <c r="BT253" s="16">
        <v>1.4</v>
      </c>
      <c r="BU253" s="18">
        <v>423</v>
      </c>
      <c r="BV253" s="5">
        <v>24.1</v>
      </c>
      <c r="BW253" s="16">
        <v>2.5</v>
      </c>
    </row>
    <row r="254" spans="29:77" x14ac:dyDescent="0.2">
      <c r="BB254" s="9"/>
      <c r="BC254" s="9"/>
      <c r="BD254" s="9"/>
      <c r="BE254" s="30">
        <v>2</v>
      </c>
      <c r="BF254" s="18">
        <v>9597</v>
      </c>
      <c r="BG254" s="5">
        <v>1832.6</v>
      </c>
      <c r="BH254" s="16">
        <v>192.4</v>
      </c>
      <c r="BI254" s="18">
        <v>10149</v>
      </c>
      <c r="BJ254" s="5">
        <v>1961.2</v>
      </c>
      <c r="BK254" s="5">
        <v>205.9</v>
      </c>
      <c r="BL254" s="18">
        <v>12419</v>
      </c>
      <c r="BM254" s="5">
        <v>2511.5</v>
      </c>
      <c r="BN254" s="16">
        <v>263.7</v>
      </c>
      <c r="BO254" s="18">
        <v>14133</v>
      </c>
      <c r="BP254" s="5">
        <v>3025.3</v>
      </c>
      <c r="BQ254" s="16">
        <v>317.60000000000002</v>
      </c>
      <c r="BR254" s="18">
        <v>13614</v>
      </c>
      <c r="BS254" s="5">
        <v>2697</v>
      </c>
      <c r="BT254" s="16">
        <v>283.10000000000002</v>
      </c>
      <c r="BU254" s="18">
        <v>14310</v>
      </c>
      <c r="BV254" s="5">
        <v>2967.1</v>
      </c>
      <c r="BW254" s="16">
        <v>311.60000000000002</v>
      </c>
    </row>
    <row r="255" spans="29:77" x14ac:dyDescent="0.2">
      <c r="BB255" s="9"/>
      <c r="BC255" s="9"/>
      <c r="BD255" s="9"/>
      <c r="BE255" s="30">
        <v>3</v>
      </c>
      <c r="BF255" s="18">
        <v>17385</v>
      </c>
      <c r="BG255" s="5">
        <v>5810.8</v>
      </c>
      <c r="BH255" s="16">
        <v>634.79999999999995</v>
      </c>
      <c r="BI255" s="18">
        <v>18426</v>
      </c>
      <c r="BJ255" s="5">
        <v>6222.9</v>
      </c>
      <c r="BK255" s="5">
        <v>689.9</v>
      </c>
      <c r="BL255" s="18">
        <v>19358</v>
      </c>
      <c r="BM255" s="5">
        <v>7138.2</v>
      </c>
      <c r="BN255" s="16">
        <v>828.3</v>
      </c>
      <c r="BO255" s="18">
        <v>20128</v>
      </c>
      <c r="BP255" s="5">
        <v>7939.5</v>
      </c>
      <c r="BQ255" s="16">
        <v>961</v>
      </c>
      <c r="BR255" s="18">
        <v>21425</v>
      </c>
      <c r="BS255" s="5">
        <v>8657.4</v>
      </c>
      <c r="BT255" s="16">
        <v>1063.4000000000001</v>
      </c>
      <c r="BU255" s="18">
        <v>23052</v>
      </c>
      <c r="BV255" s="5">
        <v>9414.5</v>
      </c>
      <c r="BW255" s="16">
        <v>1184.9000000000001</v>
      </c>
    </row>
    <row r="256" spans="29:77" x14ac:dyDescent="0.2">
      <c r="BB256" s="9"/>
      <c r="BC256" s="9"/>
      <c r="BD256" s="9"/>
      <c r="BE256" s="30">
        <v>4</v>
      </c>
      <c r="BF256" s="18">
        <v>22462</v>
      </c>
      <c r="BG256" s="5">
        <v>8328.2000000000007</v>
      </c>
      <c r="BH256" s="16">
        <v>1041.9000000000001</v>
      </c>
      <c r="BI256" s="18">
        <v>23702</v>
      </c>
      <c r="BJ256" s="5">
        <v>9011.6</v>
      </c>
      <c r="BK256" s="5">
        <v>1152</v>
      </c>
      <c r="BL256" s="18">
        <v>25120</v>
      </c>
      <c r="BM256" s="5">
        <v>9497.5</v>
      </c>
      <c r="BN256" s="16">
        <v>1228.2</v>
      </c>
      <c r="BO256" s="18">
        <v>26343</v>
      </c>
      <c r="BP256" s="5">
        <v>10229.1</v>
      </c>
      <c r="BQ256" s="16">
        <v>1344.2</v>
      </c>
      <c r="BR256" s="18">
        <v>27947</v>
      </c>
      <c r="BS256" s="5">
        <v>10973.8</v>
      </c>
      <c r="BT256" s="16">
        <v>1452.8</v>
      </c>
      <c r="BU256" s="18">
        <v>30074</v>
      </c>
      <c r="BV256" s="5">
        <v>12017</v>
      </c>
      <c r="BW256" s="16">
        <v>1611.4</v>
      </c>
    </row>
    <row r="257" spans="54:75" x14ac:dyDescent="0.2">
      <c r="BB257" s="9"/>
      <c r="BC257" s="9"/>
      <c r="BD257" s="9"/>
      <c r="BE257" s="30">
        <v>5</v>
      </c>
      <c r="BF257" s="18">
        <v>30296</v>
      </c>
      <c r="BG257" s="5">
        <v>10943.1</v>
      </c>
      <c r="BH257" s="16">
        <v>1441.3</v>
      </c>
      <c r="BI257" s="18">
        <v>31899</v>
      </c>
      <c r="BJ257" s="5">
        <v>11822.9</v>
      </c>
      <c r="BK257" s="5">
        <v>1573.4</v>
      </c>
      <c r="BL257" s="18">
        <v>33775</v>
      </c>
      <c r="BM257" s="5">
        <v>12329.8</v>
      </c>
      <c r="BN257" s="16">
        <v>1663.4</v>
      </c>
      <c r="BO257" s="18">
        <v>36849</v>
      </c>
      <c r="BP257" s="5">
        <v>13298.2</v>
      </c>
      <c r="BQ257" s="16">
        <v>1818.8</v>
      </c>
      <c r="BR257" s="18">
        <v>37625</v>
      </c>
      <c r="BS257" s="5">
        <v>14349.9</v>
      </c>
      <c r="BT257" s="16">
        <v>1992.9</v>
      </c>
      <c r="BU257" s="18">
        <v>40573</v>
      </c>
      <c r="BV257" s="5">
        <v>16480.599999999999</v>
      </c>
      <c r="BW257" s="16">
        <v>2327.9</v>
      </c>
    </row>
    <row r="258" spans="54:75" x14ac:dyDescent="0.2">
      <c r="BB258" s="9"/>
      <c r="BC258" s="9"/>
      <c r="BD258" s="9"/>
      <c r="BE258" s="30">
        <v>6</v>
      </c>
      <c r="BF258" s="18">
        <v>41933</v>
      </c>
      <c r="BG258" s="5">
        <v>15324.3</v>
      </c>
      <c r="BH258" s="16">
        <v>2134.8000000000002</v>
      </c>
      <c r="BI258" s="18">
        <v>43998</v>
      </c>
      <c r="BJ258" s="5">
        <v>16482.5</v>
      </c>
      <c r="BK258" s="5">
        <v>2323.3000000000002</v>
      </c>
      <c r="BL258" s="18">
        <v>46108</v>
      </c>
      <c r="BM258" s="5">
        <v>17380.400000000001</v>
      </c>
      <c r="BN258" s="16">
        <v>2488.3000000000002</v>
      </c>
      <c r="BO258" s="18">
        <v>49692</v>
      </c>
      <c r="BP258" s="5">
        <v>19066.900000000001</v>
      </c>
      <c r="BQ258" s="16">
        <v>2821</v>
      </c>
      <c r="BR258" s="18">
        <v>51825</v>
      </c>
      <c r="BS258" s="5">
        <v>20449.3</v>
      </c>
      <c r="BT258" s="16">
        <v>3089.8</v>
      </c>
      <c r="BU258" s="18">
        <v>54970</v>
      </c>
      <c r="BV258" s="5">
        <v>22480.7</v>
      </c>
      <c r="BW258" s="16">
        <v>3526.7</v>
      </c>
    </row>
    <row r="259" spans="54:75" x14ac:dyDescent="0.2">
      <c r="BB259" s="9"/>
      <c r="BC259" s="9"/>
      <c r="BD259" s="9"/>
      <c r="BE259" s="30">
        <v>7</v>
      </c>
      <c r="BF259" s="18">
        <v>53136</v>
      </c>
      <c r="BG259" s="5">
        <v>20118.400000000001</v>
      </c>
      <c r="BH259" s="16">
        <v>3108.6</v>
      </c>
      <c r="BI259" s="18">
        <v>55519</v>
      </c>
      <c r="BJ259" s="5">
        <v>21511.8</v>
      </c>
      <c r="BK259" s="5">
        <v>3437.2</v>
      </c>
      <c r="BL259" s="18">
        <v>57669</v>
      </c>
      <c r="BM259" s="5">
        <v>22399.200000000001</v>
      </c>
      <c r="BN259" s="16">
        <v>3696.7</v>
      </c>
      <c r="BO259" s="18">
        <v>61988</v>
      </c>
      <c r="BP259" s="5">
        <v>24338.799999999999</v>
      </c>
      <c r="BQ259" s="16">
        <v>4250.6000000000004</v>
      </c>
      <c r="BR259" s="18">
        <v>65343</v>
      </c>
      <c r="BS259" s="5">
        <v>26586.1</v>
      </c>
      <c r="BT259" s="16">
        <v>4802.5</v>
      </c>
      <c r="BU259" s="18">
        <v>69211</v>
      </c>
      <c r="BV259" s="5">
        <v>29095.599999999999</v>
      </c>
      <c r="BW259" s="16">
        <v>5452.3</v>
      </c>
    </row>
    <row r="260" spans="54:75" x14ac:dyDescent="0.2">
      <c r="BB260" s="9"/>
      <c r="BC260" s="9"/>
      <c r="BD260" s="9"/>
      <c r="BE260" s="30">
        <v>8</v>
      </c>
      <c r="BF260" s="18">
        <v>68134</v>
      </c>
      <c r="BG260" s="5">
        <v>25518.7</v>
      </c>
      <c r="BH260" s="16">
        <v>4696.2</v>
      </c>
      <c r="BI260" s="18">
        <v>70050</v>
      </c>
      <c r="BJ260" s="5">
        <v>27170.400000000001</v>
      </c>
      <c r="BK260" s="5">
        <v>5124.5</v>
      </c>
      <c r="BL260" s="18">
        <v>72276</v>
      </c>
      <c r="BM260" s="5">
        <v>28094.6</v>
      </c>
      <c r="BN260" s="16">
        <v>5404.6</v>
      </c>
      <c r="BO260" s="18">
        <v>77148</v>
      </c>
      <c r="BP260" s="5">
        <v>30232.799999999999</v>
      </c>
      <c r="BQ260" s="16">
        <v>6037.3</v>
      </c>
      <c r="BR260" s="18">
        <v>81648</v>
      </c>
      <c r="BS260" s="5">
        <v>33138.1</v>
      </c>
      <c r="BT260" s="16">
        <v>6817.6</v>
      </c>
      <c r="BU260" s="18">
        <v>86733</v>
      </c>
      <c r="BV260" s="5">
        <v>36196</v>
      </c>
      <c r="BW260" s="16">
        <v>7683</v>
      </c>
    </row>
    <row r="261" spans="54:75" x14ac:dyDescent="0.2">
      <c r="BB261" s="9"/>
      <c r="BC261" s="9"/>
      <c r="BD261" s="9"/>
      <c r="BE261" s="30">
        <v>9</v>
      </c>
      <c r="BF261" s="18">
        <v>91063</v>
      </c>
      <c r="BG261" s="5">
        <v>33000.400000000001</v>
      </c>
      <c r="BH261" s="16">
        <v>7041.7</v>
      </c>
      <c r="BI261" s="18">
        <v>94780</v>
      </c>
      <c r="BJ261" s="5">
        <v>35015</v>
      </c>
      <c r="BK261" s="5">
        <v>7617.7</v>
      </c>
      <c r="BL261" s="18">
        <v>98788</v>
      </c>
      <c r="BM261" s="5">
        <v>36327.199999999997</v>
      </c>
      <c r="BN261" s="16">
        <v>8052.1</v>
      </c>
      <c r="BO261" s="18">
        <v>105078</v>
      </c>
      <c r="BP261" s="5">
        <v>39042.1</v>
      </c>
      <c r="BQ261" s="16">
        <v>8915</v>
      </c>
      <c r="BR261" s="18">
        <v>111159</v>
      </c>
      <c r="BS261" s="5">
        <v>42946.2</v>
      </c>
      <c r="BT261" s="16">
        <v>10044.299999999999</v>
      </c>
      <c r="BU261" s="18">
        <v>119404</v>
      </c>
      <c r="BV261" s="5">
        <v>47373.9</v>
      </c>
      <c r="BW261" s="16">
        <v>11371.4</v>
      </c>
    </row>
    <row r="262" spans="54:75" x14ac:dyDescent="0.2">
      <c r="BB262" s="9"/>
      <c r="BC262" s="9"/>
      <c r="BD262" s="9"/>
      <c r="BE262" s="31">
        <v>10</v>
      </c>
      <c r="BF262" s="19"/>
      <c r="BG262" s="8">
        <v>66397.399999999994</v>
      </c>
      <c r="BH262" s="17">
        <v>18061.5</v>
      </c>
      <c r="BI262" s="19"/>
      <c r="BJ262" s="8">
        <v>70530.399999999994</v>
      </c>
      <c r="BK262" s="8">
        <v>19337.900000000001</v>
      </c>
      <c r="BL262" s="19"/>
      <c r="BM262" s="8">
        <v>82213.5</v>
      </c>
      <c r="BN262" s="17">
        <v>23194.6</v>
      </c>
      <c r="BO262" s="19"/>
      <c r="BP262" s="8">
        <v>77581.5</v>
      </c>
      <c r="BQ262" s="17">
        <v>22494.400000000001</v>
      </c>
      <c r="BR262" s="19"/>
      <c r="BS262" s="8">
        <v>83684.399999999994</v>
      </c>
      <c r="BT262" s="17">
        <v>24430.400000000001</v>
      </c>
      <c r="BU262" s="19"/>
      <c r="BV262" s="8">
        <v>91939.199999999997</v>
      </c>
      <c r="BW262" s="17">
        <v>27205.200000000001</v>
      </c>
    </row>
    <row r="264" spans="54:75" x14ac:dyDescent="0.2">
      <c r="BE264" s="120" t="s">
        <v>288</v>
      </c>
      <c r="BF264" s="108">
        <v>2019</v>
      </c>
      <c r="BG264" s="109"/>
      <c r="BH264" s="110"/>
      <c r="BI264" s="109">
        <v>2020</v>
      </c>
      <c r="BJ264" s="109"/>
      <c r="BK264" s="110"/>
      <c r="BL264" s="108">
        <v>2021</v>
      </c>
      <c r="BM264" s="109"/>
      <c r="BN264" s="110"/>
      <c r="BO264" s="108">
        <v>2022</v>
      </c>
      <c r="BP264" s="109"/>
      <c r="BQ264" s="110"/>
      <c r="BR264" s="108">
        <v>2023</v>
      </c>
      <c r="BS264" s="109"/>
      <c r="BT264" s="110"/>
      <c r="BU264" s="108">
        <v>2024</v>
      </c>
      <c r="BV264" s="109"/>
      <c r="BW264" s="110"/>
    </row>
    <row r="265" spans="54:75" x14ac:dyDescent="0.2">
      <c r="BE265" s="121"/>
      <c r="BF265" s="102" t="s">
        <v>287</v>
      </c>
      <c r="BG265" s="104" t="s">
        <v>31</v>
      </c>
      <c r="BH265" s="106" t="s">
        <v>32</v>
      </c>
      <c r="BI265" s="102" t="s">
        <v>287</v>
      </c>
      <c r="BJ265" s="104" t="s">
        <v>31</v>
      </c>
      <c r="BK265" s="106" t="s">
        <v>32</v>
      </c>
      <c r="BL265" s="102" t="s">
        <v>287</v>
      </c>
      <c r="BM265" s="104" t="s">
        <v>31</v>
      </c>
      <c r="BN265" s="106" t="s">
        <v>32</v>
      </c>
      <c r="BO265" s="102" t="s">
        <v>287</v>
      </c>
      <c r="BP265" s="104" t="s">
        <v>31</v>
      </c>
      <c r="BQ265" s="106" t="s">
        <v>32</v>
      </c>
      <c r="BR265" s="102" t="s">
        <v>287</v>
      </c>
      <c r="BS265" s="104" t="s">
        <v>31</v>
      </c>
      <c r="BT265" s="106" t="s">
        <v>32</v>
      </c>
      <c r="BU265" s="102" t="s">
        <v>287</v>
      </c>
      <c r="BV265" s="104" t="s">
        <v>31</v>
      </c>
      <c r="BW265" s="106" t="s">
        <v>32</v>
      </c>
    </row>
    <row r="266" spans="54:75" ht="49.5" customHeight="1" x14ac:dyDescent="0.2">
      <c r="BE266" s="122"/>
      <c r="BF266" s="103"/>
      <c r="BG266" s="105"/>
      <c r="BH266" s="107"/>
      <c r="BI266" s="103"/>
      <c r="BJ266" s="105"/>
      <c r="BK266" s="107"/>
      <c r="BL266" s="103"/>
      <c r="BM266" s="105"/>
      <c r="BN266" s="107"/>
      <c r="BO266" s="103"/>
      <c r="BP266" s="105"/>
      <c r="BQ266" s="107"/>
      <c r="BR266" s="103"/>
      <c r="BS266" s="105"/>
      <c r="BT266" s="107"/>
      <c r="BU266" s="103"/>
      <c r="BV266" s="105"/>
      <c r="BW266" s="107"/>
    </row>
    <row r="267" spans="54:75" x14ac:dyDescent="0.2">
      <c r="BE267" s="35"/>
      <c r="BF267" s="36"/>
      <c r="BG267" s="37"/>
      <c r="BH267" s="38"/>
      <c r="BI267" s="39"/>
      <c r="BJ267" s="37"/>
      <c r="BK267" s="38"/>
      <c r="BL267" s="36"/>
      <c r="BM267" s="37"/>
      <c r="BN267" s="38"/>
      <c r="BO267" s="36"/>
      <c r="BP267" s="37"/>
      <c r="BQ267" s="38"/>
      <c r="BR267" s="36"/>
      <c r="BS267" s="37"/>
      <c r="BT267" s="38"/>
      <c r="BU267" s="36"/>
      <c r="BV267" s="37"/>
      <c r="BW267" s="38"/>
    </row>
    <row r="268" spans="54:75" x14ac:dyDescent="0.2">
      <c r="BE268" s="30">
        <v>91</v>
      </c>
      <c r="BF268" s="18">
        <v>95039</v>
      </c>
      <c r="BG268" s="5">
        <v>3942.9</v>
      </c>
      <c r="BH268" s="16">
        <v>916.2</v>
      </c>
      <c r="BI268" s="10">
        <v>98965</v>
      </c>
      <c r="BJ268" s="5">
        <v>4196.6000000000004</v>
      </c>
      <c r="BK268" s="16">
        <v>991.2</v>
      </c>
      <c r="BL268" s="18">
        <v>103144</v>
      </c>
      <c r="BM268" s="5">
        <v>4372.8999999999996</v>
      </c>
      <c r="BN268" s="16">
        <v>1049.4000000000001</v>
      </c>
      <c r="BO268" s="18">
        <v>109904</v>
      </c>
      <c r="BP268" s="5">
        <v>4695.5</v>
      </c>
      <c r="BQ268" s="16">
        <v>1152.5999999999999</v>
      </c>
      <c r="BR268" s="18">
        <v>116222</v>
      </c>
      <c r="BS268" s="5">
        <v>5165.5</v>
      </c>
      <c r="BT268" s="16">
        <v>1291.8</v>
      </c>
      <c r="BU268" s="18">
        <v>124724</v>
      </c>
      <c r="BV268" s="5">
        <v>5724.4</v>
      </c>
      <c r="BW268" s="16">
        <v>1462.9</v>
      </c>
    </row>
    <row r="269" spans="54:75" x14ac:dyDescent="0.2">
      <c r="BE269" s="30">
        <v>92</v>
      </c>
      <c r="BF269" s="18">
        <v>99788</v>
      </c>
      <c r="BG269" s="5">
        <v>4128.3</v>
      </c>
      <c r="BH269" s="16">
        <v>977.3</v>
      </c>
      <c r="BI269" s="10">
        <v>103712</v>
      </c>
      <c r="BJ269" s="5">
        <v>4389.1000000000004</v>
      </c>
      <c r="BK269" s="16">
        <v>1054.7</v>
      </c>
      <c r="BL269" s="18">
        <v>108441</v>
      </c>
      <c r="BM269" s="5">
        <v>4581.3</v>
      </c>
      <c r="BN269" s="16">
        <v>1118.3</v>
      </c>
      <c r="BO269" s="18">
        <v>115527</v>
      </c>
      <c r="BP269" s="5">
        <v>4922.5</v>
      </c>
      <c r="BQ269" s="16">
        <v>1227.5999999999999</v>
      </c>
      <c r="BR269" s="18">
        <v>121992</v>
      </c>
      <c r="BS269" s="5">
        <v>5413.1</v>
      </c>
      <c r="BT269" s="16">
        <v>1373.5</v>
      </c>
      <c r="BU269" s="18">
        <v>130845</v>
      </c>
      <c r="BV269" s="5">
        <v>5994.5</v>
      </c>
      <c r="BW269" s="16">
        <v>1552</v>
      </c>
    </row>
    <row r="270" spans="54:75" x14ac:dyDescent="0.2">
      <c r="BE270" s="30">
        <v>93</v>
      </c>
      <c r="BF270" s="18">
        <v>105228</v>
      </c>
      <c r="BG270" s="5">
        <v>4339</v>
      </c>
      <c r="BH270" s="16">
        <v>1047</v>
      </c>
      <c r="BI270" s="10">
        <v>109703</v>
      </c>
      <c r="BJ270" s="5">
        <v>4622.3</v>
      </c>
      <c r="BK270" s="16">
        <v>1131.5999999999999</v>
      </c>
      <c r="BL270" s="18">
        <v>114787</v>
      </c>
      <c r="BM270" s="5">
        <v>4832.7</v>
      </c>
      <c r="BN270" s="16">
        <v>1201.2</v>
      </c>
      <c r="BO270" s="18">
        <v>122057</v>
      </c>
      <c r="BP270" s="5">
        <v>5190.5</v>
      </c>
      <c r="BQ270" s="16">
        <v>1316</v>
      </c>
      <c r="BR270" s="18">
        <v>128800</v>
      </c>
      <c r="BS270" s="5">
        <v>5695.6</v>
      </c>
      <c r="BT270" s="16">
        <v>1466.7</v>
      </c>
      <c r="BU270" s="18">
        <v>138091</v>
      </c>
      <c r="BV270" s="5">
        <v>6306.1</v>
      </c>
      <c r="BW270" s="16">
        <v>1654.8</v>
      </c>
    </row>
    <row r="271" spans="54:75" x14ac:dyDescent="0.2">
      <c r="BE271" s="30">
        <v>94</v>
      </c>
      <c r="BF271" s="18">
        <v>112227</v>
      </c>
      <c r="BG271" s="5">
        <v>4606.1000000000004</v>
      </c>
      <c r="BH271" s="16">
        <v>1135</v>
      </c>
      <c r="BI271" s="10">
        <v>116999</v>
      </c>
      <c r="BJ271" s="5">
        <v>4907.3</v>
      </c>
      <c r="BK271" s="16">
        <v>1225.7</v>
      </c>
      <c r="BL271" s="18">
        <v>122357</v>
      </c>
      <c r="BM271" s="5">
        <v>5133.6000000000004</v>
      </c>
      <c r="BN271" s="16">
        <v>1300.5999999999999</v>
      </c>
      <c r="BO271" s="18">
        <v>130125</v>
      </c>
      <c r="BP271" s="5">
        <v>5505.9</v>
      </c>
      <c r="BQ271" s="16">
        <v>1420.1</v>
      </c>
      <c r="BR271" s="18">
        <v>137118</v>
      </c>
      <c r="BS271" s="5">
        <v>6037.2</v>
      </c>
      <c r="BT271" s="16">
        <v>1579.5</v>
      </c>
      <c r="BU271" s="18">
        <v>146709</v>
      </c>
      <c r="BV271" s="5">
        <v>6677.4</v>
      </c>
      <c r="BW271" s="16">
        <v>1777.3</v>
      </c>
    </row>
    <row r="272" spans="54:75" x14ac:dyDescent="0.2">
      <c r="BE272" s="30">
        <v>95</v>
      </c>
      <c r="BF272" s="18">
        <v>121000</v>
      </c>
      <c r="BG272" s="5">
        <v>4938.8999999999996</v>
      </c>
      <c r="BH272" s="16">
        <v>1244.8</v>
      </c>
      <c r="BI272" s="10">
        <v>125863</v>
      </c>
      <c r="BJ272" s="5">
        <v>5258.8</v>
      </c>
      <c r="BK272" s="16">
        <v>1341.7</v>
      </c>
      <c r="BL272" s="18">
        <v>132245</v>
      </c>
      <c r="BM272" s="5">
        <v>5509</v>
      </c>
      <c r="BN272" s="16">
        <v>1424.4</v>
      </c>
      <c r="BO272" s="18">
        <v>140306</v>
      </c>
      <c r="BP272" s="5">
        <v>5901.6</v>
      </c>
      <c r="BQ272" s="16">
        <v>1550.7</v>
      </c>
      <c r="BR272" s="18">
        <v>147480</v>
      </c>
      <c r="BS272" s="5">
        <v>6459.7</v>
      </c>
      <c r="BT272" s="16">
        <v>1718.9</v>
      </c>
      <c r="BU272" s="18">
        <v>157130</v>
      </c>
      <c r="BV272" s="5">
        <v>7121.2</v>
      </c>
      <c r="BW272" s="16">
        <v>1923.8</v>
      </c>
    </row>
    <row r="273" spans="30:76" x14ac:dyDescent="0.2">
      <c r="BE273" s="30">
        <v>96</v>
      </c>
      <c r="BF273" s="18">
        <v>132482</v>
      </c>
      <c r="BG273" s="5">
        <v>5359.9</v>
      </c>
      <c r="BH273" s="16">
        <v>1383.9</v>
      </c>
      <c r="BI273" s="10">
        <v>137934</v>
      </c>
      <c r="BJ273" s="5">
        <v>5706.5</v>
      </c>
      <c r="BK273" s="16">
        <v>1489.4</v>
      </c>
      <c r="BL273" s="18">
        <v>145503</v>
      </c>
      <c r="BM273" s="5">
        <v>6004.7</v>
      </c>
      <c r="BN273" s="16">
        <v>1588</v>
      </c>
      <c r="BO273" s="18">
        <v>153422</v>
      </c>
      <c r="BP273" s="5">
        <v>6408.5</v>
      </c>
      <c r="BQ273" s="16">
        <v>1717.9</v>
      </c>
      <c r="BR273" s="18">
        <v>160535</v>
      </c>
      <c r="BS273" s="5">
        <v>6985.1</v>
      </c>
      <c r="BT273" s="16">
        <v>1892.3</v>
      </c>
      <c r="BU273" s="18">
        <v>170384</v>
      </c>
      <c r="BV273" s="5">
        <v>7674.5</v>
      </c>
      <c r="BW273" s="16">
        <v>2106.4</v>
      </c>
    </row>
    <row r="274" spans="30:76" x14ac:dyDescent="0.2">
      <c r="BE274" s="30">
        <v>97</v>
      </c>
      <c r="BF274" s="18">
        <v>149198</v>
      </c>
      <c r="BG274" s="5">
        <v>5948.7</v>
      </c>
      <c r="BH274" s="16">
        <v>1578.1</v>
      </c>
      <c r="BI274" s="10">
        <v>154651</v>
      </c>
      <c r="BJ274" s="5">
        <v>6322.3</v>
      </c>
      <c r="BK274" s="16">
        <v>1692.6</v>
      </c>
      <c r="BL274" s="18">
        <v>164511</v>
      </c>
      <c r="BM274" s="5">
        <v>6688.7</v>
      </c>
      <c r="BN274" s="16">
        <v>1813.7</v>
      </c>
      <c r="BO274" s="18">
        <v>171342</v>
      </c>
      <c r="BP274" s="5">
        <v>7076.9</v>
      </c>
      <c r="BQ274" s="16">
        <v>1938.5</v>
      </c>
      <c r="BR274" s="18">
        <v>177806</v>
      </c>
      <c r="BS274" s="5">
        <v>7679.3</v>
      </c>
      <c r="BT274" s="16">
        <v>2121.4</v>
      </c>
      <c r="BU274" s="18">
        <v>184322</v>
      </c>
      <c r="BV274" s="5">
        <v>8329.6</v>
      </c>
      <c r="BW274" s="16">
        <v>2324</v>
      </c>
    </row>
    <row r="275" spans="30:76" x14ac:dyDescent="0.2">
      <c r="BE275" s="30">
        <v>98</v>
      </c>
      <c r="BF275" s="18">
        <v>175967</v>
      </c>
      <c r="BG275" s="5">
        <v>6832.9</v>
      </c>
      <c r="BH275" s="16">
        <v>1869.9</v>
      </c>
      <c r="BI275" s="10">
        <v>182169</v>
      </c>
      <c r="BJ275" s="5">
        <v>7248.2</v>
      </c>
      <c r="BK275" s="16">
        <v>1998.2</v>
      </c>
      <c r="BL275" s="18">
        <v>196459</v>
      </c>
      <c r="BM275" s="5">
        <v>7748</v>
      </c>
      <c r="BN275" s="16">
        <v>2163.3000000000002</v>
      </c>
      <c r="BO275" s="18">
        <v>195507</v>
      </c>
      <c r="BP275" s="5">
        <v>7946.8</v>
      </c>
      <c r="BQ275" s="16">
        <v>2235.1</v>
      </c>
      <c r="BR275" s="18">
        <v>202046</v>
      </c>
      <c r="BS275" s="5">
        <v>8532</v>
      </c>
      <c r="BT275" s="16">
        <v>2424.1999999999998</v>
      </c>
      <c r="BU275" s="18">
        <v>212221</v>
      </c>
      <c r="BV275" s="5">
        <v>9240.6</v>
      </c>
      <c r="BW275" s="16">
        <v>2670.7</v>
      </c>
    </row>
    <row r="276" spans="30:76" x14ac:dyDescent="0.2">
      <c r="BE276" s="30">
        <v>99</v>
      </c>
      <c r="BF276" s="18">
        <v>234060</v>
      </c>
      <c r="BG276" s="5">
        <v>8488.4</v>
      </c>
      <c r="BH276" s="16">
        <v>2416.1999999999998</v>
      </c>
      <c r="BI276" s="10">
        <v>241590</v>
      </c>
      <c r="BJ276" s="5">
        <v>8971.2000000000007</v>
      </c>
      <c r="BK276" s="16">
        <v>2566.8000000000002</v>
      </c>
      <c r="BL276" s="18">
        <v>276114</v>
      </c>
      <c r="BM276" s="5">
        <v>9890.9</v>
      </c>
      <c r="BN276" s="16">
        <v>2870.4</v>
      </c>
      <c r="BO276" s="18">
        <v>257402</v>
      </c>
      <c r="BP276" s="5">
        <v>9656.5</v>
      </c>
      <c r="BQ276" s="16">
        <v>2897.1</v>
      </c>
      <c r="BR276" s="18">
        <v>264179</v>
      </c>
      <c r="BS276" s="5">
        <v>10351</v>
      </c>
      <c r="BT276" s="16">
        <v>3133.1</v>
      </c>
      <c r="BU276" s="18">
        <v>277493</v>
      </c>
      <c r="BV276" s="5">
        <v>11217.2</v>
      </c>
      <c r="BW276" s="16">
        <v>3441.6</v>
      </c>
    </row>
    <row r="277" spans="30:76" x14ac:dyDescent="0.2">
      <c r="BE277" s="31">
        <v>100</v>
      </c>
      <c r="BF277" s="19"/>
      <c r="BG277" s="8">
        <v>17812.400000000001</v>
      </c>
      <c r="BH277" s="17">
        <v>5493.1</v>
      </c>
      <c r="BI277" s="7"/>
      <c r="BJ277" s="8">
        <v>18908.099999999999</v>
      </c>
      <c r="BK277" s="17">
        <v>5845.9</v>
      </c>
      <c r="BL277" s="19"/>
      <c r="BM277" s="8">
        <v>27451.599999999999</v>
      </c>
      <c r="BN277" s="17">
        <v>8665.5</v>
      </c>
      <c r="BO277" s="19"/>
      <c r="BP277" s="8">
        <v>20276.7</v>
      </c>
      <c r="BQ277" s="17">
        <v>7039</v>
      </c>
      <c r="BR277" s="19"/>
      <c r="BS277" s="8">
        <v>21365.9</v>
      </c>
      <c r="BT277" s="17">
        <v>7428.9</v>
      </c>
      <c r="BU277" s="19"/>
      <c r="BV277" s="8">
        <v>23653.599999999999</v>
      </c>
      <c r="BW277" s="17">
        <v>8291.7999999999993</v>
      </c>
    </row>
    <row r="279" spans="30:76" x14ac:dyDescent="0.2">
      <c r="BE279" s="2" t="s">
        <v>289</v>
      </c>
      <c r="BX279" s="2" t="s">
        <v>312</v>
      </c>
    </row>
    <row r="280" spans="30:76" x14ac:dyDescent="0.2">
      <c r="BE280" s="2" t="s">
        <v>290</v>
      </c>
    </row>
    <row r="281" spans="30:76" x14ac:dyDescent="0.2">
      <c r="AD281" s="10"/>
      <c r="BL281" s="10"/>
    </row>
    <row r="282" spans="30:76" ht="15" x14ac:dyDescent="0.2">
      <c r="AD282" s="10"/>
      <c r="BE282" s="43" t="s">
        <v>313</v>
      </c>
      <c r="BF282"/>
      <c r="BG282"/>
      <c r="BH282"/>
      <c r="BI282"/>
      <c r="BJ282"/>
      <c r="BK282"/>
      <c r="BL282"/>
      <c r="BM282"/>
      <c r="BN282"/>
      <c r="BO282"/>
      <c r="BP282"/>
      <c r="BQ282"/>
      <c r="BR282"/>
      <c r="BS282"/>
      <c r="BT282"/>
      <c r="BU282"/>
      <c r="BV282"/>
      <c r="BW282"/>
    </row>
    <row r="283" spans="30:76" ht="15" x14ac:dyDescent="0.2">
      <c r="AD283" s="10"/>
      <c r="BE283" s="43"/>
      <c r="BF283"/>
      <c r="BG283"/>
      <c r="BH283"/>
      <c r="BI283"/>
      <c r="BJ283"/>
      <c r="BK283"/>
      <c r="BL283"/>
      <c r="BM283"/>
      <c r="BN283"/>
      <c r="BO283"/>
      <c r="BP283"/>
      <c r="BQ283"/>
      <c r="BR283"/>
      <c r="BS283"/>
      <c r="BT283"/>
      <c r="BU283"/>
      <c r="BV283"/>
      <c r="BW283"/>
    </row>
    <row r="284" spans="30:76" x14ac:dyDescent="0.2">
      <c r="AD284" s="10"/>
      <c r="BE284"/>
      <c r="BF284" s="46"/>
      <c r="BG284"/>
      <c r="BH284"/>
      <c r="BI284" s="46"/>
      <c r="BJ284"/>
      <c r="BK284"/>
      <c r="BL284" s="46"/>
      <c r="BM284"/>
      <c r="BN284"/>
      <c r="BO284" s="46"/>
      <c r="BP284"/>
      <c r="BQ284"/>
      <c r="BR284" s="46"/>
      <c r="BS284"/>
      <c r="BT284"/>
      <c r="BU284" s="46"/>
      <c r="BV284"/>
      <c r="BW284"/>
    </row>
    <row r="285" spans="30:76" x14ac:dyDescent="0.2">
      <c r="BE285" s="42"/>
      <c r="BF285" s="108">
        <v>2019</v>
      </c>
      <c r="BG285" s="109"/>
      <c r="BH285" s="110"/>
      <c r="BI285" s="109">
        <v>2020</v>
      </c>
      <c r="BJ285" s="109"/>
      <c r="BK285" s="110"/>
      <c r="BL285" s="108">
        <v>2021</v>
      </c>
      <c r="BM285" s="109"/>
      <c r="BN285" s="110"/>
      <c r="BO285" s="108">
        <v>2022</v>
      </c>
      <c r="BP285" s="109"/>
      <c r="BQ285" s="110"/>
      <c r="BR285" s="108">
        <v>2023</v>
      </c>
      <c r="BS285" s="109"/>
      <c r="BT285" s="110"/>
      <c r="BU285" s="108">
        <v>2024</v>
      </c>
      <c r="BV285" s="109"/>
      <c r="BW285" s="110"/>
    </row>
    <row r="286" spans="30:76" x14ac:dyDescent="0.2">
      <c r="BE286" s="22" t="s">
        <v>291</v>
      </c>
      <c r="BF286" s="102" t="s">
        <v>30</v>
      </c>
      <c r="BG286" s="104" t="s">
        <v>31</v>
      </c>
      <c r="BH286" s="106" t="s">
        <v>32</v>
      </c>
      <c r="BI286" s="104" t="s">
        <v>30</v>
      </c>
      <c r="BJ286" s="104" t="s">
        <v>31</v>
      </c>
      <c r="BK286" s="106" t="s">
        <v>32</v>
      </c>
      <c r="BL286" s="102" t="s">
        <v>30</v>
      </c>
      <c r="BM286" s="104" t="s">
        <v>31</v>
      </c>
      <c r="BN286" s="106" t="s">
        <v>32</v>
      </c>
      <c r="BO286" s="102" t="s">
        <v>30</v>
      </c>
      <c r="BP286" s="104" t="s">
        <v>31</v>
      </c>
      <c r="BQ286" s="106" t="s">
        <v>32</v>
      </c>
      <c r="BR286" s="102" t="s">
        <v>30</v>
      </c>
      <c r="BS286" s="104" t="s">
        <v>31</v>
      </c>
      <c r="BT286" s="106" t="s">
        <v>32</v>
      </c>
      <c r="BU286" s="102" t="s">
        <v>30</v>
      </c>
      <c r="BV286" s="104" t="s">
        <v>31</v>
      </c>
      <c r="BW286" s="106" t="s">
        <v>32</v>
      </c>
    </row>
    <row r="287" spans="30:76" ht="39.75" customHeight="1" x14ac:dyDescent="0.2">
      <c r="BE287" s="23"/>
      <c r="BF287" s="103"/>
      <c r="BG287" s="105"/>
      <c r="BH287" s="107"/>
      <c r="BI287" s="105"/>
      <c r="BJ287" s="105"/>
      <c r="BK287" s="107"/>
      <c r="BL287" s="103"/>
      <c r="BM287" s="105"/>
      <c r="BN287" s="107"/>
      <c r="BO287" s="103"/>
      <c r="BP287" s="105"/>
      <c r="BQ287" s="107"/>
      <c r="BR287" s="103"/>
      <c r="BS287" s="105"/>
      <c r="BT287" s="107"/>
      <c r="BU287" s="103"/>
      <c r="BV287" s="105"/>
      <c r="BW287" s="107"/>
    </row>
    <row r="288" spans="30:76" x14ac:dyDescent="0.2">
      <c r="BE288" s="70"/>
      <c r="BF288" s="71"/>
      <c r="BG288" s="72"/>
      <c r="BH288" s="73"/>
      <c r="BI288" s="71"/>
      <c r="BJ288" s="72"/>
      <c r="BK288" s="73"/>
      <c r="BL288" s="71"/>
      <c r="BM288" s="72"/>
      <c r="BN288" s="73"/>
      <c r="BO288" s="71"/>
      <c r="BP288" s="72"/>
      <c r="BQ288" s="73"/>
      <c r="BR288" s="71"/>
      <c r="BS288" s="72"/>
      <c r="BT288" s="73"/>
      <c r="BU288" s="71"/>
      <c r="BV288" s="72"/>
      <c r="BW288" s="73"/>
    </row>
    <row r="289" spans="57:76" x14ac:dyDescent="0.2">
      <c r="BE289" s="81" t="s">
        <v>292</v>
      </c>
      <c r="BF289" s="74">
        <v>217240</v>
      </c>
      <c r="BG289" s="75">
        <v>111.5</v>
      </c>
      <c r="BH289" s="76">
        <v>18.3</v>
      </c>
      <c r="BI289" s="74">
        <v>211620</v>
      </c>
      <c r="BJ289" s="75">
        <v>65.3</v>
      </c>
      <c r="BK289" s="76">
        <v>7.7</v>
      </c>
      <c r="BL289" s="74">
        <v>210990</v>
      </c>
      <c r="BM289" s="75">
        <v>60.8</v>
      </c>
      <c r="BN289" s="76">
        <v>7</v>
      </c>
      <c r="BO289" s="74">
        <v>205900</v>
      </c>
      <c r="BP289" s="75">
        <v>65</v>
      </c>
      <c r="BQ289" s="76">
        <v>7.4</v>
      </c>
      <c r="BR289" s="74">
        <v>212510</v>
      </c>
      <c r="BS289" s="75">
        <v>87.2</v>
      </c>
      <c r="BT289" s="76">
        <v>10.1</v>
      </c>
      <c r="BU289" s="74">
        <v>206040</v>
      </c>
      <c r="BV289" s="75">
        <v>100.7</v>
      </c>
      <c r="BW289" s="76">
        <v>12.1</v>
      </c>
      <c r="BX289" s="85"/>
    </row>
    <row r="290" spans="57:76" x14ac:dyDescent="0.2">
      <c r="BE290" s="81" t="s">
        <v>293</v>
      </c>
      <c r="BF290" s="74">
        <v>243200</v>
      </c>
      <c r="BG290" s="75">
        <v>2423.1</v>
      </c>
      <c r="BH290" s="76">
        <v>306.7</v>
      </c>
      <c r="BI290" s="74">
        <v>241780</v>
      </c>
      <c r="BJ290" s="75">
        <v>2554.6999999999998</v>
      </c>
      <c r="BK290" s="76">
        <v>326.3</v>
      </c>
      <c r="BL290" s="74">
        <v>233840</v>
      </c>
      <c r="BM290" s="75">
        <v>2573.1</v>
      </c>
      <c r="BN290" s="76">
        <v>334.6</v>
      </c>
      <c r="BO290" s="74">
        <v>246840</v>
      </c>
      <c r="BP290" s="75">
        <v>3051.2</v>
      </c>
      <c r="BQ290" s="76">
        <v>401.6</v>
      </c>
      <c r="BR290" s="74">
        <v>269090</v>
      </c>
      <c r="BS290" s="75">
        <v>3743.5</v>
      </c>
      <c r="BT290" s="76">
        <v>504.5</v>
      </c>
      <c r="BU290" s="74">
        <v>269190</v>
      </c>
      <c r="BV290" s="75">
        <v>3766.2</v>
      </c>
      <c r="BW290" s="76">
        <v>521</v>
      </c>
      <c r="BX290" s="85"/>
    </row>
    <row r="291" spans="57:76" x14ac:dyDescent="0.2">
      <c r="BE291" s="81" t="s">
        <v>294</v>
      </c>
      <c r="BF291" s="74">
        <v>357960</v>
      </c>
      <c r="BG291" s="75">
        <v>9312.4</v>
      </c>
      <c r="BH291" s="76">
        <v>1380.1</v>
      </c>
      <c r="BI291" s="74">
        <v>357110</v>
      </c>
      <c r="BJ291" s="75">
        <v>9719.4</v>
      </c>
      <c r="BK291" s="76">
        <v>1466.6</v>
      </c>
      <c r="BL291" s="74">
        <v>334370</v>
      </c>
      <c r="BM291" s="75">
        <v>9926</v>
      </c>
      <c r="BN291" s="76">
        <v>1523.5</v>
      </c>
      <c r="BO291" s="74">
        <v>324860</v>
      </c>
      <c r="BP291" s="75">
        <v>10874.6</v>
      </c>
      <c r="BQ291" s="76">
        <v>1737.9</v>
      </c>
      <c r="BR291" s="74">
        <v>335050</v>
      </c>
      <c r="BS291" s="75">
        <v>11849.5</v>
      </c>
      <c r="BT291" s="76">
        <v>1963.1</v>
      </c>
      <c r="BU291" s="74">
        <v>350820</v>
      </c>
      <c r="BV291" s="75">
        <v>12515.4</v>
      </c>
      <c r="BW291" s="76">
        <v>2116.1</v>
      </c>
      <c r="BX291" s="85"/>
    </row>
    <row r="292" spans="57:76" x14ac:dyDescent="0.2">
      <c r="BE292" s="81" t="s">
        <v>295</v>
      </c>
      <c r="BF292" s="74">
        <v>412920</v>
      </c>
      <c r="BG292" s="75">
        <v>15673.4</v>
      </c>
      <c r="BH292" s="76">
        <v>2749.9</v>
      </c>
      <c r="BI292" s="74">
        <v>417430</v>
      </c>
      <c r="BJ292" s="75">
        <v>16608.8</v>
      </c>
      <c r="BK292" s="76">
        <v>2976.1</v>
      </c>
      <c r="BL292" s="74">
        <v>390960</v>
      </c>
      <c r="BM292" s="75">
        <v>17163.599999999999</v>
      </c>
      <c r="BN292" s="76">
        <v>3149.6</v>
      </c>
      <c r="BO292" s="74">
        <v>372460</v>
      </c>
      <c r="BP292" s="75">
        <v>18273.900000000001</v>
      </c>
      <c r="BQ292" s="76">
        <v>3500.2</v>
      </c>
      <c r="BR292" s="74">
        <v>384180</v>
      </c>
      <c r="BS292" s="75">
        <v>19162.8</v>
      </c>
      <c r="BT292" s="76">
        <v>3759.7</v>
      </c>
      <c r="BU292" s="74">
        <v>402280</v>
      </c>
      <c r="BV292" s="75">
        <v>20054.5</v>
      </c>
      <c r="BW292" s="76">
        <v>3985.9</v>
      </c>
      <c r="BX292" s="85"/>
    </row>
    <row r="293" spans="57:76" x14ac:dyDescent="0.2">
      <c r="BE293" s="81" t="s">
        <v>296</v>
      </c>
      <c r="BF293" s="74">
        <v>370140</v>
      </c>
      <c r="BG293" s="75">
        <v>17146.099999999999</v>
      </c>
      <c r="BH293" s="76">
        <v>3362.6</v>
      </c>
      <c r="BI293" s="74">
        <v>391350</v>
      </c>
      <c r="BJ293" s="75">
        <v>18846.3</v>
      </c>
      <c r="BK293" s="76">
        <v>3759.4</v>
      </c>
      <c r="BL293" s="74">
        <v>396610</v>
      </c>
      <c r="BM293" s="75">
        <v>20678.8</v>
      </c>
      <c r="BN293" s="76">
        <v>4219.7</v>
      </c>
      <c r="BO293" s="74">
        <v>403310</v>
      </c>
      <c r="BP293" s="75">
        <v>22752.5</v>
      </c>
      <c r="BQ293" s="76">
        <v>4774.2</v>
      </c>
      <c r="BR293" s="74">
        <v>425300</v>
      </c>
      <c r="BS293" s="75">
        <v>24535.3</v>
      </c>
      <c r="BT293" s="76">
        <v>5257.1</v>
      </c>
      <c r="BU293" s="74">
        <v>450080</v>
      </c>
      <c r="BV293" s="75">
        <v>26911.5</v>
      </c>
      <c r="BW293" s="76">
        <v>5860.7</v>
      </c>
      <c r="BX293" s="85"/>
    </row>
    <row r="294" spans="57:76" x14ac:dyDescent="0.2">
      <c r="BE294" s="81" t="s">
        <v>297</v>
      </c>
      <c r="BF294" s="74">
        <v>327720</v>
      </c>
      <c r="BG294" s="75">
        <v>17750.3</v>
      </c>
      <c r="BH294" s="76">
        <v>3752</v>
      </c>
      <c r="BI294" s="74">
        <v>343880</v>
      </c>
      <c r="BJ294" s="75">
        <v>19317.900000000001</v>
      </c>
      <c r="BK294" s="76">
        <v>4144.2</v>
      </c>
      <c r="BL294" s="74">
        <v>349870</v>
      </c>
      <c r="BM294" s="75">
        <v>21306.7</v>
      </c>
      <c r="BN294" s="76">
        <v>4691</v>
      </c>
      <c r="BO294" s="74">
        <v>358390</v>
      </c>
      <c r="BP294" s="75">
        <v>22907.4</v>
      </c>
      <c r="BQ294" s="76">
        <v>5149.6000000000004</v>
      </c>
      <c r="BR294" s="74">
        <v>385240</v>
      </c>
      <c r="BS294" s="75">
        <v>25089.3</v>
      </c>
      <c r="BT294" s="76">
        <v>5723.1</v>
      </c>
      <c r="BU294" s="74">
        <v>415510</v>
      </c>
      <c r="BV294" s="75">
        <v>28263.5</v>
      </c>
      <c r="BW294" s="76">
        <v>6541.8</v>
      </c>
      <c r="BX294" s="85"/>
    </row>
    <row r="295" spans="57:76" x14ac:dyDescent="0.2">
      <c r="BE295" s="81" t="s">
        <v>298</v>
      </c>
      <c r="BF295" s="74">
        <v>304890</v>
      </c>
      <c r="BG295" s="75">
        <v>18696.5</v>
      </c>
      <c r="BH295" s="76">
        <v>4131.3</v>
      </c>
      <c r="BI295" s="74">
        <v>312720</v>
      </c>
      <c r="BJ295" s="75">
        <v>19767.5</v>
      </c>
      <c r="BK295" s="76">
        <v>4419.3999999999996</v>
      </c>
      <c r="BL295" s="74">
        <v>317610</v>
      </c>
      <c r="BM295" s="75">
        <v>21755.200000000001</v>
      </c>
      <c r="BN295" s="76">
        <v>4995.2</v>
      </c>
      <c r="BO295" s="74">
        <v>324360</v>
      </c>
      <c r="BP295" s="75">
        <v>22896.9</v>
      </c>
      <c r="BQ295" s="76">
        <v>5372.8</v>
      </c>
      <c r="BR295" s="74">
        <v>345610</v>
      </c>
      <c r="BS295" s="75">
        <v>25072</v>
      </c>
      <c r="BT295" s="76">
        <v>5984.2</v>
      </c>
      <c r="BU295" s="74">
        <v>368310</v>
      </c>
      <c r="BV295" s="75">
        <v>27828.2</v>
      </c>
      <c r="BW295" s="76">
        <v>6733.7</v>
      </c>
      <c r="BX295" s="85"/>
    </row>
    <row r="296" spans="57:76" x14ac:dyDescent="0.2">
      <c r="BE296" s="81" t="s">
        <v>299</v>
      </c>
      <c r="BF296" s="74">
        <v>332770</v>
      </c>
      <c r="BG296" s="75">
        <v>21781.7</v>
      </c>
      <c r="BH296" s="76">
        <v>4911.6000000000004</v>
      </c>
      <c r="BI296" s="74">
        <v>334800</v>
      </c>
      <c r="BJ296" s="75">
        <v>22774.6</v>
      </c>
      <c r="BK296" s="76">
        <v>5209.5</v>
      </c>
      <c r="BL296" s="74">
        <v>328400</v>
      </c>
      <c r="BM296" s="75">
        <v>24371.7</v>
      </c>
      <c r="BN296" s="76">
        <v>5738.3</v>
      </c>
      <c r="BO296" s="74">
        <v>321720</v>
      </c>
      <c r="BP296" s="75">
        <v>24289.9</v>
      </c>
      <c r="BQ296" s="76">
        <v>5846.1</v>
      </c>
      <c r="BR296" s="74">
        <v>324210</v>
      </c>
      <c r="BS296" s="75">
        <v>25489.1</v>
      </c>
      <c r="BT296" s="76">
        <v>6247.5</v>
      </c>
      <c r="BU296" s="74">
        <v>329580</v>
      </c>
      <c r="BV296" s="75">
        <v>27115.200000000001</v>
      </c>
      <c r="BW296" s="76">
        <v>6746</v>
      </c>
      <c r="BX296" s="85"/>
    </row>
    <row r="297" spans="57:76" x14ac:dyDescent="0.2">
      <c r="BE297" s="81" t="s">
        <v>300</v>
      </c>
      <c r="BF297" s="74">
        <v>316970</v>
      </c>
      <c r="BG297" s="75">
        <v>20679.5</v>
      </c>
      <c r="BH297" s="76">
        <v>4661.3999999999996</v>
      </c>
      <c r="BI297" s="74">
        <v>323280</v>
      </c>
      <c r="BJ297" s="75">
        <v>21891</v>
      </c>
      <c r="BK297" s="76">
        <v>5003.8999999999996</v>
      </c>
      <c r="BL297" s="74">
        <v>329140</v>
      </c>
      <c r="BM297" s="75">
        <v>24319.3</v>
      </c>
      <c r="BN297" s="76">
        <v>5729.8</v>
      </c>
      <c r="BO297" s="74">
        <v>334750</v>
      </c>
      <c r="BP297" s="75">
        <v>25099.599999999999</v>
      </c>
      <c r="BQ297" s="76">
        <v>6053.7</v>
      </c>
      <c r="BR297" s="74">
        <v>343000</v>
      </c>
      <c r="BS297" s="75">
        <v>26943.599999999999</v>
      </c>
      <c r="BT297" s="76">
        <v>6611.7</v>
      </c>
      <c r="BU297" s="74">
        <v>345160</v>
      </c>
      <c r="BV297" s="75">
        <v>28856.400000000001</v>
      </c>
      <c r="BW297" s="76">
        <v>7221.6</v>
      </c>
      <c r="BX297" s="85"/>
    </row>
    <row r="298" spans="57:76" x14ac:dyDescent="0.2">
      <c r="BE298" s="81" t="s">
        <v>301</v>
      </c>
      <c r="BF298" s="74">
        <v>313470</v>
      </c>
      <c r="BG298" s="75">
        <v>19517.7</v>
      </c>
      <c r="BH298" s="76">
        <v>4353.3</v>
      </c>
      <c r="BI298" s="74">
        <v>318870</v>
      </c>
      <c r="BJ298" s="75">
        <v>20501.099999999999</v>
      </c>
      <c r="BK298" s="76">
        <v>4629</v>
      </c>
      <c r="BL298" s="74">
        <v>320910</v>
      </c>
      <c r="BM298" s="75">
        <v>22571.4</v>
      </c>
      <c r="BN298" s="76">
        <v>5273.8</v>
      </c>
      <c r="BO298" s="74">
        <v>319190</v>
      </c>
      <c r="BP298" s="75">
        <v>22301.1</v>
      </c>
      <c r="BQ298" s="76">
        <v>5288.8</v>
      </c>
      <c r="BR298" s="74">
        <v>319720</v>
      </c>
      <c r="BS298" s="75">
        <v>23550.1</v>
      </c>
      <c r="BT298" s="76">
        <v>5687.5</v>
      </c>
      <c r="BU298" s="74">
        <v>321280</v>
      </c>
      <c r="BV298" s="75">
        <v>25397.1</v>
      </c>
      <c r="BW298" s="76">
        <v>6269.9</v>
      </c>
      <c r="BX298" s="85"/>
    </row>
    <row r="299" spans="57:76" x14ac:dyDescent="0.2">
      <c r="BE299" s="81" t="s">
        <v>302</v>
      </c>
      <c r="BF299" s="74">
        <v>268710</v>
      </c>
      <c r="BG299" s="75">
        <v>14718.3</v>
      </c>
      <c r="BH299" s="76">
        <v>3193.8</v>
      </c>
      <c r="BI299" s="74">
        <v>279360</v>
      </c>
      <c r="BJ299" s="75">
        <v>15914.8</v>
      </c>
      <c r="BK299" s="76">
        <v>3502.2</v>
      </c>
      <c r="BL299" s="74">
        <v>290020</v>
      </c>
      <c r="BM299" s="75">
        <v>18215.400000000001</v>
      </c>
      <c r="BN299" s="76">
        <v>4176.1000000000004</v>
      </c>
      <c r="BO299" s="74">
        <v>298490</v>
      </c>
      <c r="BP299" s="75">
        <v>18300.7</v>
      </c>
      <c r="BQ299" s="76">
        <v>4218.8999999999996</v>
      </c>
      <c r="BR299" s="74">
        <v>309320</v>
      </c>
      <c r="BS299" s="75">
        <v>19963.099999999999</v>
      </c>
      <c r="BT299" s="76">
        <v>4674.1000000000004</v>
      </c>
      <c r="BU299" s="74">
        <v>315160</v>
      </c>
      <c r="BV299" s="75">
        <v>22157</v>
      </c>
      <c r="BW299" s="76">
        <v>5320.8</v>
      </c>
      <c r="BX299" s="85"/>
    </row>
    <row r="300" spans="57:76" x14ac:dyDescent="0.2">
      <c r="BE300" s="81" t="s">
        <v>303</v>
      </c>
      <c r="BF300" s="74">
        <v>237800</v>
      </c>
      <c r="BG300" s="75">
        <v>11653.4</v>
      </c>
      <c r="BH300" s="76">
        <v>2411.6999999999998</v>
      </c>
      <c r="BI300" s="74">
        <v>243930</v>
      </c>
      <c r="BJ300" s="75">
        <v>12407.4</v>
      </c>
      <c r="BK300" s="76">
        <v>2596.4</v>
      </c>
      <c r="BL300" s="74">
        <v>251010</v>
      </c>
      <c r="BM300" s="75">
        <v>13858.3</v>
      </c>
      <c r="BN300" s="76">
        <v>3040.3</v>
      </c>
      <c r="BO300" s="74">
        <v>257770</v>
      </c>
      <c r="BP300" s="75">
        <v>13556.2</v>
      </c>
      <c r="BQ300" s="76">
        <v>2945.6</v>
      </c>
      <c r="BR300" s="74">
        <v>266800</v>
      </c>
      <c r="BS300" s="75">
        <v>15008.7</v>
      </c>
      <c r="BT300" s="76">
        <v>3328.3</v>
      </c>
      <c r="BU300" s="74">
        <v>274900</v>
      </c>
      <c r="BV300" s="75">
        <v>17431.3</v>
      </c>
      <c r="BW300" s="76">
        <v>4007.9</v>
      </c>
      <c r="BX300" s="85"/>
    </row>
    <row r="301" spans="57:76" x14ac:dyDescent="0.2">
      <c r="BE301" s="81" t="s">
        <v>304</v>
      </c>
      <c r="BF301" s="74">
        <v>199550</v>
      </c>
      <c r="BG301" s="75">
        <v>7449.5</v>
      </c>
      <c r="BH301" s="76">
        <v>1377.1</v>
      </c>
      <c r="BI301" s="74">
        <v>210320</v>
      </c>
      <c r="BJ301" s="75">
        <v>8167.4</v>
      </c>
      <c r="BK301" s="76">
        <v>1523.4</v>
      </c>
      <c r="BL301" s="74">
        <v>218790</v>
      </c>
      <c r="BM301" s="75">
        <v>9022.2000000000007</v>
      </c>
      <c r="BN301" s="76">
        <v>1780.9</v>
      </c>
      <c r="BO301" s="74">
        <v>221420</v>
      </c>
      <c r="BP301" s="75">
        <v>8593.2000000000007</v>
      </c>
      <c r="BQ301" s="76">
        <v>1653.5</v>
      </c>
      <c r="BR301" s="74">
        <v>225050</v>
      </c>
      <c r="BS301" s="75">
        <v>9447.9</v>
      </c>
      <c r="BT301" s="76">
        <v>1860.3</v>
      </c>
      <c r="BU301" s="74">
        <v>228870</v>
      </c>
      <c r="BV301" s="75">
        <v>10882.5</v>
      </c>
      <c r="BW301" s="76">
        <v>2218</v>
      </c>
      <c r="BX301" s="85"/>
    </row>
    <row r="302" spans="57:76" x14ac:dyDescent="0.2">
      <c r="BE302" s="81" t="s">
        <v>305</v>
      </c>
      <c r="BF302" s="74">
        <v>331120</v>
      </c>
      <c r="BG302" s="75">
        <v>10018.4</v>
      </c>
      <c r="BH302" s="76">
        <v>1661</v>
      </c>
      <c r="BI302" s="74">
        <v>343800</v>
      </c>
      <c r="BJ302" s="75">
        <v>10847</v>
      </c>
      <c r="BK302" s="76">
        <v>1815</v>
      </c>
      <c r="BL302" s="74">
        <v>356800</v>
      </c>
      <c r="BM302" s="75">
        <v>11558.3</v>
      </c>
      <c r="BN302" s="76">
        <v>2021.7</v>
      </c>
      <c r="BO302" s="74">
        <v>376310</v>
      </c>
      <c r="BP302" s="75">
        <v>11459.3</v>
      </c>
      <c r="BQ302" s="76">
        <v>1925.7</v>
      </c>
      <c r="BR302" s="74">
        <v>396100</v>
      </c>
      <c r="BS302" s="75">
        <v>13218.7</v>
      </c>
      <c r="BT302" s="76">
        <v>2284</v>
      </c>
      <c r="BU302" s="74">
        <v>411750</v>
      </c>
      <c r="BV302" s="75">
        <v>16341.3</v>
      </c>
      <c r="BW302" s="76">
        <v>3027.7</v>
      </c>
      <c r="BX302" s="85"/>
    </row>
    <row r="303" spans="57:76" x14ac:dyDescent="0.2">
      <c r="BE303" s="82" t="s">
        <v>306</v>
      </c>
      <c r="BF303" s="77">
        <v>5290</v>
      </c>
      <c r="BG303" s="78">
        <v>352.3</v>
      </c>
      <c r="BH303" s="79">
        <v>83.7</v>
      </c>
      <c r="BI303" s="77">
        <v>5890</v>
      </c>
      <c r="BJ303" s="78">
        <v>354.2</v>
      </c>
      <c r="BK303" s="79">
        <v>83.6</v>
      </c>
      <c r="BL303" s="77">
        <v>5310</v>
      </c>
      <c r="BM303" s="78">
        <v>516.4</v>
      </c>
      <c r="BN303" s="79">
        <v>139</v>
      </c>
      <c r="BO303" s="77">
        <v>5290</v>
      </c>
      <c r="BP303" s="78">
        <v>342.2</v>
      </c>
      <c r="BQ303" s="79">
        <v>84.6</v>
      </c>
      <c r="BR303" s="77">
        <v>5060</v>
      </c>
      <c r="BS303" s="78">
        <v>335.3</v>
      </c>
      <c r="BT303" s="79">
        <v>82.9</v>
      </c>
      <c r="BU303" s="77">
        <v>4990</v>
      </c>
      <c r="BV303" s="78">
        <v>368.1</v>
      </c>
      <c r="BW303" s="79">
        <v>93.7</v>
      </c>
      <c r="BX303" s="85"/>
    </row>
    <row r="304" spans="57:76" x14ac:dyDescent="0.2">
      <c r="BE304"/>
      <c r="BF304"/>
      <c r="BG304"/>
      <c r="BH304"/>
      <c r="BI304"/>
      <c r="BJ304"/>
      <c r="BK304"/>
      <c r="BL304"/>
      <c r="BM304"/>
      <c r="BN304"/>
      <c r="BO304"/>
      <c r="BP304"/>
      <c r="BQ304"/>
      <c r="BR304"/>
      <c r="BS304"/>
      <c r="BT304"/>
      <c r="BU304"/>
      <c r="BV304"/>
      <c r="BW304"/>
      <c r="BX304" s="85"/>
    </row>
    <row r="305" spans="57:76" x14ac:dyDescent="0.2">
      <c r="BE305" s="80" t="s">
        <v>231</v>
      </c>
      <c r="BF305" s="6">
        <f t="shared" ref="BF305:BT305" si="5">SUM(BF289:BF303)</f>
        <v>4239750</v>
      </c>
      <c r="BG305" s="6">
        <f t="shared" si="5"/>
        <v>187284.09999999998</v>
      </c>
      <c r="BH305" s="6">
        <f t="shared" si="5"/>
        <v>38354.499999999993</v>
      </c>
      <c r="BI305" s="6">
        <f t="shared" si="5"/>
        <v>4336140</v>
      </c>
      <c r="BJ305" s="6">
        <f t="shared" si="5"/>
        <v>199737.4</v>
      </c>
      <c r="BK305" s="6">
        <f t="shared" si="5"/>
        <v>41462.699999999997</v>
      </c>
      <c r="BL305" s="6">
        <f t="shared" si="5"/>
        <v>4334630</v>
      </c>
      <c r="BM305" s="6">
        <f t="shared" si="5"/>
        <v>217897.19999999995</v>
      </c>
      <c r="BN305" s="6">
        <f t="shared" si="5"/>
        <v>46820.5</v>
      </c>
      <c r="BO305" s="6">
        <f t="shared" si="5"/>
        <v>4371060</v>
      </c>
      <c r="BP305" s="6">
        <f t="shared" si="5"/>
        <v>224763.70000000004</v>
      </c>
      <c r="BQ305" s="6">
        <f t="shared" si="5"/>
        <v>48960.6</v>
      </c>
      <c r="BR305" s="6">
        <f t="shared" si="5"/>
        <v>4546240</v>
      </c>
      <c r="BS305" s="6">
        <f t="shared" si="5"/>
        <v>243496.10000000003</v>
      </c>
      <c r="BT305" s="6">
        <f t="shared" si="5"/>
        <v>53978.100000000006</v>
      </c>
      <c r="BU305" s="6">
        <f t="shared" ref="BU305:BW305" si="6">SUM(BU289:BU303)</f>
        <v>4693920</v>
      </c>
      <c r="BV305" s="6">
        <f t="shared" si="6"/>
        <v>267988.89999999997</v>
      </c>
      <c r="BW305" s="6">
        <f t="shared" si="6"/>
        <v>60676.9</v>
      </c>
      <c r="BX305" s="85"/>
    </row>
    <row r="306" spans="57:76" x14ac:dyDescent="0.2">
      <c r="BF306" s="10"/>
      <c r="BG306" s="10"/>
      <c r="BH306" s="10"/>
      <c r="BI306" s="10"/>
      <c r="BJ306" s="10"/>
      <c r="BK306" s="10"/>
      <c r="BL306" s="10"/>
      <c r="BM306" s="10"/>
      <c r="BN306" s="10"/>
      <c r="BO306" s="10"/>
      <c r="BP306" s="10"/>
      <c r="BQ306" s="10"/>
      <c r="BR306" s="10"/>
      <c r="BS306" s="10"/>
      <c r="BT306" s="10"/>
      <c r="BU306" s="10"/>
      <c r="BV306" s="10"/>
      <c r="BW306" s="10"/>
    </row>
    <row r="307" spans="57:76" x14ac:dyDescent="0.2">
      <c r="BF307" s="84"/>
      <c r="BG307" s="84"/>
      <c r="BH307" s="84"/>
      <c r="BI307" s="84"/>
      <c r="BJ307" s="84"/>
      <c r="BK307" s="84"/>
      <c r="BL307" s="84"/>
      <c r="BM307" s="84"/>
      <c r="BN307" s="84"/>
      <c r="BO307" s="84"/>
      <c r="BP307" s="84"/>
      <c r="BQ307" s="84"/>
      <c r="BR307" s="84"/>
      <c r="BS307" s="84"/>
      <c r="BT307" s="84"/>
      <c r="BU307" s="84"/>
      <c r="BV307" s="84"/>
      <c r="BW307" s="84"/>
    </row>
    <row r="308" spans="57:76" x14ac:dyDescent="0.2">
      <c r="BF308" s="69"/>
      <c r="BG308" s="5"/>
      <c r="BH308" s="5"/>
      <c r="BI308" s="10"/>
      <c r="BJ308" s="5"/>
      <c r="BK308" s="5"/>
      <c r="BL308" s="10"/>
      <c r="BM308" s="5" t="s">
        <v>312</v>
      </c>
      <c r="BN308" s="5"/>
      <c r="BR308" s="69"/>
      <c r="BS308" s="2" t="s">
        <v>312</v>
      </c>
      <c r="BU308" s="69"/>
    </row>
    <row r="309" spans="57:76" x14ac:dyDescent="0.2">
      <c r="BF309" s="69"/>
      <c r="BG309" s="5"/>
      <c r="BH309" s="5"/>
      <c r="BI309" s="10"/>
      <c r="BJ309" s="5"/>
      <c r="BK309" s="5"/>
      <c r="BL309" s="10"/>
      <c r="BM309" s="5"/>
      <c r="BN309" s="5"/>
      <c r="BR309" s="69"/>
      <c r="BU309" s="69"/>
    </row>
    <row r="310" spans="57:76" x14ac:dyDescent="0.2">
      <c r="BF310" s="69"/>
      <c r="BR310" s="69"/>
      <c r="BU310" s="69"/>
    </row>
    <row r="311" spans="57:76" x14ac:dyDescent="0.2">
      <c r="BF311" s="69"/>
      <c r="BK311" s="2" t="s">
        <v>312</v>
      </c>
      <c r="BR311" s="69"/>
      <c r="BU311" s="69"/>
    </row>
    <row r="312" spans="57:76" x14ac:dyDescent="0.2">
      <c r="BF312" s="69"/>
      <c r="BR312" s="69"/>
      <c r="BU312" s="69"/>
    </row>
    <row r="313" spans="57:76" x14ac:dyDescent="0.2">
      <c r="BF313" s="69"/>
      <c r="BR313" s="69"/>
      <c r="BU313" s="69"/>
    </row>
    <row r="314" spans="57:76" x14ac:dyDescent="0.2">
      <c r="BF314" s="69"/>
      <c r="BR314" s="69"/>
      <c r="BU314" s="69"/>
    </row>
    <row r="315" spans="57:76" x14ac:dyDescent="0.2">
      <c r="BF315" s="69"/>
      <c r="BR315" s="69"/>
      <c r="BU315" s="69"/>
    </row>
    <row r="316" spans="57:76" x14ac:dyDescent="0.2">
      <c r="BF316" s="69"/>
      <c r="BM316" s="2" t="s">
        <v>312</v>
      </c>
      <c r="BR316" s="69"/>
      <c r="BU316" s="69"/>
    </row>
    <row r="317" spans="57:76" x14ac:dyDescent="0.2">
      <c r="BF317" s="69"/>
      <c r="BR317" s="69"/>
      <c r="BU317" s="69"/>
    </row>
    <row r="318" spans="57:76" x14ac:dyDescent="0.2">
      <c r="BF318" s="69"/>
      <c r="BR318" s="69"/>
      <c r="BU318" s="69"/>
    </row>
    <row r="319" spans="57:76" x14ac:dyDescent="0.2">
      <c r="BF319" s="69"/>
      <c r="BR319" s="69"/>
      <c r="BU319" s="69"/>
    </row>
    <row r="320" spans="57:76" x14ac:dyDescent="0.2">
      <c r="BF320" s="69"/>
      <c r="BR320" s="69"/>
      <c r="BU320" s="69"/>
    </row>
    <row r="321" spans="58:73" x14ac:dyDescent="0.2">
      <c r="BF321" s="69"/>
      <c r="BR321" s="69"/>
      <c r="BU321" s="69"/>
    </row>
    <row r="322" spans="58:73" x14ac:dyDescent="0.2">
      <c r="BF322" s="69"/>
    </row>
    <row r="329" spans="58:73" x14ac:dyDescent="0.2">
      <c r="BL329" s="83"/>
      <c r="BM329" s="83"/>
    </row>
  </sheetData>
  <mergeCells count="170">
    <mergeCell ref="BF285:BH285"/>
    <mergeCell ref="BI285:BK285"/>
    <mergeCell ref="BL285:BN285"/>
    <mergeCell ref="BO285:BQ285"/>
    <mergeCell ref="BR285:BT285"/>
    <mergeCell ref="BF286:BF287"/>
    <mergeCell ref="BG286:BG287"/>
    <mergeCell ref="BH286:BH287"/>
    <mergeCell ref="BI286:BI287"/>
    <mergeCell ref="BJ286:BJ287"/>
    <mergeCell ref="BK286:BK287"/>
    <mergeCell ref="BL286:BL287"/>
    <mergeCell ref="BM286:BM287"/>
    <mergeCell ref="BN286:BN287"/>
    <mergeCell ref="BO286:BO287"/>
    <mergeCell ref="BP286:BP287"/>
    <mergeCell ref="BQ286:BQ287"/>
    <mergeCell ref="BR286:BR287"/>
    <mergeCell ref="BS286:BS287"/>
    <mergeCell ref="BT286:BT287"/>
    <mergeCell ref="BE249:BE251"/>
    <mergeCell ref="BE264:BE266"/>
    <mergeCell ref="AA5:AA6"/>
    <mergeCell ref="AB5:AB6"/>
    <mergeCell ref="S5:S6"/>
    <mergeCell ref="T5:T6"/>
    <mergeCell ref="U5:U6"/>
    <mergeCell ref="V5:V6"/>
    <mergeCell ref="W5:W6"/>
    <mergeCell ref="AD5:AD6"/>
    <mergeCell ref="AE5:AE6"/>
    <mergeCell ref="AF5:AF6"/>
    <mergeCell ref="AM5:AM6"/>
    <mergeCell ref="AN5:AN6"/>
    <mergeCell ref="AO5:AO6"/>
    <mergeCell ref="AV5:AV6"/>
    <mergeCell ref="AW5:AW6"/>
    <mergeCell ref="AX5:AX6"/>
    <mergeCell ref="AY5:AY6"/>
    <mergeCell ref="AZ5:AZ6"/>
    <mergeCell ref="W4:Y4"/>
    <mergeCell ref="Z4:AB4"/>
    <mergeCell ref="T4:V4"/>
    <mergeCell ref="X5:X6"/>
    <mergeCell ref="Y5:Y6"/>
    <mergeCell ref="Z5:Z6"/>
    <mergeCell ref="E5:E6"/>
    <mergeCell ref="F5:F6"/>
    <mergeCell ref="G5:G6"/>
    <mergeCell ref="H5:H6"/>
    <mergeCell ref="I5:I6"/>
    <mergeCell ref="J5:J6"/>
    <mergeCell ref="K5:K6"/>
    <mergeCell ref="L5:L6"/>
    <mergeCell ref="M5:M6"/>
    <mergeCell ref="N5:N6"/>
    <mergeCell ref="O5:O6"/>
    <mergeCell ref="P5:P6"/>
    <mergeCell ref="Q5:Q6"/>
    <mergeCell ref="R5:R6"/>
    <mergeCell ref="H4:J4"/>
    <mergeCell ref="K4:M4"/>
    <mergeCell ref="N4:P4"/>
    <mergeCell ref="Q4:S4"/>
    <mergeCell ref="B5:B6"/>
    <mergeCell ref="C5:C6"/>
    <mergeCell ref="D5:D6"/>
    <mergeCell ref="B4:D4"/>
    <mergeCell ref="E4:G4"/>
    <mergeCell ref="BK265:BK266"/>
    <mergeCell ref="BL265:BL266"/>
    <mergeCell ref="BM265:BM266"/>
    <mergeCell ref="BN265:BN266"/>
    <mergeCell ref="BF265:BF266"/>
    <mergeCell ref="BG265:BG266"/>
    <mergeCell ref="BH265:BH266"/>
    <mergeCell ref="BI265:BI266"/>
    <mergeCell ref="BJ265:BJ266"/>
    <mergeCell ref="BK250:BK251"/>
    <mergeCell ref="BL250:BL251"/>
    <mergeCell ref="BM250:BM251"/>
    <mergeCell ref="BN250:BN251"/>
    <mergeCell ref="BF264:BH264"/>
    <mergeCell ref="BI264:BK264"/>
    <mergeCell ref="BL264:BN264"/>
    <mergeCell ref="BF250:BF251"/>
    <mergeCell ref="BG250:BG251"/>
    <mergeCell ref="BH250:BH251"/>
    <mergeCell ref="BI250:BI251"/>
    <mergeCell ref="BJ250:BJ251"/>
    <mergeCell ref="BL4:BN4"/>
    <mergeCell ref="BL5:BL6"/>
    <mergeCell ref="BM5:BM6"/>
    <mergeCell ref="BN5:BN6"/>
    <mergeCell ref="BF249:BH249"/>
    <mergeCell ref="BI249:BK249"/>
    <mergeCell ref="BL249:BN249"/>
    <mergeCell ref="BH5:BH6"/>
    <mergeCell ref="BI5:BI6"/>
    <mergeCell ref="BJ5:BJ6"/>
    <mergeCell ref="BK5:BK6"/>
    <mergeCell ref="BG5:BG6"/>
    <mergeCell ref="AD4:AF4"/>
    <mergeCell ref="AG5:AG6"/>
    <mergeCell ref="AI5:AI6"/>
    <mergeCell ref="AG4:AI4"/>
    <mergeCell ref="AJ5:AJ6"/>
    <mergeCell ref="AK5:AK6"/>
    <mergeCell ref="AL5:AL6"/>
    <mergeCell ref="AJ4:AL4"/>
    <mergeCell ref="AH5:AH6"/>
    <mergeCell ref="AM4:AO4"/>
    <mergeCell ref="AP5:AP6"/>
    <mergeCell ref="AR5:AR6"/>
    <mergeCell ref="AP4:AR4"/>
    <mergeCell ref="AS5:AS6"/>
    <mergeCell ref="AT5:AT6"/>
    <mergeCell ref="AU5:AU6"/>
    <mergeCell ref="AS4:AU4"/>
    <mergeCell ref="AQ5:AQ6"/>
    <mergeCell ref="AV4:AX4"/>
    <mergeCell ref="AY4:BA4"/>
    <mergeCell ref="BB4:BD4"/>
    <mergeCell ref="BF4:BH4"/>
    <mergeCell ref="BI4:BK4"/>
    <mergeCell ref="BA5:BA6"/>
    <mergeCell ref="BB5:BB6"/>
    <mergeCell ref="BC5:BC6"/>
    <mergeCell ref="BD5:BD6"/>
    <mergeCell ref="BF5:BF6"/>
    <mergeCell ref="BO265:BO266"/>
    <mergeCell ref="BP265:BP266"/>
    <mergeCell ref="BQ265:BQ266"/>
    <mergeCell ref="BO4:BQ4"/>
    <mergeCell ref="BO5:BO6"/>
    <mergeCell ref="BP5:BP6"/>
    <mergeCell ref="BQ5:BQ6"/>
    <mergeCell ref="BO249:BQ249"/>
    <mergeCell ref="BO250:BO251"/>
    <mergeCell ref="BP250:BP251"/>
    <mergeCell ref="BQ250:BQ251"/>
    <mergeCell ref="BO264:BQ264"/>
    <mergeCell ref="BR265:BR266"/>
    <mergeCell ref="BS265:BS266"/>
    <mergeCell ref="BT265:BT266"/>
    <mergeCell ref="BR4:BT4"/>
    <mergeCell ref="BR5:BR6"/>
    <mergeCell ref="BS5:BS6"/>
    <mergeCell ref="BT5:BT6"/>
    <mergeCell ref="BR249:BT249"/>
    <mergeCell ref="BR250:BR251"/>
    <mergeCell ref="BS250:BS251"/>
    <mergeCell ref="BT250:BT251"/>
    <mergeCell ref="BR264:BT264"/>
    <mergeCell ref="BU265:BU266"/>
    <mergeCell ref="BV265:BV266"/>
    <mergeCell ref="BW265:BW266"/>
    <mergeCell ref="BU285:BW285"/>
    <mergeCell ref="BU286:BU287"/>
    <mergeCell ref="BV286:BV287"/>
    <mergeCell ref="BW286:BW287"/>
    <mergeCell ref="BU4:BW4"/>
    <mergeCell ref="BU5:BU6"/>
    <mergeCell ref="BV5:BV6"/>
    <mergeCell ref="BW5:BW6"/>
    <mergeCell ref="BU249:BW249"/>
    <mergeCell ref="BU250:BU251"/>
    <mergeCell ref="BV250:BV251"/>
    <mergeCell ref="BW250:BW251"/>
    <mergeCell ref="BU264:BW264"/>
  </mergeCells>
  <pageMargins left="0.7" right="0.7" top="0.75" bottom="0.75" header="0.3" footer="0.3"/>
  <pageSetup paperSize="9" orientation="portrait" r:id="rId1"/>
  <headerFooter>
    <oddHeader>&amp;C&amp;"Verdana"&amp;8&amp;K000000[UNCLASSIFIED]&amp;1#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7FCDA-8193-4B88-8987-2CE56AD921A8}">
  <dimension ref="A1:AG190"/>
  <sheetViews>
    <sheetView tabSelected="1" workbookViewId="0">
      <selection activeCell="Q3" sqref="Q3"/>
    </sheetView>
  </sheetViews>
  <sheetFormatPr defaultColWidth="20.85546875" defaultRowHeight="12.75" x14ac:dyDescent="0.2"/>
  <cols>
    <col min="1" max="1" width="33.5703125" style="2" customWidth="1"/>
    <col min="2" max="2" width="10.7109375" style="2" bestFit="1" customWidth="1"/>
    <col min="3" max="3" width="10.5703125" style="2" bestFit="1" customWidth="1"/>
    <col min="4" max="16" width="8.5703125" style="2" bestFit="1" customWidth="1"/>
    <col min="17" max="17" width="21.140625" style="2" bestFit="1" customWidth="1"/>
    <col min="18" max="18" width="15.5703125" style="2" bestFit="1" customWidth="1"/>
    <col min="19" max="16384" width="20.85546875" style="2"/>
  </cols>
  <sheetData>
    <row r="1" spans="1:33" x14ac:dyDescent="0.2">
      <c r="A1" s="89" t="s">
        <v>317</v>
      </c>
      <c r="B1"/>
      <c r="C1"/>
      <c r="D1"/>
      <c r="E1"/>
      <c r="F1"/>
      <c r="G1"/>
      <c r="H1"/>
      <c r="I1"/>
      <c r="J1"/>
      <c r="K1"/>
      <c r="L1"/>
      <c r="M1"/>
      <c r="N1"/>
    </row>
    <row r="2" spans="1:33" ht="13.5" thickBot="1" x14ac:dyDescent="0.25"/>
    <row r="3" spans="1:33" ht="13.5" thickBot="1" x14ac:dyDescent="0.25">
      <c r="A3" s="90"/>
      <c r="B3" s="123" t="s">
        <v>316</v>
      </c>
      <c r="C3" s="124"/>
      <c r="D3" s="124"/>
      <c r="E3" s="124"/>
      <c r="F3" s="124"/>
      <c r="G3" s="124"/>
      <c r="H3" s="124"/>
      <c r="I3" s="124"/>
      <c r="J3" s="124"/>
      <c r="K3" s="124"/>
      <c r="L3" s="124"/>
      <c r="M3" s="124"/>
      <c r="N3" s="124"/>
      <c r="O3" s="124"/>
      <c r="P3" s="124"/>
    </row>
    <row r="4" spans="1:33" ht="13.5" thickBot="1" x14ac:dyDescent="0.25">
      <c r="A4" s="3" t="s">
        <v>29</v>
      </c>
      <c r="B4" s="91" t="s">
        <v>306</v>
      </c>
      <c r="C4" s="92" t="s">
        <v>292</v>
      </c>
      <c r="D4" s="92" t="s">
        <v>293</v>
      </c>
      <c r="E4" s="92" t="s">
        <v>294</v>
      </c>
      <c r="F4" s="92" t="s">
        <v>295</v>
      </c>
      <c r="G4" s="92" t="s">
        <v>296</v>
      </c>
      <c r="H4" s="92" t="s">
        <v>297</v>
      </c>
      <c r="I4" s="92" t="s">
        <v>298</v>
      </c>
      <c r="J4" s="92" t="s">
        <v>299</v>
      </c>
      <c r="K4" s="92" t="s">
        <v>300</v>
      </c>
      <c r="L4" s="92" t="s">
        <v>301</v>
      </c>
      <c r="M4" s="92" t="s">
        <v>302</v>
      </c>
      <c r="N4" s="92" t="s">
        <v>303</v>
      </c>
      <c r="O4" s="92" t="s">
        <v>304</v>
      </c>
      <c r="P4" s="93" t="s">
        <v>305</v>
      </c>
    </row>
    <row r="5" spans="1:33" ht="13.5" thickBot="1" x14ac:dyDescent="0.25">
      <c r="A5" s="3" t="s">
        <v>326</v>
      </c>
    </row>
    <row r="6" spans="1:33" ht="13.5" thickBot="1" x14ac:dyDescent="0.25">
      <c r="A6" s="94" t="s">
        <v>35</v>
      </c>
      <c r="B6" s="95">
        <v>290</v>
      </c>
      <c r="C6" s="95">
        <v>2060</v>
      </c>
      <c r="D6" s="95">
        <v>480</v>
      </c>
      <c r="E6" s="95">
        <v>910</v>
      </c>
      <c r="F6" s="95">
        <v>2770</v>
      </c>
      <c r="G6" s="95">
        <v>5320</v>
      </c>
      <c r="H6" s="95">
        <v>6480</v>
      </c>
      <c r="I6" s="95">
        <v>6200</v>
      </c>
      <c r="J6" s="95">
        <v>5160</v>
      </c>
      <c r="K6" s="95">
        <v>5690</v>
      </c>
      <c r="L6" s="95">
        <v>5630</v>
      </c>
      <c r="M6" s="95">
        <v>6220</v>
      </c>
      <c r="N6" s="95">
        <v>3180</v>
      </c>
      <c r="O6" s="95">
        <v>2120</v>
      </c>
      <c r="P6" s="96">
        <v>2310</v>
      </c>
      <c r="Q6" s="10"/>
      <c r="R6" s="10"/>
      <c r="S6" s="87"/>
      <c r="T6" s="87"/>
      <c r="U6" s="87"/>
      <c r="V6" s="87"/>
      <c r="W6" s="87"/>
      <c r="X6" s="87"/>
      <c r="Y6" s="87"/>
      <c r="Z6" s="87"/>
      <c r="AA6" s="87"/>
      <c r="AB6" s="87"/>
      <c r="AC6" s="87"/>
      <c r="AD6" s="87"/>
      <c r="AE6" s="87"/>
      <c r="AF6" s="87"/>
      <c r="AG6" s="87"/>
    </row>
    <row r="7" spans="1:33" ht="13.5" thickBot="1" x14ac:dyDescent="0.25">
      <c r="A7" s="94" t="s">
        <v>36</v>
      </c>
      <c r="B7" s="97">
        <v>240</v>
      </c>
      <c r="C7" s="97">
        <v>140490</v>
      </c>
      <c r="D7" s="97">
        <v>41370</v>
      </c>
      <c r="E7" s="97">
        <v>10070</v>
      </c>
      <c r="F7" s="97">
        <v>16900</v>
      </c>
      <c r="G7" s="97">
        <v>22730</v>
      </c>
      <c r="H7" s="97">
        <v>22270</v>
      </c>
      <c r="I7" s="97">
        <v>18630</v>
      </c>
      <c r="J7" s="97">
        <v>13670</v>
      </c>
      <c r="K7" s="97">
        <v>12040</v>
      </c>
      <c r="L7" s="97">
        <v>10470</v>
      </c>
      <c r="M7" s="97">
        <v>9860</v>
      </c>
      <c r="N7" s="97">
        <v>4760</v>
      </c>
      <c r="O7" s="97">
        <v>3240</v>
      </c>
      <c r="P7" s="98">
        <v>4290</v>
      </c>
      <c r="Q7" s="10"/>
      <c r="R7" s="10"/>
    </row>
    <row r="8" spans="1:33" ht="13.5" thickBot="1" x14ac:dyDescent="0.25">
      <c r="A8" s="94" t="s">
        <v>38</v>
      </c>
      <c r="B8" s="97">
        <v>150</v>
      </c>
      <c r="C8" s="97">
        <v>46320</v>
      </c>
      <c r="D8" s="97">
        <v>23380</v>
      </c>
      <c r="E8" s="97">
        <v>6810</v>
      </c>
      <c r="F8" s="97">
        <v>7760</v>
      </c>
      <c r="G8" s="97">
        <v>9170</v>
      </c>
      <c r="H8" s="97">
        <v>8430</v>
      </c>
      <c r="I8" s="97">
        <v>6970</v>
      </c>
      <c r="J8" s="97">
        <v>5250</v>
      </c>
      <c r="K8" s="97">
        <v>5200</v>
      </c>
      <c r="L8" s="97">
        <v>5120</v>
      </c>
      <c r="M8" s="97">
        <v>6090</v>
      </c>
      <c r="N8" s="97">
        <v>2390</v>
      </c>
      <c r="O8" s="97">
        <v>1650</v>
      </c>
      <c r="P8" s="98">
        <v>2290</v>
      </c>
      <c r="Q8" s="10"/>
      <c r="R8" s="10"/>
    </row>
    <row r="9" spans="1:33" ht="13.5" thickBot="1" x14ac:dyDescent="0.25">
      <c r="A9" s="94" t="s">
        <v>39</v>
      </c>
      <c r="B9" s="97">
        <v>40</v>
      </c>
      <c r="C9" s="97">
        <v>8000</v>
      </c>
      <c r="D9" s="97">
        <v>13690</v>
      </c>
      <c r="E9" s="97">
        <v>4670</v>
      </c>
      <c r="F9" s="97">
        <v>4110</v>
      </c>
      <c r="G9" s="97">
        <v>3990</v>
      </c>
      <c r="H9" s="97">
        <v>3420</v>
      </c>
      <c r="I9" s="97">
        <v>2960</v>
      </c>
      <c r="J9" s="97">
        <v>2230</v>
      </c>
      <c r="K9" s="97">
        <v>2160</v>
      </c>
      <c r="L9" s="97">
        <v>2280</v>
      </c>
      <c r="M9" s="97">
        <v>2770</v>
      </c>
      <c r="N9" s="97">
        <v>1130</v>
      </c>
      <c r="O9" s="97">
        <v>770</v>
      </c>
      <c r="P9" s="98">
        <v>1510</v>
      </c>
      <c r="Q9" s="10"/>
      <c r="R9" s="10"/>
    </row>
    <row r="10" spans="1:33" ht="13.5" thickBot="1" x14ac:dyDescent="0.25">
      <c r="A10" s="94" t="s">
        <v>40</v>
      </c>
      <c r="B10" s="97">
        <v>30</v>
      </c>
      <c r="C10" s="97">
        <v>2620</v>
      </c>
      <c r="D10" s="97">
        <v>10790</v>
      </c>
      <c r="E10" s="97">
        <v>4020</v>
      </c>
      <c r="F10" s="97">
        <v>3350</v>
      </c>
      <c r="G10" s="97">
        <v>2990</v>
      </c>
      <c r="H10" s="97">
        <v>2620</v>
      </c>
      <c r="I10" s="97">
        <v>2120</v>
      </c>
      <c r="J10" s="97">
        <v>1580</v>
      </c>
      <c r="K10" s="97">
        <v>1640</v>
      </c>
      <c r="L10" s="97">
        <v>1660</v>
      </c>
      <c r="M10" s="97">
        <v>2220</v>
      </c>
      <c r="N10" s="97">
        <v>880</v>
      </c>
      <c r="O10" s="97">
        <v>550</v>
      </c>
      <c r="P10" s="98">
        <v>1250</v>
      </c>
      <c r="Q10" s="10"/>
      <c r="R10" s="10"/>
    </row>
    <row r="11" spans="1:33" ht="13.5" thickBot="1" x14ac:dyDescent="0.25">
      <c r="A11" s="94" t="s">
        <v>41</v>
      </c>
      <c r="B11" s="97">
        <v>20</v>
      </c>
      <c r="C11" s="97">
        <v>1360</v>
      </c>
      <c r="D11" s="97">
        <v>9390</v>
      </c>
      <c r="E11" s="97">
        <v>4030</v>
      </c>
      <c r="F11" s="97">
        <v>3050</v>
      </c>
      <c r="G11" s="97">
        <v>2710</v>
      </c>
      <c r="H11" s="97">
        <v>2190</v>
      </c>
      <c r="I11" s="97">
        <v>1790</v>
      </c>
      <c r="J11" s="97">
        <v>1440</v>
      </c>
      <c r="K11" s="97">
        <v>1400</v>
      </c>
      <c r="L11" s="97">
        <v>1490</v>
      </c>
      <c r="M11" s="97">
        <v>1880</v>
      </c>
      <c r="N11" s="97">
        <v>780</v>
      </c>
      <c r="O11" s="97">
        <v>510</v>
      </c>
      <c r="P11" s="98">
        <v>1170</v>
      </c>
      <c r="Q11" s="10"/>
      <c r="R11" s="10"/>
    </row>
    <row r="12" spans="1:33" ht="13.5" thickBot="1" x14ac:dyDescent="0.25">
      <c r="A12" s="94" t="s">
        <v>42</v>
      </c>
      <c r="B12" s="97">
        <v>10</v>
      </c>
      <c r="C12" s="97">
        <v>920</v>
      </c>
      <c r="D12" s="97">
        <v>8740</v>
      </c>
      <c r="E12" s="97">
        <v>4000</v>
      </c>
      <c r="F12" s="97">
        <v>2890</v>
      </c>
      <c r="G12" s="97">
        <v>2520</v>
      </c>
      <c r="H12" s="97">
        <v>2150</v>
      </c>
      <c r="I12" s="97">
        <v>1630</v>
      </c>
      <c r="J12" s="97">
        <v>1230</v>
      </c>
      <c r="K12" s="97">
        <v>1280</v>
      </c>
      <c r="L12" s="97">
        <v>1380</v>
      </c>
      <c r="M12" s="97">
        <v>1720</v>
      </c>
      <c r="N12" s="97">
        <v>740</v>
      </c>
      <c r="O12" s="97">
        <v>490</v>
      </c>
      <c r="P12" s="98">
        <v>1180</v>
      </c>
      <c r="Q12" s="10"/>
      <c r="R12" s="10"/>
    </row>
    <row r="13" spans="1:33" ht="13.5" thickBot="1" x14ac:dyDescent="0.25">
      <c r="A13" s="94" t="s">
        <v>43</v>
      </c>
      <c r="B13" s="97">
        <v>20</v>
      </c>
      <c r="C13" s="97">
        <v>660</v>
      </c>
      <c r="D13" s="97">
        <v>8320</v>
      </c>
      <c r="E13" s="97">
        <v>4070</v>
      </c>
      <c r="F13" s="97">
        <v>2890</v>
      </c>
      <c r="G13" s="97">
        <v>2360</v>
      </c>
      <c r="H13" s="97">
        <v>2020</v>
      </c>
      <c r="I13" s="97">
        <v>1560</v>
      </c>
      <c r="J13" s="97">
        <v>1200</v>
      </c>
      <c r="K13" s="97">
        <v>1180</v>
      </c>
      <c r="L13" s="97">
        <v>1270</v>
      </c>
      <c r="M13" s="97">
        <v>1670</v>
      </c>
      <c r="N13" s="97">
        <v>710</v>
      </c>
      <c r="O13" s="97">
        <v>390</v>
      </c>
      <c r="P13" s="98">
        <v>1190</v>
      </c>
      <c r="Q13" s="10"/>
      <c r="R13" s="10"/>
    </row>
    <row r="14" spans="1:33" ht="13.5" thickBot="1" x14ac:dyDescent="0.25">
      <c r="A14" s="94" t="s">
        <v>44</v>
      </c>
      <c r="B14" s="97">
        <v>20</v>
      </c>
      <c r="C14" s="97">
        <v>540</v>
      </c>
      <c r="D14" s="97">
        <v>8020</v>
      </c>
      <c r="E14" s="97">
        <v>3970</v>
      </c>
      <c r="F14" s="97">
        <v>2740</v>
      </c>
      <c r="G14" s="97">
        <v>2260</v>
      </c>
      <c r="H14" s="97">
        <v>1830</v>
      </c>
      <c r="I14" s="97">
        <v>1480</v>
      </c>
      <c r="J14" s="97">
        <v>1130</v>
      </c>
      <c r="K14" s="97">
        <v>1110</v>
      </c>
      <c r="L14" s="97">
        <v>1190</v>
      </c>
      <c r="M14" s="97">
        <v>1590</v>
      </c>
      <c r="N14" s="97">
        <v>710</v>
      </c>
      <c r="O14" s="97">
        <v>420</v>
      </c>
      <c r="P14" s="98">
        <v>1190</v>
      </c>
      <c r="Q14" s="10"/>
      <c r="R14" s="10"/>
    </row>
    <row r="15" spans="1:33" ht="13.5" thickBot="1" x14ac:dyDescent="0.25">
      <c r="A15" s="94" t="s">
        <v>45</v>
      </c>
      <c r="B15" s="97">
        <v>10</v>
      </c>
      <c r="C15" s="97">
        <v>540</v>
      </c>
      <c r="D15" s="97">
        <v>7550</v>
      </c>
      <c r="E15" s="97">
        <v>4030</v>
      </c>
      <c r="F15" s="97">
        <v>2740</v>
      </c>
      <c r="G15" s="97">
        <v>2410</v>
      </c>
      <c r="H15" s="97">
        <v>1840</v>
      </c>
      <c r="I15" s="97">
        <v>1560</v>
      </c>
      <c r="J15" s="97">
        <v>1180</v>
      </c>
      <c r="K15" s="97">
        <v>1110</v>
      </c>
      <c r="L15" s="97">
        <v>1180</v>
      </c>
      <c r="M15" s="97">
        <v>1530</v>
      </c>
      <c r="N15" s="97">
        <v>690</v>
      </c>
      <c r="O15" s="97">
        <v>420</v>
      </c>
      <c r="P15" s="98">
        <v>1120</v>
      </c>
      <c r="Q15" s="10"/>
      <c r="R15" s="10"/>
    </row>
    <row r="16" spans="1:33" ht="13.5" thickBot="1" x14ac:dyDescent="0.25">
      <c r="A16" s="94" t="s">
        <v>46</v>
      </c>
      <c r="B16" s="97">
        <v>10</v>
      </c>
      <c r="C16" s="97">
        <v>350</v>
      </c>
      <c r="D16" s="97">
        <v>7180</v>
      </c>
      <c r="E16" s="97">
        <v>4030</v>
      </c>
      <c r="F16" s="97">
        <v>2830</v>
      </c>
      <c r="G16" s="97">
        <v>2250</v>
      </c>
      <c r="H16" s="97">
        <v>1850</v>
      </c>
      <c r="I16" s="97">
        <v>1500</v>
      </c>
      <c r="J16" s="97">
        <v>1210</v>
      </c>
      <c r="K16" s="97">
        <v>1150</v>
      </c>
      <c r="L16" s="97">
        <v>1190</v>
      </c>
      <c r="M16" s="97">
        <v>1530</v>
      </c>
      <c r="N16" s="97">
        <v>710</v>
      </c>
      <c r="O16" s="97">
        <v>430</v>
      </c>
      <c r="P16" s="98">
        <v>1100</v>
      </c>
      <c r="Q16" s="10"/>
      <c r="R16" s="10"/>
    </row>
    <row r="17" spans="1:18" ht="13.5" thickBot="1" x14ac:dyDescent="0.25">
      <c r="A17" s="94" t="s">
        <v>47</v>
      </c>
      <c r="B17" s="97">
        <v>20</v>
      </c>
      <c r="C17" s="97">
        <v>320</v>
      </c>
      <c r="D17" s="97">
        <v>6870</v>
      </c>
      <c r="E17" s="97">
        <v>4330</v>
      </c>
      <c r="F17" s="97">
        <v>2620</v>
      </c>
      <c r="G17" s="97">
        <v>2260</v>
      </c>
      <c r="H17" s="97">
        <v>1870</v>
      </c>
      <c r="I17" s="97">
        <v>1440</v>
      </c>
      <c r="J17" s="97">
        <v>1150</v>
      </c>
      <c r="K17" s="97">
        <v>1120</v>
      </c>
      <c r="L17" s="97">
        <v>1230</v>
      </c>
      <c r="M17" s="97">
        <v>1610</v>
      </c>
      <c r="N17" s="97">
        <v>730</v>
      </c>
      <c r="O17" s="97">
        <v>430</v>
      </c>
      <c r="P17" s="98">
        <v>1220</v>
      </c>
      <c r="Q17" s="10"/>
      <c r="R17" s="10"/>
    </row>
    <row r="18" spans="1:18" ht="13.5" thickBot="1" x14ac:dyDescent="0.25">
      <c r="A18" s="94" t="s">
        <v>48</v>
      </c>
      <c r="B18" s="97">
        <v>20</v>
      </c>
      <c r="C18" s="97">
        <v>280</v>
      </c>
      <c r="D18" s="97">
        <v>6730</v>
      </c>
      <c r="E18" s="97">
        <v>4490</v>
      </c>
      <c r="F18" s="97">
        <v>2780</v>
      </c>
      <c r="G18" s="97">
        <v>2180</v>
      </c>
      <c r="H18" s="97">
        <v>1900</v>
      </c>
      <c r="I18" s="97">
        <v>1500</v>
      </c>
      <c r="J18" s="97">
        <v>1180</v>
      </c>
      <c r="K18" s="97">
        <v>1260</v>
      </c>
      <c r="L18" s="97">
        <v>1200</v>
      </c>
      <c r="M18" s="97">
        <v>1540</v>
      </c>
      <c r="N18" s="97">
        <v>780</v>
      </c>
      <c r="O18" s="97">
        <v>470</v>
      </c>
      <c r="P18" s="98">
        <v>1180</v>
      </c>
      <c r="Q18" s="10"/>
      <c r="R18" s="10"/>
    </row>
    <row r="19" spans="1:18" ht="13.5" thickBot="1" x14ac:dyDescent="0.25">
      <c r="A19" s="94" t="s">
        <v>49</v>
      </c>
      <c r="B19" s="97">
        <v>10</v>
      </c>
      <c r="C19" s="97">
        <v>220</v>
      </c>
      <c r="D19" s="97">
        <v>6490</v>
      </c>
      <c r="E19" s="97">
        <v>4710</v>
      </c>
      <c r="F19" s="97">
        <v>2720</v>
      </c>
      <c r="G19" s="97">
        <v>2350</v>
      </c>
      <c r="H19" s="97">
        <v>1860</v>
      </c>
      <c r="I19" s="97">
        <v>1510</v>
      </c>
      <c r="J19" s="97">
        <v>1220</v>
      </c>
      <c r="K19" s="97">
        <v>1220</v>
      </c>
      <c r="L19" s="97">
        <v>1250</v>
      </c>
      <c r="M19" s="97">
        <v>1530</v>
      </c>
      <c r="N19" s="97">
        <v>780</v>
      </c>
      <c r="O19" s="97">
        <v>480</v>
      </c>
      <c r="P19" s="98">
        <v>1180</v>
      </c>
      <c r="Q19" s="10"/>
      <c r="R19" s="10"/>
    </row>
    <row r="20" spans="1:18" ht="13.5" thickBot="1" x14ac:dyDescent="0.25">
      <c r="A20" s="94" t="s">
        <v>50</v>
      </c>
      <c r="B20" s="97">
        <v>20</v>
      </c>
      <c r="C20" s="97">
        <v>170</v>
      </c>
      <c r="D20" s="97">
        <v>6240</v>
      </c>
      <c r="E20" s="97">
        <v>4900</v>
      </c>
      <c r="F20" s="97">
        <v>2760</v>
      </c>
      <c r="G20" s="97">
        <v>2390</v>
      </c>
      <c r="H20" s="97">
        <v>1870</v>
      </c>
      <c r="I20" s="97">
        <v>1510</v>
      </c>
      <c r="J20" s="97">
        <v>1220</v>
      </c>
      <c r="K20" s="97">
        <v>1310</v>
      </c>
      <c r="L20" s="97">
        <v>1290</v>
      </c>
      <c r="M20" s="97">
        <v>1620</v>
      </c>
      <c r="N20" s="97">
        <v>840</v>
      </c>
      <c r="O20" s="97">
        <v>490</v>
      </c>
      <c r="P20" s="98">
        <v>1250</v>
      </c>
      <c r="Q20" s="10"/>
      <c r="R20" s="10"/>
    </row>
    <row r="21" spans="1:18" ht="13.5" thickBot="1" x14ac:dyDescent="0.25">
      <c r="A21" s="94" t="s">
        <v>51</v>
      </c>
      <c r="B21" s="97">
        <v>20</v>
      </c>
      <c r="C21" s="97">
        <v>180</v>
      </c>
      <c r="D21" s="97">
        <v>6070</v>
      </c>
      <c r="E21" s="97">
        <v>5090</v>
      </c>
      <c r="F21" s="97">
        <v>2770</v>
      </c>
      <c r="G21" s="97">
        <v>2290</v>
      </c>
      <c r="H21" s="97">
        <v>1960</v>
      </c>
      <c r="I21" s="97">
        <v>1570</v>
      </c>
      <c r="J21" s="97">
        <v>1230</v>
      </c>
      <c r="K21" s="97">
        <v>1240</v>
      </c>
      <c r="L21" s="97">
        <v>1370</v>
      </c>
      <c r="M21" s="97">
        <v>1640</v>
      </c>
      <c r="N21" s="97">
        <v>860</v>
      </c>
      <c r="O21" s="97">
        <v>490</v>
      </c>
      <c r="P21" s="98">
        <v>1280</v>
      </c>
      <c r="Q21" s="10"/>
      <c r="R21" s="10"/>
    </row>
    <row r="22" spans="1:18" ht="13.5" thickBot="1" x14ac:dyDescent="0.25">
      <c r="A22" s="94" t="s">
        <v>52</v>
      </c>
      <c r="B22" s="97">
        <v>10</v>
      </c>
      <c r="C22" s="97">
        <v>120</v>
      </c>
      <c r="D22" s="97">
        <v>6420</v>
      </c>
      <c r="E22" s="97">
        <v>5320</v>
      </c>
      <c r="F22" s="97">
        <v>2910</v>
      </c>
      <c r="G22" s="97">
        <v>2410</v>
      </c>
      <c r="H22" s="97">
        <v>1970</v>
      </c>
      <c r="I22" s="97">
        <v>1610</v>
      </c>
      <c r="J22" s="97">
        <v>1310</v>
      </c>
      <c r="K22" s="97">
        <v>1260</v>
      </c>
      <c r="L22" s="97">
        <v>1390</v>
      </c>
      <c r="M22" s="97">
        <v>1710</v>
      </c>
      <c r="N22" s="97">
        <v>880</v>
      </c>
      <c r="O22" s="97">
        <v>540</v>
      </c>
      <c r="P22" s="98">
        <v>1280</v>
      </c>
      <c r="Q22" s="10"/>
      <c r="R22" s="10"/>
    </row>
    <row r="23" spans="1:18" ht="13.5" thickBot="1" x14ac:dyDescent="0.25">
      <c r="A23" s="94" t="s">
        <v>53</v>
      </c>
      <c r="B23" s="97">
        <v>20</v>
      </c>
      <c r="C23" s="97">
        <v>110</v>
      </c>
      <c r="D23" s="97">
        <v>5350</v>
      </c>
      <c r="E23" s="97">
        <v>5880</v>
      </c>
      <c r="F23" s="97">
        <v>2930</v>
      </c>
      <c r="G23" s="97">
        <v>2410</v>
      </c>
      <c r="H23" s="97">
        <v>1970</v>
      </c>
      <c r="I23" s="97">
        <v>1570</v>
      </c>
      <c r="J23" s="97">
        <v>1290</v>
      </c>
      <c r="K23" s="97">
        <v>1290</v>
      </c>
      <c r="L23" s="97">
        <v>1450</v>
      </c>
      <c r="M23" s="97">
        <v>1800</v>
      </c>
      <c r="N23" s="97">
        <v>920</v>
      </c>
      <c r="O23" s="97">
        <v>570</v>
      </c>
      <c r="P23" s="98">
        <v>1340</v>
      </c>
      <c r="Q23" s="10"/>
      <c r="R23" s="10"/>
    </row>
    <row r="24" spans="1:18" ht="13.5" thickBot="1" x14ac:dyDescent="0.25">
      <c r="A24" s="94" t="s">
        <v>54</v>
      </c>
      <c r="B24" s="97">
        <v>10</v>
      </c>
      <c r="C24" s="97">
        <v>80</v>
      </c>
      <c r="D24" s="97">
        <v>5010</v>
      </c>
      <c r="E24" s="97">
        <v>6700</v>
      </c>
      <c r="F24" s="97">
        <v>3200</v>
      </c>
      <c r="G24" s="97">
        <v>2690</v>
      </c>
      <c r="H24" s="97">
        <v>2120</v>
      </c>
      <c r="I24" s="97">
        <v>1800</v>
      </c>
      <c r="J24" s="97">
        <v>1620</v>
      </c>
      <c r="K24" s="97">
        <v>1800</v>
      </c>
      <c r="L24" s="97">
        <v>2390</v>
      </c>
      <c r="M24" s="97">
        <v>3210</v>
      </c>
      <c r="N24" s="97">
        <v>1370</v>
      </c>
      <c r="O24" s="97">
        <v>900</v>
      </c>
      <c r="P24" s="98">
        <v>1680</v>
      </c>
      <c r="Q24" s="10"/>
      <c r="R24" s="10"/>
    </row>
    <row r="25" spans="1:18" ht="13.5" thickBot="1" x14ac:dyDescent="0.25">
      <c r="A25" s="94" t="s">
        <v>55</v>
      </c>
      <c r="B25" s="97">
        <v>10</v>
      </c>
      <c r="C25" s="97">
        <v>80</v>
      </c>
      <c r="D25" s="97">
        <v>5370</v>
      </c>
      <c r="E25" s="97">
        <v>12080</v>
      </c>
      <c r="F25" s="97">
        <v>4360</v>
      </c>
      <c r="G25" s="97">
        <v>3770</v>
      </c>
      <c r="H25" s="97">
        <v>3200</v>
      </c>
      <c r="I25" s="97">
        <v>2680</v>
      </c>
      <c r="J25" s="97">
        <v>2190</v>
      </c>
      <c r="K25" s="97">
        <v>2040</v>
      </c>
      <c r="L25" s="97">
        <v>1950</v>
      </c>
      <c r="M25" s="97">
        <v>2260</v>
      </c>
      <c r="N25" s="97">
        <v>990</v>
      </c>
      <c r="O25" s="97">
        <v>610</v>
      </c>
      <c r="P25" s="98">
        <v>1480</v>
      </c>
      <c r="Q25" s="10"/>
      <c r="R25" s="10"/>
    </row>
    <row r="26" spans="1:18" ht="13.5" thickBot="1" x14ac:dyDescent="0.25">
      <c r="A26" s="94" t="s">
        <v>56</v>
      </c>
      <c r="B26" s="97">
        <v>20</v>
      </c>
      <c r="C26" s="97">
        <v>60</v>
      </c>
      <c r="D26" s="97">
        <v>4300</v>
      </c>
      <c r="E26" s="97">
        <v>5490</v>
      </c>
      <c r="F26" s="97">
        <v>4030</v>
      </c>
      <c r="G26" s="97">
        <v>3070</v>
      </c>
      <c r="H26" s="97">
        <v>2400</v>
      </c>
      <c r="I26" s="97">
        <v>1930</v>
      </c>
      <c r="J26" s="97">
        <v>1500</v>
      </c>
      <c r="K26" s="97">
        <v>1600</v>
      </c>
      <c r="L26" s="97">
        <v>1670</v>
      </c>
      <c r="M26" s="97">
        <v>2110</v>
      </c>
      <c r="N26" s="97">
        <v>1100</v>
      </c>
      <c r="O26" s="97">
        <v>710</v>
      </c>
      <c r="P26" s="98">
        <v>1590</v>
      </c>
      <c r="Q26" s="10"/>
      <c r="R26" s="10"/>
    </row>
    <row r="27" spans="1:18" ht="13.5" thickBot="1" x14ac:dyDescent="0.25">
      <c r="A27" s="94" t="s">
        <v>57</v>
      </c>
      <c r="B27" s="97">
        <v>20</v>
      </c>
      <c r="C27" s="97">
        <v>60</v>
      </c>
      <c r="D27" s="97">
        <v>4210</v>
      </c>
      <c r="E27" s="97">
        <v>5330</v>
      </c>
      <c r="F27" s="97">
        <v>4920</v>
      </c>
      <c r="G27" s="97">
        <v>3910</v>
      </c>
      <c r="H27" s="97">
        <v>3070</v>
      </c>
      <c r="I27" s="97">
        <v>2570</v>
      </c>
      <c r="J27" s="97">
        <v>2460</v>
      </c>
      <c r="K27" s="97">
        <v>2910</v>
      </c>
      <c r="L27" s="97">
        <v>3580</v>
      </c>
      <c r="M27" s="97">
        <v>4640</v>
      </c>
      <c r="N27" s="97">
        <v>1390</v>
      </c>
      <c r="O27" s="97">
        <v>840</v>
      </c>
      <c r="P27" s="98">
        <v>1780</v>
      </c>
      <c r="Q27" s="10"/>
      <c r="R27" s="10"/>
    </row>
    <row r="28" spans="1:18" ht="13.5" thickBot="1" x14ac:dyDescent="0.25">
      <c r="A28" s="94" t="s">
        <v>58</v>
      </c>
      <c r="B28" s="97">
        <v>20</v>
      </c>
      <c r="C28" s="97">
        <v>50</v>
      </c>
      <c r="D28" s="97">
        <v>3620</v>
      </c>
      <c r="E28" s="97">
        <v>5160</v>
      </c>
      <c r="F28" s="97">
        <v>8820</v>
      </c>
      <c r="G28" s="97">
        <v>9020</v>
      </c>
      <c r="H28" s="97">
        <v>7370</v>
      </c>
      <c r="I28" s="97">
        <v>7090</v>
      </c>
      <c r="J28" s="97">
        <v>7470</v>
      </c>
      <c r="K28" s="97">
        <v>9010</v>
      </c>
      <c r="L28" s="97">
        <v>9770</v>
      </c>
      <c r="M28" s="97">
        <v>9990</v>
      </c>
      <c r="N28" s="97">
        <v>1870</v>
      </c>
      <c r="O28" s="97">
        <v>1150</v>
      </c>
      <c r="P28" s="98">
        <v>2150</v>
      </c>
      <c r="Q28" s="10"/>
      <c r="R28" s="10"/>
    </row>
    <row r="29" spans="1:18" ht="13.5" thickBot="1" x14ac:dyDescent="0.25">
      <c r="A29" s="94" t="s">
        <v>59</v>
      </c>
      <c r="B29" s="97">
        <v>30</v>
      </c>
      <c r="C29" s="97">
        <v>40</v>
      </c>
      <c r="D29" s="97">
        <v>3440</v>
      </c>
      <c r="E29" s="97">
        <v>5220</v>
      </c>
      <c r="F29" s="97">
        <v>3570</v>
      </c>
      <c r="G29" s="97">
        <v>3140</v>
      </c>
      <c r="H29" s="97">
        <v>2500</v>
      </c>
      <c r="I29" s="97">
        <v>2030</v>
      </c>
      <c r="J29" s="97">
        <v>1750</v>
      </c>
      <c r="K29" s="97">
        <v>2160</v>
      </c>
      <c r="L29" s="97">
        <v>2580</v>
      </c>
      <c r="M29" s="97">
        <v>4250</v>
      </c>
      <c r="N29" s="97">
        <v>2930</v>
      </c>
      <c r="O29" s="97">
        <v>2740</v>
      </c>
      <c r="P29" s="98">
        <v>3100</v>
      </c>
      <c r="Q29" s="10"/>
      <c r="R29" s="10"/>
    </row>
    <row r="30" spans="1:18" ht="13.5" thickBot="1" x14ac:dyDescent="0.25">
      <c r="A30" s="94" t="s">
        <v>60</v>
      </c>
      <c r="B30" s="97">
        <v>200</v>
      </c>
      <c r="C30" s="97">
        <v>30</v>
      </c>
      <c r="D30" s="97">
        <v>3380</v>
      </c>
      <c r="E30" s="97">
        <v>5250</v>
      </c>
      <c r="F30" s="97">
        <v>3680</v>
      </c>
      <c r="G30" s="97">
        <v>3180</v>
      </c>
      <c r="H30" s="97">
        <v>2520</v>
      </c>
      <c r="I30" s="97">
        <v>2010</v>
      </c>
      <c r="J30" s="97">
        <v>1800</v>
      </c>
      <c r="K30" s="97">
        <v>2080</v>
      </c>
      <c r="L30" s="97">
        <v>2160</v>
      </c>
      <c r="M30" s="97">
        <v>2980</v>
      </c>
      <c r="N30" s="97">
        <v>19270</v>
      </c>
      <c r="O30" s="97">
        <v>23590</v>
      </c>
      <c r="P30" s="98">
        <v>38060</v>
      </c>
      <c r="Q30" s="10"/>
      <c r="R30" s="10"/>
    </row>
    <row r="31" spans="1:18" ht="13.5" thickBot="1" x14ac:dyDescent="0.25">
      <c r="A31" s="94" t="s">
        <v>61</v>
      </c>
      <c r="B31" s="97">
        <v>100</v>
      </c>
      <c r="C31" s="97">
        <v>50</v>
      </c>
      <c r="D31" s="97">
        <v>3570</v>
      </c>
      <c r="E31" s="97">
        <v>8760</v>
      </c>
      <c r="F31" s="97">
        <v>7080</v>
      </c>
      <c r="G31" s="97">
        <v>6940</v>
      </c>
      <c r="H31" s="97">
        <v>6010</v>
      </c>
      <c r="I31" s="97">
        <v>5870</v>
      </c>
      <c r="J31" s="97">
        <v>6630</v>
      </c>
      <c r="K31" s="97">
        <v>9630</v>
      </c>
      <c r="L31" s="97">
        <v>11810</v>
      </c>
      <c r="M31" s="97">
        <v>15220</v>
      </c>
      <c r="N31" s="97">
        <v>10260</v>
      </c>
      <c r="O31" s="97">
        <v>13110</v>
      </c>
      <c r="P31" s="98">
        <v>25810</v>
      </c>
      <c r="Q31" s="10"/>
      <c r="R31" s="10"/>
    </row>
    <row r="32" spans="1:18" ht="13.5" thickBot="1" x14ac:dyDescent="0.25">
      <c r="A32" s="94" t="s">
        <v>62</v>
      </c>
      <c r="B32" s="97">
        <v>60</v>
      </c>
      <c r="C32" s="97">
        <v>30</v>
      </c>
      <c r="D32" s="97">
        <v>2670</v>
      </c>
      <c r="E32" s="97">
        <v>4880</v>
      </c>
      <c r="F32" s="97">
        <v>3500</v>
      </c>
      <c r="G32" s="97">
        <v>3150</v>
      </c>
      <c r="H32" s="97">
        <v>2500</v>
      </c>
      <c r="I32" s="97">
        <v>2140</v>
      </c>
      <c r="J32" s="97">
        <v>1720</v>
      </c>
      <c r="K32" s="97">
        <v>1940</v>
      </c>
      <c r="L32" s="97">
        <v>2080</v>
      </c>
      <c r="M32" s="97">
        <v>2540</v>
      </c>
      <c r="N32" s="97">
        <v>5850</v>
      </c>
      <c r="O32" s="97">
        <v>7300</v>
      </c>
      <c r="P32" s="98">
        <v>14390</v>
      </c>
      <c r="Q32" s="10"/>
      <c r="R32" s="10"/>
    </row>
    <row r="33" spans="1:18" ht="13.5" thickBot="1" x14ac:dyDescent="0.25">
      <c r="A33" s="94" t="s">
        <v>63</v>
      </c>
      <c r="B33" s="97">
        <v>60</v>
      </c>
      <c r="C33" s="97">
        <v>30</v>
      </c>
      <c r="D33" s="97">
        <v>2530</v>
      </c>
      <c r="E33" s="97">
        <v>4710</v>
      </c>
      <c r="F33" s="97">
        <v>3510</v>
      </c>
      <c r="G33" s="97">
        <v>3040</v>
      </c>
      <c r="H33" s="97">
        <v>2450</v>
      </c>
      <c r="I33" s="97">
        <v>1960</v>
      </c>
      <c r="J33" s="97">
        <v>1710</v>
      </c>
      <c r="K33" s="97">
        <v>1760</v>
      </c>
      <c r="L33" s="97">
        <v>1850</v>
      </c>
      <c r="M33" s="97">
        <v>2160</v>
      </c>
      <c r="N33" s="97">
        <v>4840</v>
      </c>
      <c r="O33" s="97">
        <v>5780</v>
      </c>
      <c r="P33" s="98">
        <v>11350</v>
      </c>
      <c r="Q33" s="10"/>
      <c r="R33" s="10"/>
    </row>
    <row r="34" spans="1:18" ht="13.5" thickBot="1" x14ac:dyDescent="0.25">
      <c r="A34" s="94" t="s">
        <v>64</v>
      </c>
      <c r="B34" s="97">
        <v>50</v>
      </c>
      <c r="C34" s="97">
        <v>20</v>
      </c>
      <c r="D34" s="97">
        <v>2200</v>
      </c>
      <c r="E34" s="97">
        <v>4590</v>
      </c>
      <c r="F34" s="97">
        <v>3430</v>
      </c>
      <c r="G34" s="97">
        <v>3150</v>
      </c>
      <c r="H34" s="97">
        <v>2650</v>
      </c>
      <c r="I34" s="97">
        <v>2120</v>
      </c>
      <c r="J34" s="97">
        <v>1790</v>
      </c>
      <c r="K34" s="97">
        <v>1910</v>
      </c>
      <c r="L34" s="97">
        <v>1770</v>
      </c>
      <c r="M34" s="97">
        <v>2070</v>
      </c>
      <c r="N34" s="97">
        <v>4210</v>
      </c>
      <c r="O34" s="97">
        <v>4690</v>
      </c>
      <c r="P34" s="98">
        <v>9370</v>
      </c>
      <c r="Q34" s="10"/>
      <c r="R34" s="10"/>
    </row>
    <row r="35" spans="1:18" ht="13.5" thickBot="1" x14ac:dyDescent="0.25">
      <c r="A35" s="94" t="s">
        <v>65</v>
      </c>
      <c r="B35" s="97">
        <v>100</v>
      </c>
      <c r="C35" s="97">
        <v>20</v>
      </c>
      <c r="D35" s="97">
        <v>2150</v>
      </c>
      <c r="E35" s="97">
        <v>4640</v>
      </c>
      <c r="F35" s="97">
        <v>3740</v>
      </c>
      <c r="G35" s="97">
        <v>3510</v>
      </c>
      <c r="H35" s="97">
        <v>2880</v>
      </c>
      <c r="I35" s="97">
        <v>2330</v>
      </c>
      <c r="J35" s="97">
        <v>1820</v>
      </c>
      <c r="K35" s="97">
        <v>1840</v>
      </c>
      <c r="L35" s="97">
        <v>1770</v>
      </c>
      <c r="M35" s="97">
        <v>2020</v>
      </c>
      <c r="N35" s="97">
        <v>10870</v>
      </c>
      <c r="O35" s="97">
        <v>12370</v>
      </c>
      <c r="P35" s="98">
        <v>28630</v>
      </c>
      <c r="Q35" s="10"/>
      <c r="R35" s="10"/>
    </row>
    <row r="36" spans="1:18" ht="13.5" thickBot="1" x14ac:dyDescent="0.25">
      <c r="A36" s="94" t="s">
        <v>66</v>
      </c>
      <c r="B36" s="97">
        <v>50</v>
      </c>
      <c r="C36" s="97">
        <v>10</v>
      </c>
      <c r="D36" s="97">
        <v>2210</v>
      </c>
      <c r="E36" s="97">
        <v>9200</v>
      </c>
      <c r="F36" s="97">
        <v>11670</v>
      </c>
      <c r="G36" s="97">
        <v>12300</v>
      </c>
      <c r="H36" s="97">
        <v>9670</v>
      </c>
      <c r="I36" s="97">
        <v>7030</v>
      </c>
      <c r="J36" s="97">
        <v>4940</v>
      </c>
      <c r="K36" s="97">
        <v>3840</v>
      </c>
      <c r="L36" s="97">
        <v>2730</v>
      </c>
      <c r="M36" s="97">
        <v>2390</v>
      </c>
      <c r="N36" s="97">
        <v>4820</v>
      </c>
      <c r="O36" s="97">
        <v>5240</v>
      </c>
      <c r="P36" s="98">
        <v>12160</v>
      </c>
      <c r="Q36" s="10"/>
      <c r="R36" s="10"/>
    </row>
    <row r="37" spans="1:18" ht="13.5" thickBot="1" x14ac:dyDescent="0.25">
      <c r="A37" s="94" t="s">
        <v>67</v>
      </c>
      <c r="B37" s="97">
        <v>50</v>
      </c>
      <c r="C37" s="97">
        <v>20</v>
      </c>
      <c r="D37" s="97">
        <v>1810</v>
      </c>
      <c r="E37" s="97">
        <v>4620</v>
      </c>
      <c r="F37" s="97">
        <v>4030</v>
      </c>
      <c r="G37" s="97">
        <v>3760</v>
      </c>
      <c r="H37" s="97">
        <v>3020</v>
      </c>
      <c r="I37" s="97">
        <v>2330</v>
      </c>
      <c r="J37" s="97">
        <v>1980</v>
      </c>
      <c r="K37" s="97">
        <v>1990</v>
      </c>
      <c r="L37" s="97">
        <v>1860</v>
      </c>
      <c r="M37" s="97">
        <v>2140</v>
      </c>
      <c r="N37" s="97">
        <v>3960</v>
      </c>
      <c r="O37" s="97">
        <v>4490</v>
      </c>
      <c r="P37" s="98">
        <v>10030</v>
      </c>
      <c r="Q37" s="10"/>
      <c r="R37" s="10"/>
    </row>
    <row r="38" spans="1:18" ht="13.5" thickBot="1" x14ac:dyDescent="0.25">
      <c r="A38" s="94" t="s">
        <v>68</v>
      </c>
      <c r="B38" s="97">
        <v>140</v>
      </c>
      <c r="C38" s="97">
        <v>20</v>
      </c>
      <c r="D38" s="97">
        <v>1680</v>
      </c>
      <c r="E38" s="97">
        <v>4120</v>
      </c>
      <c r="F38" s="97">
        <v>3620</v>
      </c>
      <c r="G38" s="97">
        <v>3540</v>
      </c>
      <c r="H38" s="97">
        <v>2920</v>
      </c>
      <c r="I38" s="97">
        <v>2360</v>
      </c>
      <c r="J38" s="97">
        <v>1810</v>
      </c>
      <c r="K38" s="97">
        <v>1820</v>
      </c>
      <c r="L38" s="97">
        <v>1720</v>
      </c>
      <c r="M38" s="97">
        <v>2020</v>
      </c>
      <c r="N38" s="97">
        <v>17710</v>
      </c>
      <c r="O38" s="97">
        <v>21980</v>
      </c>
      <c r="P38" s="98">
        <v>50060</v>
      </c>
      <c r="Q38" s="10"/>
      <c r="R38" s="10"/>
    </row>
    <row r="39" spans="1:18" ht="13.5" thickBot="1" x14ac:dyDescent="0.25">
      <c r="A39" s="94" t="s">
        <v>69</v>
      </c>
      <c r="B39" s="97">
        <v>40</v>
      </c>
      <c r="C39" s="97">
        <v>20</v>
      </c>
      <c r="D39" s="97">
        <v>1560</v>
      </c>
      <c r="E39" s="97">
        <v>4110</v>
      </c>
      <c r="F39" s="97">
        <v>3560</v>
      </c>
      <c r="G39" s="97">
        <v>3370</v>
      </c>
      <c r="H39" s="97">
        <v>2840</v>
      </c>
      <c r="I39" s="97">
        <v>2210</v>
      </c>
      <c r="J39" s="97">
        <v>1860</v>
      </c>
      <c r="K39" s="97">
        <v>1860</v>
      </c>
      <c r="L39" s="97">
        <v>1750</v>
      </c>
      <c r="M39" s="97">
        <v>1920</v>
      </c>
      <c r="N39" s="97">
        <v>4130</v>
      </c>
      <c r="O39" s="97">
        <v>5590</v>
      </c>
      <c r="P39" s="98">
        <v>14990</v>
      </c>
      <c r="Q39" s="10"/>
      <c r="R39" s="10"/>
    </row>
    <row r="40" spans="1:18" ht="13.5" thickBot="1" x14ac:dyDescent="0.25">
      <c r="A40" s="94" t="s">
        <v>70</v>
      </c>
      <c r="B40" s="97">
        <v>40</v>
      </c>
      <c r="C40" s="97">
        <v>10</v>
      </c>
      <c r="D40" s="97">
        <v>1600</v>
      </c>
      <c r="E40" s="97">
        <v>4010</v>
      </c>
      <c r="F40" s="97">
        <v>3770</v>
      </c>
      <c r="G40" s="97">
        <v>3730</v>
      </c>
      <c r="H40" s="97">
        <v>3390</v>
      </c>
      <c r="I40" s="97">
        <v>2900</v>
      </c>
      <c r="J40" s="97">
        <v>2470</v>
      </c>
      <c r="K40" s="97">
        <v>2470</v>
      </c>
      <c r="L40" s="97">
        <v>2050</v>
      </c>
      <c r="M40" s="97">
        <v>2130</v>
      </c>
      <c r="N40" s="97">
        <v>3430</v>
      </c>
      <c r="O40" s="97">
        <v>4430</v>
      </c>
      <c r="P40" s="98">
        <v>11570</v>
      </c>
      <c r="Q40" s="10"/>
      <c r="R40" s="10"/>
    </row>
    <row r="41" spans="1:18" ht="13.5" thickBot="1" x14ac:dyDescent="0.25">
      <c r="A41" s="94" t="s">
        <v>71</v>
      </c>
      <c r="B41" s="97">
        <v>50</v>
      </c>
      <c r="C41" s="97">
        <v>10</v>
      </c>
      <c r="D41" s="97">
        <v>1450</v>
      </c>
      <c r="E41" s="97">
        <v>3900</v>
      </c>
      <c r="F41" s="97">
        <v>3510</v>
      </c>
      <c r="G41" s="97">
        <v>3220</v>
      </c>
      <c r="H41" s="97">
        <v>2700</v>
      </c>
      <c r="I41" s="97">
        <v>2290</v>
      </c>
      <c r="J41" s="97">
        <v>1820</v>
      </c>
      <c r="K41" s="97">
        <v>1840</v>
      </c>
      <c r="L41" s="97">
        <v>1770</v>
      </c>
      <c r="M41" s="97">
        <v>1950</v>
      </c>
      <c r="N41" s="97">
        <v>3100</v>
      </c>
      <c r="O41" s="97">
        <v>4020</v>
      </c>
      <c r="P41" s="98">
        <v>9680</v>
      </c>
      <c r="Q41" s="10"/>
      <c r="R41" s="10"/>
    </row>
    <row r="42" spans="1:18" ht="13.5" thickBot="1" x14ac:dyDescent="0.25">
      <c r="A42" s="94" t="s">
        <v>72</v>
      </c>
      <c r="B42" s="97">
        <v>40</v>
      </c>
      <c r="C42" s="97">
        <v>10</v>
      </c>
      <c r="D42" s="97">
        <v>1420</v>
      </c>
      <c r="E42" s="97">
        <v>3760</v>
      </c>
      <c r="F42" s="97">
        <v>3350</v>
      </c>
      <c r="G42" s="97">
        <v>3330</v>
      </c>
      <c r="H42" s="97">
        <v>2730</v>
      </c>
      <c r="I42" s="97">
        <v>2210</v>
      </c>
      <c r="J42" s="97">
        <v>1810</v>
      </c>
      <c r="K42" s="97">
        <v>1850</v>
      </c>
      <c r="L42" s="97">
        <v>1720</v>
      </c>
      <c r="M42" s="97">
        <v>1860</v>
      </c>
      <c r="N42" s="97">
        <v>2920</v>
      </c>
      <c r="O42" s="97">
        <v>3490</v>
      </c>
      <c r="P42" s="98">
        <v>8100</v>
      </c>
      <c r="Q42" s="10"/>
      <c r="R42" s="10"/>
    </row>
    <row r="43" spans="1:18" ht="13.5" thickBot="1" x14ac:dyDescent="0.25">
      <c r="A43" s="94" t="s">
        <v>73</v>
      </c>
      <c r="B43" s="97">
        <v>50</v>
      </c>
      <c r="C43" s="97">
        <v>10</v>
      </c>
      <c r="D43" s="97">
        <v>1340</v>
      </c>
      <c r="E43" s="97">
        <v>3670</v>
      </c>
      <c r="F43" s="97">
        <v>3350</v>
      </c>
      <c r="G43" s="97">
        <v>3110</v>
      </c>
      <c r="H43" s="97">
        <v>2700</v>
      </c>
      <c r="I43" s="97">
        <v>2080</v>
      </c>
      <c r="J43" s="97">
        <v>1750</v>
      </c>
      <c r="K43" s="97">
        <v>1770</v>
      </c>
      <c r="L43" s="97">
        <v>1670</v>
      </c>
      <c r="M43" s="97">
        <v>1880</v>
      </c>
      <c r="N43" s="97">
        <v>2730</v>
      </c>
      <c r="O43" s="97">
        <v>3090</v>
      </c>
      <c r="P43" s="98">
        <v>7390</v>
      </c>
      <c r="Q43" s="10"/>
      <c r="R43" s="10"/>
    </row>
    <row r="44" spans="1:18" ht="13.5" thickBot="1" x14ac:dyDescent="0.25">
      <c r="A44" s="94" t="s">
        <v>74</v>
      </c>
      <c r="B44" s="97">
        <v>40</v>
      </c>
      <c r="C44" s="97">
        <v>10</v>
      </c>
      <c r="D44" s="97">
        <v>1310</v>
      </c>
      <c r="E44" s="97">
        <v>3600</v>
      </c>
      <c r="F44" s="97">
        <v>3260</v>
      </c>
      <c r="G44" s="97">
        <v>3180</v>
      </c>
      <c r="H44" s="97">
        <v>2650</v>
      </c>
      <c r="I44" s="97">
        <v>2160</v>
      </c>
      <c r="J44" s="97">
        <v>1790</v>
      </c>
      <c r="K44" s="97">
        <v>1850</v>
      </c>
      <c r="L44" s="97">
        <v>1710</v>
      </c>
      <c r="M44" s="97">
        <v>1830</v>
      </c>
      <c r="N44" s="97">
        <v>2550</v>
      </c>
      <c r="O44" s="97">
        <v>2930</v>
      </c>
      <c r="P44" s="98">
        <v>6410</v>
      </c>
      <c r="Q44" s="10"/>
      <c r="R44" s="10"/>
    </row>
    <row r="45" spans="1:18" ht="13.5" thickBot="1" x14ac:dyDescent="0.25">
      <c r="A45" s="94" t="s">
        <v>75</v>
      </c>
      <c r="B45" s="97">
        <v>40</v>
      </c>
      <c r="C45" s="97">
        <v>0</v>
      </c>
      <c r="D45" s="97">
        <v>1250</v>
      </c>
      <c r="E45" s="97">
        <v>3660</v>
      </c>
      <c r="F45" s="97">
        <v>3490</v>
      </c>
      <c r="G45" s="97">
        <v>3300</v>
      </c>
      <c r="H45" s="97">
        <v>2780</v>
      </c>
      <c r="I45" s="97">
        <v>2290</v>
      </c>
      <c r="J45" s="97">
        <v>1950</v>
      </c>
      <c r="K45" s="97">
        <v>2070</v>
      </c>
      <c r="L45" s="97">
        <v>2030</v>
      </c>
      <c r="M45" s="97">
        <v>2130</v>
      </c>
      <c r="N45" s="97">
        <v>2360</v>
      </c>
      <c r="O45" s="97">
        <v>2650</v>
      </c>
      <c r="P45" s="98">
        <v>5660</v>
      </c>
      <c r="Q45" s="10"/>
      <c r="R45" s="10"/>
    </row>
    <row r="46" spans="1:18" ht="13.5" thickBot="1" x14ac:dyDescent="0.25">
      <c r="A46" s="94" t="s">
        <v>76</v>
      </c>
      <c r="B46" s="97">
        <v>30</v>
      </c>
      <c r="C46" s="97">
        <v>10</v>
      </c>
      <c r="D46" s="97">
        <v>1200</v>
      </c>
      <c r="E46" s="97">
        <v>3480</v>
      </c>
      <c r="F46" s="97">
        <v>3280</v>
      </c>
      <c r="G46" s="97">
        <v>3270</v>
      </c>
      <c r="H46" s="97">
        <v>2680</v>
      </c>
      <c r="I46" s="97">
        <v>2200</v>
      </c>
      <c r="J46" s="97">
        <v>1860</v>
      </c>
      <c r="K46" s="97">
        <v>1900</v>
      </c>
      <c r="L46" s="97">
        <v>1930</v>
      </c>
      <c r="M46" s="97">
        <v>1940</v>
      </c>
      <c r="N46" s="97">
        <v>2300</v>
      </c>
      <c r="O46" s="97">
        <v>2580</v>
      </c>
      <c r="P46" s="98">
        <v>5150</v>
      </c>
      <c r="Q46" s="10"/>
      <c r="R46" s="10"/>
    </row>
    <row r="47" spans="1:18" ht="13.5" thickBot="1" x14ac:dyDescent="0.25">
      <c r="A47" s="94" t="s">
        <v>77</v>
      </c>
      <c r="B47" s="97">
        <v>40</v>
      </c>
      <c r="C47" s="97">
        <v>10</v>
      </c>
      <c r="D47" s="97">
        <v>1110</v>
      </c>
      <c r="E47" s="97">
        <v>3380</v>
      </c>
      <c r="F47" s="97">
        <v>3320</v>
      </c>
      <c r="G47" s="97">
        <v>3210</v>
      </c>
      <c r="H47" s="97">
        <v>2680</v>
      </c>
      <c r="I47" s="97">
        <v>2190</v>
      </c>
      <c r="J47" s="97">
        <v>1760</v>
      </c>
      <c r="K47" s="97">
        <v>1870</v>
      </c>
      <c r="L47" s="97">
        <v>1720</v>
      </c>
      <c r="M47" s="97">
        <v>1870</v>
      </c>
      <c r="N47" s="97">
        <v>2100</v>
      </c>
      <c r="O47" s="97">
        <v>2330</v>
      </c>
      <c r="P47" s="98">
        <v>4770</v>
      </c>
      <c r="Q47" s="10"/>
      <c r="R47" s="10"/>
    </row>
    <row r="48" spans="1:18" ht="13.5" thickBot="1" x14ac:dyDescent="0.25">
      <c r="A48" s="94" t="s">
        <v>78</v>
      </c>
      <c r="B48" s="97">
        <v>40</v>
      </c>
      <c r="C48" s="97">
        <v>0</v>
      </c>
      <c r="D48" s="97">
        <v>1180</v>
      </c>
      <c r="E48" s="97">
        <v>3420</v>
      </c>
      <c r="F48" s="97">
        <v>3320</v>
      </c>
      <c r="G48" s="97">
        <v>3250</v>
      </c>
      <c r="H48" s="97">
        <v>2660</v>
      </c>
      <c r="I48" s="97">
        <v>2230</v>
      </c>
      <c r="J48" s="97">
        <v>1850</v>
      </c>
      <c r="K48" s="97">
        <v>1880</v>
      </c>
      <c r="L48" s="97">
        <v>1840</v>
      </c>
      <c r="M48" s="97">
        <v>1870</v>
      </c>
      <c r="N48" s="97">
        <v>2170</v>
      </c>
      <c r="O48" s="97">
        <v>2170</v>
      </c>
      <c r="P48" s="98">
        <v>4220</v>
      </c>
      <c r="Q48" s="10"/>
      <c r="R48" s="10"/>
    </row>
    <row r="49" spans="1:18" ht="13.5" thickBot="1" x14ac:dyDescent="0.25">
      <c r="A49" s="94" t="s">
        <v>79</v>
      </c>
      <c r="B49" s="97">
        <v>30</v>
      </c>
      <c r="C49" s="97">
        <v>0</v>
      </c>
      <c r="D49" s="97">
        <v>1160</v>
      </c>
      <c r="E49" s="97">
        <v>3440</v>
      </c>
      <c r="F49" s="97">
        <v>3190</v>
      </c>
      <c r="G49" s="97">
        <v>3210</v>
      </c>
      <c r="H49" s="97">
        <v>2680</v>
      </c>
      <c r="I49" s="97">
        <v>2170</v>
      </c>
      <c r="J49" s="97">
        <v>1830</v>
      </c>
      <c r="K49" s="97">
        <v>1910</v>
      </c>
      <c r="L49" s="97">
        <v>1760</v>
      </c>
      <c r="M49" s="97">
        <v>1860</v>
      </c>
      <c r="N49" s="97">
        <v>2020</v>
      </c>
      <c r="O49" s="97">
        <v>2140</v>
      </c>
      <c r="P49" s="98">
        <v>3810</v>
      </c>
      <c r="Q49" s="10"/>
      <c r="R49" s="10"/>
    </row>
    <row r="50" spans="1:18" ht="13.5" thickBot="1" x14ac:dyDescent="0.25">
      <c r="A50" s="94" t="s">
        <v>80</v>
      </c>
      <c r="B50" s="97">
        <v>20</v>
      </c>
      <c r="C50" s="97">
        <v>10</v>
      </c>
      <c r="D50" s="97">
        <v>1080</v>
      </c>
      <c r="E50" s="97">
        <v>3400</v>
      </c>
      <c r="F50" s="97">
        <v>3250</v>
      </c>
      <c r="G50" s="97">
        <v>3100</v>
      </c>
      <c r="H50" s="97">
        <v>2670</v>
      </c>
      <c r="I50" s="97">
        <v>2130</v>
      </c>
      <c r="J50" s="97">
        <v>1840</v>
      </c>
      <c r="K50" s="97">
        <v>1910</v>
      </c>
      <c r="L50" s="97">
        <v>1850</v>
      </c>
      <c r="M50" s="97">
        <v>1870</v>
      </c>
      <c r="N50" s="97">
        <v>2060</v>
      </c>
      <c r="O50" s="97">
        <v>1900</v>
      </c>
      <c r="P50" s="98">
        <v>3710</v>
      </c>
      <c r="Q50" s="10"/>
      <c r="R50" s="10"/>
    </row>
    <row r="51" spans="1:18" ht="13.5" thickBot="1" x14ac:dyDescent="0.25">
      <c r="A51" s="94" t="s">
        <v>81</v>
      </c>
      <c r="B51" s="97">
        <v>30</v>
      </c>
      <c r="C51" s="97">
        <v>0</v>
      </c>
      <c r="D51" s="97">
        <v>1270</v>
      </c>
      <c r="E51" s="97">
        <v>3580</v>
      </c>
      <c r="F51" s="97">
        <v>3380</v>
      </c>
      <c r="G51" s="97">
        <v>3220</v>
      </c>
      <c r="H51" s="97">
        <v>2700</v>
      </c>
      <c r="I51" s="97">
        <v>2210</v>
      </c>
      <c r="J51" s="97">
        <v>1850</v>
      </c>
      <c r="K51" s="97">
        <v>2040</v>
      </c>
      <c r="L51" s="97">
        <v>1900</v>
      </c>
      <c r="M51" s="97">
        <v>2030</v>
      </c>
      <c r="N51" s="97">
        <v>1990</v>
      </c>
      <c r="O51" s="97">
        <v>1940</v>
      </c>
      <c r="P51" s="98">
        <v>3440</v>
      </c>
      <c r="Q51" s="10"/>
      <c r="R51" s="10"/>
    </row>
    <row r="52" spans="1:18" ht="13.5" thickBot="1" x14ac:dyDescent="0.25">
      <c r="A52" s="94" t="s">
        <v>82</v>
      </c>
      <c r="B52" s="97">
        <v>30</v>
      </c>
      <c r="C52" s="97">
        <v>0</v>
      </c>
      <c r="D52" s="97">
        <v>1120</v>
      </c>
      <c r="E52" s="97">
        <v>3510</v>
      </c>
      <c r="F52" s="97">
        <v>3340</v>
      </c>
      <c r="G52" s="97">
        <v>3350</v>
      </c>
      <c r="H52" s="97">
        <v>2670</v>
      </c>
      <c r="I52" s="97">
        <v>2140</v>
      </c>
      <c r="J52" s="97">
        <v>1910</v>
      </c>
      <c r="K52" s="97">
        <v>1990</v>
      </c>
      <c r="L52" s="97">
        <v>1910</v>
      </c>
      <c r="M52" s="97">
        <v>1930</v>
      </c>
      <c r="N52" s="97">
        <v>1940</v>
      </c>
      <c r="O52" s="97">
        <v>1780</v>
      </c>
      <c r="P52" s="98">
        <v>3170</v>
      </c>
      <c r="Q52" s="10"/>
      <c r="R52" s="10"/>
    </row>
    <row r="53" spans="1:18" ht="13.5" thickBot="1" x14ac:dyDescent="0.25">
      <c r="A53" s="94" t="s">
        <v>83</v>
      </c>
      <c r="B53" s="97">
        <v>30</v>
      </c>
      <c r="C53" s="97">
        <v>0</v>
      </c>
      <c r="D53" s="97">
        <v>1150</v>
      </c>
      <c r="E53" s="97">
        <v>3490</v>
      </c>
      <c r="F53" s="97">
        <v>3320</v>
      </c>
      <c r="G53" s="97">
        <v>3290</v>
      </c>
      <c r="H53" s="97">
        <v>2740</v>
      </c>
      <c r="I53" s="97">
        <v>2170</v>
      </c>
      <c r="J53" s="97">
        <v>1940</v>
      </c>
      <c r="K53" s="97">
        <v>2000</v>
      </c>
      <c r="L53" s="97">
        <v>1930</v>
      </c>
      <c r="M53" s="97">
        <v>1990</v>
      </c>
      <c r="N53" s="97">
        <v>1880</v>
      </c>
      <c r="O53" s="97">
        <v>1780</v>
      </c>
      <c r="P53" s="98">
        <v>3060</v>
      </c>
      <c r="Q53" s="10"/>
      <c r="R53" s="10"/>
    </row>
    <row r="54" spans="1:18" ht="13.5" thickBot="1" x14ac:dyDescent="0.25">
      <c r="A54" s="94" t="s">
        <v>84</v>
      </c>
      <c r="B54" s="97">
        <v>40</v>
      </c>
      <c r="C54" s="97">
        <v>10</v>
      </c>
      <c r="D54" s="97">
        <v>1130</v>
      </c>
      <c r="E54" s="97">
        <v>3710</v>
      </c>
      <c r="F54" s="97">
        <v>3560</v>
      </c>
      <c r="G54" s="97">
        <v>3380</v>
      </c>
      <c r="H54" s="97">
        <v>2720</v>
      </c>
      <c r="I54" s="97">
        <v>2310</v>
      </c>
      <c r="J54" s="97">
        <v>1960</v>
      </c>
      <c r="K54" s="97">
        <v>2050</v>
      </c>
      <c r="L54" s="97">
        <v>1940</v>
      </c>
      <c r="M54" s="97">
        <v>1990</v>
      </c>
      <c r="N54" s="97">
        <v>1910</v>
      </c>
      <c r="O54" s="97">
        <v>1670</v>
      </c>
      <c r="P54" s="98">
        <v>2900</v>
      </c>
      <c r="Q54" s="10"/>
      <c r="R54" s="10"/>
    </row>
    <row r="55" spans="1:18" ht="13.5" thickBot="1" x14ac:dyDescent="0.25">
      <c r="A55" s="94" t="s">
        <v>85</v>
      </c>
      <c r="B55" s="97">
        <v>40</v>
      </c>
      <c r="C55" s="97">
        <v>10</v>
      </c>
      <c r="D55" s="97">
        <v>1550</v>
      </c>
      <c r="E55" s="97">
        <v>4300</v>
      </c>
      <c r="F55" s="97">
        <v>3730</v>
      </c>
      <c r="G55" s="97">
        <v>3840</v>
      </c>
      <c r="H55" s="97">
        <v>3240</v>
      </c>
      <c r="I55" s="97">
        <v>2840</v>
      </c>
      <c r="J55" s="97">
        <v>2500</v>
      </c>
      <c r="K55" s="97">
        <v>2480</v>
      </c>
      <c r="L55" s="97">
        <v>2490</v>
      </c>
      <c r="M55" s="97">
        <v>2520</v>
      </c>
      <c r="N55" s="97">
        <v>2180</v>
      </c>
      <c r="O55" s="97">
        <v>1940</v>
      </c>
      <c r="P55" s="98">
        <v>3050</v>
      </c>
      <c r="Q55" s="10"/>
      <c r="R55" s="10"/>
    </row>
    <row r="56" spans="1:18" ht="13.5" thickBot="1" x14ac:dyDescent="0.25">
      <c r="A56" s="94" t="s">
        <v>86</v>
      </c>
      <c r="B56" s="97">
        <v>40</v>
      </c>
      <c r="C56" s="97">
        <v>10</v>
      </c>
      <c r="D56" s="97">
        <v>1290</v>
      </c>
      <c r="E56" s="97">
        <v>4060</v>
      </c>
      <c r="F56" s="97">
        <v>3830</v>
      </c>
      <c r="G56" s="97">
        <v>3760</v>
      </c>
      <c r="H56" s="97">
        <v>3290</v>
      </c>
      <c r="I56" s="97">
        <v>2640</v>
      </c>
      <c r="J56" s="97">
        <v>2330</v>
      </c>
      <c r="K56" s="97">
        <v>2450</v>
      </c>
      <c r="L56" s="97">
        <v>2280</v>
      </c>
      <c r="M56" s="97">
        <v>2310</v>
      </c>
      <c r="N56" s="97">
        <v>2070</v>
      </c>
      <c r="O56" s="97">
        <v>1730</v>
      </c>
      <c r="P56" s="98">
        <v>2740</v>
      </c>
      <c r="Q56" s="10"/>
      <c r="R56" s="10"/>
    </row>
    <row r="57" spans="1:18" ht="13.5" thickBot="1" x14ac:dyDescent="0.25">
      <c r="A57" s="94" t="s">
        <v>87</v>
      </c>
      <c r="B57" s="97">
        <v>30</v>
      </c>
      <c r="C57" s="97">
        <v>0</v>
      </c>
      <c r="D57" s="97">
        <v>1150</v>
      </c>
      <c r="E57" s="97">
        <v>4110</v>
      </c>
      <c r="F57" s="97">
        <v>3750</v>
      </c>
      <c r="G57" s="97">
        <v>3480</v>
      </c>
      <c r="H57" s="97">
        <v>2900</v>
      </c>
      <c r="I57" s="97">
        <v>2390</v>
      </c>
      <c r="J57" s="97">
        <v>2160</v>
      </c>
      <c r="K57" s="97">
        <v>2260</v>
      </c>
      <c r="L57" s="97">
        <v>2210</v>
      </c>
      <c r="M57" s="97">
        <v>2170</v>
      </c>
      <c r="N57" s="97">
        <v>1750</v>
      </c>
      <c r="O57" s="97">
        <v>1530</v>
      </c>
      <c r="P57" s="98">
        <v>2450</v>
      </c>
      <c r="Q57" s="10"/>
      <c r="R57" s="10"/>
    </row>
    <row r="58" spans="1:18" ht="13.5" thickBot="1" x14ac:dyDescent="0.25">
      <c r="A58" s="94" t="s">
        <v>88</v>
      </c>
      <c r="B58" s="97">
        <v>40</v>
      </c>
      <c r="C58" s="97">
        <v>10</v>
      </c>
      <c r="D58" s="97">
        <v>1070</v>
      </c>
      <c r="E58" s="97">
        <v>4230</v>
      </c>
      <c r="F58" s="97">
        <v>3890</v>
      </c>
      <c r="G58" s="97">
        <v>3670</v>
      </c>
      <c r="H58" s="97">
        <v>2950</v>
      </c>
      <c r="I58" s="97">
        <v>2540</v>
      </c>
      <c r="J58" s="97">
        <v>2200</v>
      </c>
      <c r="K58" s="97">
        <v>2330</v>
      </c>
      <c r="L58" s="97">
        <v>2220</v>
      </c>
      <c r="M58" s="97">
        <v>2260</v>
      </c>
      <c r="N58" s="97">
        <v>1740</v>
      </c>
      <c r="O58" s="97">
        <v>1550</v>
      </c>
      <c r="P58" s="98">
        <v>2350</v>
      </c>
      <c r="Q58" s="10"/>
      <c r="R58" s="10"/>
    </row>
    <row r="59" spans="1:18" ht="13.5" thickBot="1" x14ac:dyDescent="0.25">
      <c r="A59" s="94" t="s">
        <v>89</v>
      </c>
      <c r="B59" s="97">
        <v>30</v>
      </c>
      <c r="C59" s="97">
        <v>0</v>
      </c>
      <c r="D59" s="97">
        <v>1000</v>
      </c>
      <c r="E59" s="97">
        <v>4310</v>
      </c>
      <c r="F59" s="97">
        <v>3870</v>
      </c>
      <c r="G59" s="97">
        <v>3710</v>
      </c>
      <c r="H59" s="97">
        <v>3000</v>
      </c>
      <c r="I59" s="97">
        <v>2450</v>
      </c>
      <c r="J59" s="97">
        <v>2210</v>
      </c>
      <c r="K59" s="97">
        <v>2390</v>
      </c>
      <c r="L59" s="97">
        <v>2270</v>
      </c>
      <c r="M59" s="97">
        <v>2250</v>
      </c>
      <c r="N59" s="97">
        <v>1670</v>
      </c>
      <c r="O59" s="97">
        <v>1450</v>
      </c>
      <c r="P59" s="98">
        <v>2160</v>
      </c>
      <c r="Q59" s="10"/>
      <c r="R59" s="10"/>
    </row>
    <row r="60" spans="1:18" ht="13.5" thickBot="1" x14ac:dyDescent="0.25">
      <c r="A60" s="94" t="s">
        <v>90</v>
      </c>
      <c r="B60" s="97">
        <v>40</v>
      </c>
      <c r="C60" s="97">
        <v>0</v>
      </c>
      <c r="D60" s="97">
        <v>1000</v>
      </c>
      <c r="E60" s="97">
        <v>4410</v>
      </c>
      <c r="F60" s="97">
        <v>4110</v>
      </c>
      <c r="G60" s="97">
        <v>3760</v>
      </c>
      <c r="H60" s="97">
        <v>3050</v>
      </c>
      <c r="I60" s="97">
        <v>2540</v>
      </c>
      <c r="J60" s="97">
        <v>2280</v>
      </c>
      <c r="K60" s="97">
        <v>2490</v>
      </c>
      <c r="L60" s="97">
        <v>2330</v>
      </c>
      <c r="M60" s="97">
        <v>2300</v>
      </c>
      <c r="N60" s="97">
        <v>1690</v>
      </c>
      <c r="O60" s="97">
        <v>1460</v>
      </c>
      <c r="P60" s="98">
        <v>2040</v>
      </c>
      <c r="Q60" s="10"/>
      <c r="R60" s="10"/>
    </row>
    <row r="61" spans="1:18" ht="13.5" thickBot="1" x14ac:dyDescent="0.25">
      <c r="A61" s="94" t="s">
        <v>91</v>
      </c>
      <c r="B61" s="97">
        <v>20</v>
      </c>
      <c r="C61" s="97">
        <v>0</v>
      </c>
      <c r="D61" s="97">
        <v>900</v>
      </c>
      <c r="E61" s="97">
        <v>4340</v>
      </c>
      <c r="F61" s="97">
        <v>4250</v>
      </c>
      <c r="G61" s="97">
        <v>3940</v>
      </c>
      <c r="H61" s="97">
        <v>3140</v>
      </c>
      <c r="I61" s="97">
        <v>2550</v>
      </c>
      <c r="J61" s="97">
        <v>2310</v>
      </c>
      <c r="K61" s="97">
        <v>2540</v>
      </c>
      <c r="L61" s="97">
        <v>2370</v>
      </c>
      <c r="M61" s="97">
        <v>2290</v>
      </c>
      <c r="N61" s="97">
        <v>1610</v>
      </c>
      <c r="O61" s="97">
        <v>1250</v>
      </c>
      <c r="P61" s="98">
        <v>1990</v>
      </c>
      <c r="Q61" s="10"/>
      <c r="R61" s="10"/>
    </row>
    <row r="62" spans="1:18" ht="13.5" thickBot="1" x14ac:dyDescent="0.25">
      <c r="A62" s="94" t="s">
        <v>92</v>
      </c>
      <c r="B62" s="97">
        <v>30</v>
      </c>
      <c r="C62" s="97">
        <v>0</v>
      </c>
      <c r="D62" s="97">
        <v>880</v>
      </c>
      <c r="E62" s="97">
        <v>4340</v>
      </c>
      <c r="F62" s="97">
        <v>4410</v>
      </c>
      <c r="G62" s="97">
        <v>3960</v>
      </c>
      <c r="H62" s="97">
        <v>3220</v>
      </c>
      <c r="I62" s="97">
        <v>2590</v>
      </c>
      <c r="J62" s="97">
        <v>2370</v>
      </c>
      <c r="K62" s="97">
        <v>2620</v>
      </c>
      <c r="L62" s="97">
        <v>2430</v>
      </c>
      <c r="M62" s="97">
        <v>2390</v>
      </c>
      <c r="N62" s="97">
        <v>1560</v>
      </c>
      <c r="O62" s="97">
        <v>1260</v>
      </c>
      <c r="P62" s="98">
        <v>1850</v>
      </c>
      <c r="Q62" s="10"/>
      <c r="R62" s="10"/>
    </row>
    <row r="63" spans="1:18" ht="13.5" thickBot="1" x14ac:dyDescent="0.25">
      <c r="A63" s="94" t="s">
        <v>93</v>
      </c>
      <c r="B63" s="97">
        <v>20</v>
      </c>
      <c r="C63" s="97">
        <v>0</v>
      </c>
      <c r="D63" s="97">
        <v>760</v>
      </c>
      <c r="E63" s="97">
        <v>4420</v>
      </c>
      <c r="F63" s="97">
        <v>4320</v>
      </c>
      <c r="G63" s="97">
        <v>3930</v>
      </c>
      <c r="H63" s="97">
        <v>3250</v>
      </c>
      <c r="I63" s="97">
        <v>2710</v>
      </c>
      <c r="J63" s="97">
        <v>2370</v>
      </c>
      <c r="K63" s="97">
        <v>2560</v>
      </c>
      <c r="L63" s="97">
        <v>2420</v>
      </c>
      <c r="M63" s="97">
        <v>2400</v>
      </c>
      <c r="N63" s="97">
        <v>1610</v>
      </c>
      <c r="O63" s="97">
        <v>1190</v>
      </c>
      <c r="P63" s="98">
        <v>1730</v>
      </c>
      <c r="Q63" s="10"/>
      <c r="R63" s="10"/>
    </row>
    <row r="64" spans="1:18" ht="13.5" thickBot="1" x14ac:dyDescent="0.25">
      <c r="A64" s="94" t="s">
        <v>94</v>
      </c>
      <c r="B64" s="97">
        <v>20</v>
      </c>
      <c r="C64" s="97">
        <v>0</v>
      </c>
      <c r="D64" s="97">
        <v>690</v>
      </c>
      <c r="E64" s="97">
        <v>4220</v>
      </c>
      <c r="F64" s="97">
        <v>4400</v>
      </c>
      <c r="G64" s="97">
        <v>4010</v>
      </c>
      <c r="H64" s="97">
        <v>3260</v>
      </c>
      <c r="I64" s="97">
        <v>2790</v>
      </c>
      <c r="J64" s="97">
        <v>2470</v>
      </c>
      <c r="K64" s="97">
        <v>2610</v>
      </c>
      <c r="L64" s="97">
        <v>2360</v>
      </c>
      <c r="M64" s="97">
        <v>2440</v>
      </c>
      <c r="N64" s="97">
        <v>1530</v>
      </c>
      <c r="O64" s="97">
        <v>1170</v>
      </c>
      <c r="P64" s="98">
        <v>1700</v>
      </c>
      <c r="Q64" s="10"/>
      <c r="R64" s="10"/>
    </row>
    <row r="65" spans="1:18" ht="13.5" thickBot="1" x14ac:dyDescent="0.25">
      <c r="A65" s="94" t="s">
        <v>95</v>
      </c>
      <c r="B65" s="97">
        <v>30</v>
      </c>
      <c r="C65" s="97">
        <v>0</v>
      </c>
      <c r="D65" s="97">
        <v>630</v>
      </c>
      <c r="E65" s="97">
        <v>4030</v>
      </c>
      <c r="F65" s="97">
        <v>4530</v>
      </c>
      <c r="G65" s="97">
        <v>4090</v>
      </c>
      <c r="H65" s="97">
        <v>3430</v>
      </c>
      <c r="I65" s="97">
        <v>2740</v>
      </c>
      <c r="J65" s="97">
        <v>2560</v>
      </c>
      <c r="K65" s="97">
        <v>2670</v>
      </c>
      <c r="L65" s="97">
        <v>2510</v>
      </c>
      <c r="M65" s="97">
        <v>2430</v>
      </c>
      <c r="N65" s="97">
        <v>1500</v>
      </c>
      <c r="O65" s="97">
        <v>1140</v>
      </c>
      <c r="P65" s="98">
        <v>1620</v>
      </c>
      <c r="Q65" s="10"/>
      <c r="R65" s="10"/>
    </row>
    <row r="66" spans="1:18" ht="13.5" thickBot="1" x14ac:dyDescent="0.25">
      <c r="A66" s="94" t="s">
        <v>96</v>
      </c>
      <c r="B66" s="97">
        <v>20</v>
      </c>
      <c r="C66" s="97">
        <v>0</v>
      </c>
      <c r="D66" s="97">
        <v>540</v>
      </c>
      <c r="E66" s="97">
        <v>3920</v>
      </c>
      <c r="F66" s="97">
        <v>4540</v>
      </c>
      <c r="G66" s="97">
        <v>4260</v>
      </c>
      <c r="H66" s="97">
        <v>3420</v>
      </c>
      <c r="I66" s="97">
        <v>2850</v>
      </c>
      <c r="J66" s="97">
        <v>2650</v>
      </c>
      <c r="K66" s="97">
        <v>2580</v>
      </c>
      <c r="L66" s="97">
        <v>2540</v>
      </c>
      <c r="M66" s="97">
        <v>2410</v>
      </c>
      <c r="N66" s="97">
        <v>1480</v>
      </c>
      <c r="O66" s="97">
        <v>1080</v>
      </c>
      <c r="P66" s="98">
        <v>1510</v>
      </c>
      <c r="Q66" s="10"/>
      <c r="R66" s="10"/>
    </row>
    <row r="67" spans="1:18" ht="13.5" thickBot="1" x14ac:dyDescent="0.25">
      <c r="A67" s="94" t="s">
        <v>97</v>
      </c>
      <c r="B67" s="97">
        <v>30</v>
      </c>
      <c r="C67" s="97">
        <v>0</v>
      </c>
      <c r="D67" s="97">
        <v>540</v>
      </c>
      <c r="E67" s="97">
        <v>3870</v>
      </c>
      <c r="F67" s="97">
        <v>4500</v>
      </c>
      <c r="G67" s="97">
        <v>4240</v>
      </c>
      <c r="H67" s="97">
        <v>3530</v>
      </c>
      <c r="I67" s="97">
        <v>2860</v>
      </c>
      <c r="J67" s="97">
        <v>2510</v>
      </c>
      <c r="K67" s="97">
        <v>2720</v>
      </c>
      <c r="L67" s="97">
        <v>2600</v>
      </c>
      <c r="M67" s="97">
        <v>2400</v>
      </c>
      <c r="N67" s="97">
        <v>1500</v>
      </c>
      <c r="O67" s="97">
        <v>1010</v>
      </c>
      <c r="P67" s="98">
        <v>1370</v>
      </c>
      <c r="Q67" s="10"/>
      <c r="R67" s="10"/>
    </row>
    <row r="68" spans="1:18" ht="13.5" thickBot="1" x14ac:dyDescent="0.25">
      <c r="A68" s="94" t="s">
        <v>98</v>
      </c>
      <c r="B68" s="97">
        <v>30</v>
      </c>
      <c r="C68" s="97">
        <v>0</v>
      </c>
      <c r="D68" s="97">
        <v>480</v>
      </c>
      <c r="E68" s="97">
        <v>3690</v>
      </c>
      <c r="F68" s="97">
        <v>4670</v>
      </c>
      <c r="G68" s="97">
        <v>4390</v>
      </c>
      <c r="H68" s="97">
        <v>3510</v>
      </c>
      <c r="I68" s="97">
        <v>2970</v>
      </c>
      <c r="J68" s="97">
        <v>2760</v>
      </c>
      <c r="K68" s="97">
        <v>2810</v>
      </c>
      <c r="L68" s="97">
        <v>2630</v>
      </c>
      <c r="M68" s="97">
        <v>2540</v>
      </c>
      <c r="N68" s="97">
        <v>1460</v>
      </c>
      <c r="O68" s="97">
        <v>940</v>
      </c>
      <c r="P68" s="98">
        <v>1430</v>
      </c>
      <c r="Q68" s="10"/>
      <c r="R68" s="10"/>
    </row>
    <row r="69" spans="1:18" ht="13.5" thickBot="1" x14ac:dyDescent="0.25">
      <c r="A69" s="94" t="s">
        <v>99</v>
      </c>
      <c r="B69" s="97">
        <v>30</v>
      </c>
      <c r="C69" s="97">
        <v>0</v>
      </c>
      <c r="D69" s="97">
        <v>410</v>
      </c>
      <c r="E69" s="97">
        <v>3530</v>
      </c>
      <c r="F69" s="97">
        <v>4560</v>
      </c>
      <c r="G69" s="97">
        <v>4240</v>
      </c>
      <c r="H69" s="97">
        <v>3320</v>
      </c>
      <c r="I69" s="97">
        <v>2860</v>
      </c>
      <c r="J69" s="97">
        <v>2660</v>
      </c>
      <c r="K69" s="97">
        <v>2690</v>
      </c>
      <c r="L69" s="97">
        <v>2550</v>
      </c>
      <c r="M69" s="97">
        <v>2430</v>
      </c>
      <c r="N69" s="97">
        <v>1340</v>
      </c>
      <c r="O69" s="97">
        <v>1000</v>
      </c>
      <c r="P69" s="98">
        <v>1300</v>
      </c>
      <c r="Q69" s="10"/>
      <c r="R69" s="10"/>
    </row>
    <row r="70" spans="1:18" ht="13.5" thickBot="1" x14ac:dyDescent="0.25">
      <c r="A70" s="94" t="s">
        <v>100</v>
      </c>
      <c r="B70" s="97">
        <v>30</v>
      </c>
      <c r="C70" s="97">
        <v>0</v>
      </c>
      <c r="D70" s="97">
        <v>380</v>
      </c>
      <c r="E70" s="97">
        <v>3280</v>
      </c>
      <c r="F70" s="97">
        <v>4620</v>
      </c>
      <c r="G70" s="97">
        <v>4340</v>
      </c>
      <c r="H70" s="97">
        <v>3500</v>
      </c>
      <c r="I70" s="97">
        <v>3000</v>
      </c>
      <c r="J70" s="97">
        <v>2580</v>
      </c>
      <c r="K70" s="97">
        <v>2890</v>
      </c>
      <c r="L70" s="97">
        <v>2720</v>
      </c>
      <c r="M70" s="97">
        <v>2550</v>
      </c>
      <c r="N70" s="97">
        <v>1440</v>
      </c>
      <c r="O70" s="97">
        <v>950</v>
      </c>
      <c r="P70" s="98">
        <v>1220</v>
      </c>
      <c r="Q70" s="10"/>
      <c r="R70" s="10"/>
    </row>
    <row r="71" spans="1:18" ht="13.5" thickBot="1" x14ac:dyDescent="0.25">
      <c r="A71" s="94" t="s">
        <v>101</v>
      </c>
      <c r="B71" s="97">
        <v>20</v>
      </c>
      <c r="C71" s="97">
        <v>0</v>
      </c>
      <c r="D71" s="97">
        <v>320</v>
      </c>
      <c r="E71" s="97">
        <v>3250</v>
      </c>
      <c r="F71" s="97">
        <v>4370</v>
      </c>
      <c r="G71" s="97">
        <v>4160</v>
      </c>
      <c r="H71" s="97">
        <v>3400</v>
      </c>
      <c r="I71" s="97">
        <v>2890</v>
      </c>
      <c r="J71" s="97">
        <v>2630</v>
      </c>
      <c r="K71" s="97">
        <v>2770</v>
      </c>
      <c r="L71" s="97">
        <v>2580</v>
      </c>
      <c r="M71" s="97">
        <v>2550</v>
      </c>
      <c r="N71" s="97">
        <v>1390</v>
      </c>
      <c r="O71" s="97">
        <v>880</v>
      </c>
      <c r="P71" s="98">
        <v>1210</v>
      </c>
      <c r="Q71" s="10"/>
      <c r="R71" s="10"/>
    </row>
    <row r="72" spans="1:18" ht="13.5" thickBot="1" x14ac:dyDescent="0.25">
      <c r="A72" s="94" t="s">
        <v>102</v>
      </c>
      <c r="B72" s="97">
        <v>30</v>
      </c>
      <c r="C72" s="97">
        <v>0</v>
      </c>
      <c r="D72" s="97">
        <v>330</v>
      </c>
      <c r="E72" s="97">
        <v>3150</v>
      </c>
      <c r="F72" s="97">
        <v>4520</v>
      </c>
      <c r="G72" s="97">
        <v>4270</v>
      </c>
      <c r="H72" s="97">
        <v>3360</v>
      </c>
      <c r="I72" s="97">
        <v>2990</v>
      </c>
      <c r="J72" s="97">
        <v>2670</v>
      </c>
      <c r="K72" s="97">
        <v>2680</v>
      </c>
      <c r="L72" s="97">
        <v>2610</v>
      </c>
      <c r="M72" s="97">
        <v>2490</v>
      </c>
      <c r="N72" s="97">
        <v>1430</v>
      </c>
      <c r="O72" s="97">
        <v>960</v>
      </c>
      <c r="P72" s="98">
        <v>1140</v>
      </c>
      <c r="Q72" s="10"/>
      <c r="R72" s="10"/>
    </row>
    <row r="73" spans="1:18" ht="13.5" thickBot="1" x14ac:dyDescent="0.25">
      <c r="A73" s="94" t="s">
        <v>103</v>
      </c>
      <c r="B73" s="97">
        <v>20</v>
      </c>
      <c r="C73" s="97">
        <v>0</v>
      </c>
      <c r="D73" s="97">
        <v>310</v>
      </c>
      <c r="E73" s="97">
        <v>2970</v>
      </c>
      <c r="F73" s="97">
        <v>4380</v>
      </c>
      <c r="G73" s="97">
        <v>4150</v>
      </c>
      <c r="H73" s="97">
        <v>3400</v>
      </c>
      <c r="I73" s="97">
        <v>2970</v>
      </c>
      <c r="J73" s="97">
        <v>2640</v>
      </c>
      <c r="K73" s="97">
        <v>2830</v>
      </c>
      <c r="L73" s="97">
        <v>2620</v>
      </c>
      <c r="M73" s="97">
        <v>2330</v>
      </c>
      <c r="N73" s="97">
        <v>1410</v>
      </c>
      <c r="O73" s="97">
        <v>880</v>
      </c>
      <c r="P73" s="98">
        <v>1090</v>
      </c>
      <c r="Q73" s="10"/>
      <c r="R73" s="10"/>
    </row>
    <row r="74" spans="1:18" ht="13.5" thickBot="1" x14ac:dyDescent="0.25">
      <c r="A74" s="94" t="s">
        <v>104</v>
      </c>
      <c r="B74" s="97">
        <v>30</v>
      </c>
      <c r="C74" s="97">
        <v>0</v>
      </c>
      <c r="D74" s="97">
        <v>240</v>
      </c>
      <c r="E74" s="97">
        <v>2900</v>
      </c>
      <c r="F74" s="97">
        <v>4210</v>
      </c>
      <c r="G74" s="97">
        <v>4170</v>
      </c>
      <c r="H74" s="97">
        <v>3450</v>
      </c>
      <c r="I74" s="97">
        <v>2960</v>
      </c>
      <c r="J74" s="97">
        <v>2650</v>
      </c>
      <c r="K74" s="97">
        <v>2650</v>
      </c>
      <c r="L74" s="97">
        <v>2670</v>
      </c>
      <c r="M74" s="97">
        <v>2460</v>
      </c>
      <c r="N74" s="97">
        <v>1410</v>
      </c>
      <c r="O74" s="97">
        <v>890</v>
      </c>
      <c r="P74" s="98">
        <v>1090</v>
      </c>
      <c r="Q74" s="10"/>
      <c r="R74" s="10"/>
    </row>
    <row r="75" spans="1:18" ht="13.5" thickBot="1" x14ac:dyDescent="0.25">
      <c r="A75" s="94" t="s">
        <v>105</v>
      </c>
      <c r="B75" s="97">
        <v>20</v>
      </c>
      <c r="C75" s="97">
        <v>0</v>
      </c>
      <c r="D75" s="97">
        <v>230</v>
      </c>
      <c r="E75" s="97">
        <v>2590</v>
      </c>
      <c r="F75" s="97">
        <v>4230</v>
      </c>
      <c r="G75" s="97">
        <v>4160</v>
      </c>
      <c r="H75" s="97">
        <v>3530</v>
      </c>
      <c r="I75" s="97">
        <v>2930</v>
      </c>
      <c r="J75" s="97">
        <v>2590</v>
      </c>
      <c r="K75" s="97">
        <v>2810</v>
      </c>
      <c r="L75" s="97">
        <v>2620</v>
      </c>
      <c r="M75" s="97">
        <v>2440</v>
      </c>
      <c r="N75" s="97">
        <v>1420</v>
      </c>
      <c r="O75" s="97">
        <v>880</v>
      </c>
      <c r="P75" s="98">
        <v>1050</v>
      </c>
      <c r="Q75" s="10"/>
      <c r="R75" s="10"/>
    </row>
    <row r="76" spans="1:18" ht="13.5" thickBot="1" x14ac:dyDescent="0.25">
      <c r="A76" s="94" t="s">
        <v>106</v>
      </c>
      <c r="B76" s="97">
        <v>30</v>
      </c>
      <c r="C76" s="97">
        <v>0</v>
      </c>
      <c r="D76" s="97">
        <v>220</v>
      </c>
      <c r="E76" s="97">
        <v>2510</v>
      </c>
      <c r="F76" s="97">
        <v>4230</v>
      </c>
      <c r="G76" s="97">
        <v>4130</v>
      </c>
      <c r="H76" s="97">
        <v>3520</v>
      </c>
      <c r="I76" s="97">
        <v>3050</v>
      </c>
      <c r="J76" s="97">
        <v>2660</v>
      </c>
      <c r="K76" s="97">
        <v>2860</v>
      </c>
      <c r="L76" s="97">
        <v>2700</v>
      </c>
      <c r="M76" s="97">
        <v>2430</v>
      </c>
      <c r="N76" s="97">
        <v>1410</v>
      </c>
      <c r="O76" s="97">
        <v>860</v>
      </c>
      <c r="P76" s="98">
        <v>1050</v>
      </c>
      <c r="Q76" s="10"/>
      <c r="R76" s="10"/>
    </row>
    <row r="77" spans="1:18" ht="13.5" thickBot="1" x14ac:dyDescent="0.25">
      <c r="A77" s="94" t="s">
        <v>107</v>
      </c>
      <c r="B77" s="97">
        <v>100</v>
      </c>
      <c r="C77" s="97">
        <v>10</v>
      </c>
      <c r="D77" s="97">
        <v>840</v>
      </c>
      <c r="E77" s="97">
        <v>3020</v>
      </c>
      <c r="F77" s="97">
        <v>4360</v>
      </c>
      <c r="G77" s="97">
        <v>4640</v>
      </c>
      <c r="H77" s="97">
        <v>4140</v>
      </c>
      <c r="I77" s="97">
        <v>3710</v>
      </c>
      <c r="J77" s="97">
        <v>3400</v>
      </c>
      <c r="K77" s="97">
        <v>3740</v>
      </c>
      <c r="L77" s="97">
        <v>3560</v>
      </c>
      <c r="M77" s="97">
        <v>3440</v>
      </c>
      <c r="N77" s="97">
        <v>2370</v>
      </c>
      <c r="O77" s="97">
        <v>1580</v>
      </c>
      <c r="P77" s="98">
        <v>2000</v>
      </c>
      <c r="Q77" s="10"/>
      <c r="R77" s="10"/>
    </row>
    <row r="78" spans="1:18" ht="13.5" thickBot="1" x14ac:dyDescent="0.25">
      <c r="A78" s="94" t="s">
        <v>108</v>
      </c>
      <c r="B78" s="97">
        <v>70</v>
      </c>
      <c r="C78" s="97">
        <v>0</v>
      </c>
      <c r="D78" s="97">
        <v>450</v>
      </c>
      <c r="E78" s="97">
        <v>2490</v>
      </c>
      <c r="F78" s="97">
        <v>4310</v>
      </c>
      <c r="G78" s="97">
        <v>4510</v>
      </c>
      <c r="H78" s="97">
        <v>4080</v>
      </c>
      <c r="I78" s="97">
        <v>3580</v>
      </c>
      <c r="J78" s="97">
        <v>3190</v>
      </c>
      <c r="K78" s="97">
        <v>3450</v>
      </c>
      <c r="L78" s="97">
        <v>3210</v>
      </c>
      <c r="M78" s="97">
        <v>2910</v>
      </c>
      <c r="N78" s="97">
        <v>1780</v>
      </c>
      <c r="O78" s="97">
        <v>1160</v>
      </c>
      <c r="P78" s="98">
        <v>1470</v>
      </c>
      <c r="Q78" s="10"/>
      <c r="R78" s="10"/>
    </row>
    <row r="79" spans="1:18" ht="13.5" thickBot="1" x14ac:dyDescent="0.25">
      <c r="A79" s="94" t="s">
        <v>109</v>
      </c>
      <c r="B79" s="97">
        <v>30</v>
      </c>
      <c r="C79" s="97">
        <v>0</v>
      </c>
      <c r="D79" s="97">
        <v>190</v>
      </c>
      <c r="E79" s="97">
        <v>2020</v>
      </c>
      <c r="F79" s="97">
        <v>3870</v>
      </c>
      <c r="G79" s="97">
        <v>4060</v>
      </c>
      <c r="H79" s="97">
        <v>3410</v>
      </c>
      <c r="I79" s="97">
        <v>2950</v>
      </c>
      <c r="J79" s="97">
        <v>2610</v>
      </c>
      <c r="K79" s="97">
        <v>2760</v>
      </c>
      <c r="L79" s="97">
        <v>2540</v>
      </c>
      <c r="M79" s="97">
        <v>2380</v>
      </c>
      <c r="N79" s="97">
        <v>1560</v>
      </c>
      <c r="O79" s="97">
        <v>850</v>
      </c>
      <c r="P79" s="98">
        <v>1000</v>
      </c>
      <c r="Q79" s="10"/>
      <c r="R79" s="10"/>
    </row>
    <row r="80" spans="1:18" ht="13.5" thickBot="1" x14ac:dyDescent="0.25">
      <c r="A80" s="94" t="s">
        <v>110</v>
      </c>
      <c r="B80" s="97">
        <v>30</v>
      </c>
      <c r="C80" s="97">
        <v>0</v>
      </c>
      <c r="D80" s="97">
        <v>140</v>
      </c>
      <c r="E80" s="97">
        <v>1910</v>
      </c>
      <c r="F80" s="97">
        <v>3820</v>
      </c>
      <c r="G80" s="97">
        <v>3940</v>
      </c>
      <c r="H80" s="97">
        <v>3360</v>
      </c>
      <c r="I80" s="97">
        <v>2900</v>
      </c>
      <c r="J80" s="97">
        <v>2620</v>
      </c>
      <c r="K80" s="97">
        <v>2680</v>
      </c>
      <c r="L80" s="97">
        <v>2550</v>
      </c>
      <c r="M80" s="97">
        <v>2220</v>
      </c>
      <c r="N80" s="97">
        <v>1480</v>
      </c>
      <c r="O80" s="97">
        <v>860</v>
      </c>
      <c r="P80" s="98">
        <v>1010</v>
      </c>
      <c r="Q80" s="10"/>
      <c r="R80" s="10"/>
    </row>
    <row r="81" spans="1:18" ht="13.5" thickBot="1" x14ac:dyDescent="0.25">
      <c r="A81" s="94" t="s">
        <v>111</v>
      </c>
      <c r="B81" s="97">
        <v>40</v>
      </c>
      <c r="C81" s="97">
        <v>0</v>
      </c>
      <c r="D81" s="97">
        <v>110</v>
      </c>
      <c r="E81" s="97">
        <v>1770</v>
      </c>
      <c r="F81" s="97">
        <v>3670</v>
      </c>
      <c r="G81" s="97">
        <v>3720</v>
      </c>
      <c r="H81" s="97">
        <v>3320</v>
      </c>
      <c r="I81" s="97">
        <v>2780</v>
      </c>
      <c r="J81" s="97">
        <v>2480</v>
      </c>
      <c r="K81" s="97">
        <v>2690</v>
      </c>
      <c r="L81" s="97">
        <v>2370</v>
      </c>
      <c r="M81" s="97">
        <v>2210</v>
      </c>
      <c r="N81" s="97">
        <v>1390</v>
      </c>
      <c r="O81" s="97">
        <v>800</v>
      </c>
      <c r="P81" s="98">
        <v>960</v>
      </c>
      <c r="Q81" s="10"/>
      <c r="R81" s="10"/>
    </row>
    <row r="82" spans="1:18" ht="13.5" thickBot="1" x14ac:dyDescent="0.25">
      <c r="A82" s="94" t="s">
        <v>112</v>
      </c>
      <c r="B82" s="97">
        <v>30</v>
      </c>
      <c r="C82" s="97">
        <v>0</v>
      </c>
      <c r="D82" s="97">
        <v>110</v>
      </c>
      <c r="E82" s="97">
        <v>1630</v>
      </c>
      <c r="F82" s="97">
        <v>3510</v>
      </c>
      <c r="G82" s="97">
        <v>3890</v>
      </c>
      <c r="H82" s="97">
        <v>3260</v>
      </c>
      <c r="I82" s="97">
        <v>2880</v>
      </c>
      <c r="J82" s="97">
        <v>2540</v>
      </c>
      <c r="K82" s="97">
        <v>2700</v>
      </c>
      <c r="L82" s="97">
        <v>2350</v>
      </c>
      <c r="M82" s="97">
        <v>2160</v>
      </c>
      <c r="N82" s="97">
        <v>1430</v>
      </c>
      <c r="O82" s="97">
        <v>740</v>
      </c>
      <c r="P82" s="98">
        <v>800</v>
      </c>
      <c r="Q82" s="10"/>
      <c r="R82" s="10"/>
    </row>
    <row r="83" spans="1:18" ht="13.5" thickBot="1" x14ac:dyDescent="0.25">
      <c r="A83" s="94" t="s">
        <v>113</v>
      </c>
      <c r="B83" s="97">
        <v>20</v>
      </c>
      <c r="C83" s="97">
        <v>0</v>
      </c>
      <c r="D83" s="97">
        <v>100</v>
      </c>
      <c r="E83" s="97">
        <v>1530</v>
      </c>
      <c r="F83" s="97">
        <v>3500</v>
      </c>
      <c r="G83" s="97">
        <v>3790</v>
      </c>
      <c r="H83" s="97">
        <v>3370</v>
      </c>
      <c r="I83" s="97">
        <v>2910</v>
      </c>
      <c r="J83" s="97">
        <v>2510</v>
      </c>
      <c r="K83" s="97">
        <v>2680</v>
      </c>
      <c r="L83" s="97">
        <v>2520</v>
      </c>
      <c r="M83" s="97">
        <v>2160</v>
      </c>
      <c r="N83" s="97">
        <v>1380</v>
      </c>
      <c r="O83" s="97">
        <v>710</v>
      </c>
      <c r="P83" s="98">
        <v>860</v>
      </c>
      <c r="Q83" s="10"/>
      <c r="R83" s="10"/>
    </row>
    <row r="84" spans="1:18" ht="13.5" thickBot="1" x14ac:dyDescent="0.25">
      <c r="A84" s="94" t="s">
        <v>114</v>
      </c>
      <c r="B84" s="97">
        <v>20</v>
      </c>
      <c r="C84" s="97">
        <v>0</v>
      </c>
      <c r="D84" s="97">
        <v>80</v>
      </c>
      <c r="E84" s="97">
        <v>1340</v>
      </c>
      <c r="F84" s="97">
        <v>3330</v>
      </c>
      <c r="G84" s="97">
        <v>3720</v>
      </c>
      <c r="H84" s="97">
        <v>3140</v>
      </c>
      <c r="I84" s="97">
        <v>2680</v>
      </c>
      <c r="J84" s="97">
        <v>2430</v>
      </c>
      <c r="K84" s="97">
        <v>2480</v>
      </c>
      <c r="L84" s="97">
        <v>2400</v>
      </c>
      <c r="M84" s="97">
        <v>2050</v>
      </c>
      <c r="N84" s="97">
        <v>1360</v>
      </c>
      <c r="O84" s="97">
        <v>700</v>
      </c>
      <c r="P84" s="98">
        <v>830</v>
      </c>
      <c r="Q84" s="10"/>
      <c r="R84" s="10"/>
    </row>
    <row r="85" spans="1:18" ht="13.5" thickBot="1" x14ac:dyDescent="0.25">
      <c r="A85" s="94" t="s">
        <v>115</v>
      </c>
      <c r="B85" s="97">
        <v>30</v>
      </c>
      <c r="C85" s="97">
        <v>0</v>
      </c>
      <c r="D85" s="97">
        <v>70</v>
      </c>
      <c r="E85" s="97">
        <v>1330</v>
      </c>
      <c r="F85" s="97">
        <v>3160</v>
      </c>
      <c r="G85" s="97">
        <v>3510</v>
      </c>
      <c r="H85" s="97">
        <v>3210</v>
      </c>
      <c r="I85" s="97">
        <v>2640</v>
      </c>
      <c r="J85" s="97">
        <v>2390</v>
      </c>
      <c r="K85" s="97">
        <v>2420</v>
      </c>
      <c r="L85" s="97">
        <v>2230</v>
      </c>
      <c r="M85" s="97">
        <v>1980</v>
      </c>
      <c r="N85" s="97">
        <v>1300</v>
      </c>
      <c r="O85" s="97">
        <v>670</v>
      </c>
      <c r="P85" s="98">
        <v>750</v>
      </c>
      <c r="Q85" s="10"/>
      <c r="R85" s="10"/>
    </row>
    <row r="86" spans="1:18" ht="13.5" thickBot="1" x14ac:dyDescent="0.25">
      <c r="A86" s="94" t="s">
        <v>116</v>
      </c>
      <c r="B86" s="97">
        <v>20</v>
      </c>
      <c r="C86" s="97">
        <v>0</v>
      </c>
      <c r="D86" s="97">
        <v>60</v>
      </c>
      <c r="E86" s="97">
        <v>1250</v>
      </c>
      <c r="F86" s="97">
        <v>3060</v>
      </c>
      <c r="G86" s="97">
        <v>3500</v>
      </c>
      <c r="H86" s="97">
        <v>3050</v>
      </c>
      <c r="I86" s="97">
        <v>2600</v>
      </c>
      <c r="J86" s="97">
        <v>2400</v>
      </c>
      <c r="K86" s="97">
        <v>2460</v>
      </c>
      <c r="L86" s="97">
        <v>2240</v>
      </c>
      <c r="M86" s="97">
        <v>2000</v>
      </c>
      <c r="N86" s="97">
        <v>1320</v>
      </c>
      <c r="O86" s="97">
        <v>680</v>
      </c>
      <c r="P86" s="98">
        <v>770</v>
      </c>
      <c r="Q86" s="10"/>
      <c r="R86" s="10"/>
    </row>
    <row r="87" spans="1:18" ht="13.5" thickBot="1" x14ac:dyDescent="0.25">
      <c r="A87" s="94" t="s">
        <v>117</v>
      </c>
      <c r="B87" s="97">
        <v>30</v>
      </c>
      <c r="C87" s="97">
        <v>0</v>
      </c>
      <c r="D87" s="97">
        <v>40</v>
      </c>
      <c r="E87" s="97">
        <v>1110</v>
      </c>
      <c r="F87" s="97">
        <v>3020</v>
      </c>
      <c r="G87" s="97">
        <v>3470</v>
      </c>
      <c r="H87" s="97">
        <v>2970</v>
      </c>
      <c r="I87" s="97">
        <v>2580</v>
      </c>
      <c r="J87" s="97">
        <v>2270</v>
      </c>
      <c r="K87" s="97">
        <v>2400</v>
      </c>
      <c r="L87" s="97">
        <v>2200</v>
      </c>
      <c r="M87" s="97">
        <v>1950</v>
      </c>
      <c r="N87" s="97">
        <v>1330</v>
      </c>
      <c r="O87" s="97">
        <v>650</v>
      </c>
      <c r="P87" s="98">
        <v>690</v>
      </c>
      <c r="Q87" s="10"/>
      <c r="R87" s="10"/>
    </row>
    <row r="88" spans="1:18" ht="13.5" thickBot="1" x14ac:dyDescent="0.25">
      <c r="A88" s="94" t="s">
        <v>118</v>
      </c>
      <c r="B88" s="97">
        <v>30</v>
      </c>
      <c r="C88" s="97">
        <v>0</v>
      </c>
      <c r="D88" s="97">
        <v>50</v>
      </c>
      <c r="E88" s="97">
        <v>1040</v>
      </c>
      <c r="F88" s="97">
        <v>2930</v>
      </c>
      <c r="G88" s="97">
        <v>3460</v>
      </c>
      <c r="H88" s="97">
        <v>3070</v>
      </c>
      <c r="I88" s="97">
        <v>2800</v>
      </c>
      <c r="J88" s="97">
        <v>2400</v>
      </c>
      <c r="K88" s="97">
        <v>2590</v>
      </c>
      <c r="L88" s="97">
        <v>2230</v>
      </c>
      <c r="M88" s="97">
        <v>1980</v>
      </c>
      <c r="N88" s="97">
        <v>1300</v>
      </c>
      <c r="O88" s="97">
        <v>670</v>
      </c>
      <c r="P88" s="98">
        <v>690</v>
      </c>
      <c r="Q88" s="10"/>
      <c r="R88" s="10"/>
    </row>
    <row r="89" spans="1:18" ht="13.5" thickBot="1" x14ac:dyDescent="0.25">
      <c r="A89" s="94" t="s">
        <v>119</v>
      </c>
      <c r="B89" s="97">
        <v>30</v>
      </c>
      <c r="C89" s="97">
        <v>0</v>
      </c>
      <c r="D89" s="97">
        <v>30</v>
      </c>
      <c r="E89" s="97">
        <v>970</v>
      </c>
      <c r="F89" s="97">
        <v>2890</v>
      </c>
      <c r="G89" s="97">
        <v>3120</v>
      </c>
      <c r="H89" s="97">
        <v>2780</v>
      </c>
      <c r="I89" s="97">
        <v>2400</v>
      </c>
      <c r="J89" s="97">
        <v>2280</v>
      </c>
      <c r="K89" s="97">
        <v>2400</v>
      </c>
      <c r="L89" s="97">
        <v>2090</v>
      </c>
      <c r="M89" s="97">
        <v>1850</v>
      </c>
      <c r="N89" s="97">
        <v>1320</v>
      </c>
      <c r="O89" s="97">
        <v>600</v>
      </c>
      <c r="P89" s="98">
        <v>650</v>
      </c>
      <c r="Q89" s="10"/>
      <c r="R89" s="10"/>
    </row>
    <row r="90" spans="1:18" ht="13.5" thickBot="1" x14ac:dyDescent="0.25">
      <c r="A90" s="94" t="s">
        <v>120</v>
      </c>
      <c r="B90" s="97">
        <v>20</v>
      </c>
      <c r="C90" s="97">
        <v>0</v>
      </c>
      <c r="D90" s="97">
        <v>40</v>
      </c>
      <c r="E90" s="97">
        <v>860</v>
      </c>
      <c r="F90" s="97">
        <v>2560</v>
      </c>
      <c r="G90" s="97">
        <v>3050</v>
      </c>
      <c r="H90" s="97">
        <v>2790</v>
      </c>
      <c r="I90" s="97">
        <v>2430</v>
      </c>
      <c r="J90" s="97">
        <v>2240</v>
      </c>
      <c r="K90" s="97">
        <v>2180</v>
      </c>
      <c r="L90" s="97">
        <v>2000</v>
      </c>
      <c r="M90" s="97">
        <v>1800</v>
      </c>
      <c r="N90" s="97">
        <v>1260</v>
      </c>
      <c r="O90" s="97">
        <v>600</v>
      </c>
      <c r="P90" s="98">
        <v>660</v>
      </c>
      <c r="Q90" s="10"/>
      <c r="R90" s="10"/>
    </row>
    <row r="91" spans="1:18" ht="13.5" thickBot="1" x14ac:dyDescent="0.25">
      <c r="A91" s="94" t="s">
        <v>121</v>
      </c>
      <c r="B91" s="97">
        <v>20</v>
      </c>
      <c r="C91" s="97">
        <v>0</v>
      </c>
      <c r="D91" s="97">
        <v>30</v>
      </c>
      <c r="E91" s="97">
        <v>820</v>
      </c>
      <c r="F91" s="97">
        <v>2470</v>
      </c>
      <c r="G91" s="97">
        <v>3080</v>
      </c>
      <c r="H91" s="97">
        <v>2740</v>
      </c>
      <c r="I91" s="97">
        <v>2420</v>
      </c>
      <c r="J91" s="97">
        <v>2190</v>
      </c>
      <c r="K91" s="97">
        <v>2290</v>
      </c>
      <c r="L91" s="97">
        <v>2020</v>
      </c>
      <c r="M91" s="97">
        <v>1820</v>
      </c>
      <c r="N91" s="97">
        <v>1310</v>
      </c>
      <c r="O91" s="97">
        <v>620</v>
      </c>
      <c r="P91" s="98">
        <v>620</v>
      </c>
      <c r="Q91" s="10"/>
      <c r="R91" s="10"/>
    </row>
    <row r="92" spans="1:18" ht="13.5" thickBot="1" x14ac:dyDescent="0.25">
      <c r="A92" s="94" t="s">
        <v>122</v>
      </c>
      <c r="B92" s="97">
        <v>30</v>
      </c>
      <c r="C92" s="97">
        <v>0</v>
      </c>
      <c r="D92" s="97">
        <v>30</v>
      </c>
      <c r="E92" s="97">
        <v>700</v>
      </c>
      <c r="F92" s="97">
        <v>2510</v>
      </c>
      <c r="G92" s="97">
        <v>3040</v>
      </c>
      <c r="H92" s="97">
        <v>2650</v>
      </c>
      <c r="I92" s="97">
        <v>2330</v>
      </c>
      <c r="J92" s="97">
        <v>2170</v>
      </c>
      <c r="K92" s="97">
        <v>2160</v>
      </c>
      <c r="L92" s="97">
        <v>2020</v>
      </c>
      <c r="M92" s="97">
        <v>1770</v>
      </c>
      <c r="N92" s="97">
        <v>1190</v>
      </c>
      <c r="O92" s="97">
        <v>580</v>
      </c>
      <c r="P92" s="98">
        <v>570</v>
      </c>
      <c r="Q92" s="10"/>
      <c r="R92" s="10"/>
    </row>
    <row r="93" spans="1:18" ht="13.5" thickBot="1" x14ac:dyDescent="0.25">
      <c r="A93" s="94" t="s">
        <v>123</v>
      </c>
      <c r="B93" s="97">
        <v>30</v>
      </c>
      <c r="C93" s="97">
        <v>0</v>
      </c>
      <c r="D93" s="97">
        <v>30</v>
      </c>
      <c r="E93" s="97">
        <v>700</v>
      </c>
      <c r="F93" s="97">
        <v>2350</v>
      </c>
      <c r="G93" s="97">
        <v>3100</v>
      </c>
      <c r="H93" s="97">
        <v>2750</v>
      </c>
      <c r="I93" s="97">
        <v>2410</v>
      </c>
      <c r="J93" s="97">
        <v>2220</v>
      </c>
      <c r="K93" s="97">
        <v>2260</v>
      </c>
      <c r="L93" s="97">
        <v>2000</v>
      </c>
      <c r="M93" s="97">
        <v>1690</v>
      </c>
      <c r="N93" s="97">
        <v>1210</v>
      </c>
      <c r="O93" s="97">
        <v>620</v>
      </c>
      <c r="P93" s="98">
        <v>560</v>
      </c>
      <c r="Q93" s="10"/>
      <c r="R93" s="10"/>
    </row>
    <row r="94" spans="1:18" ht="13.5" thickBot="1" x14ac:dyDescent="0.25">
      <c r="A94" s="94" t="s">
        <v>124</v>
      </c>
      <c r="B94" s="97">
        <v>20</v>
      </c>
      <c r="C94" s="97">
        <v>0</v>
      </c>
      <c r="D94" s="97">
        <v>20</v>
      </c>
      <c r="E94" s="97">
        <v>630</v>
      </c>
      <c r="F94" s="97">
        <v>2260</v>
      </c>
      <c r="G94" s="97">
        <v>2890</v>
      </c>
      <c r="H94" s="97">
        <v>2560</v>
      </c>
      <c r="I94" s="97">
        <v>2240</v>
      </c>
      <c r="J94" s="97">
        <v>2030</v>
      </c>
      <c r="K94" s="97">
        <v>2140</v>
      </c>
      <c r="L94" s="97">
        <v>1900</v>
      </c>
      <c r="M94" s="97">
        <v>1670</v>
      </c>
      <c r="N94" s="97">
        <v>1200</v>
      </c>
      <c r="O94" s="97">
        <v>530</v>
      </c>
      <c r="P94" s="98">
        <v>520</v>
      </c>
      <c r="Q94" s="10"/>
      <c r="R94" s="10"/>
    </row>
    <row r="95" spans="1:18" ht="13.5" thickBot="1" x14ac:dyDescent="0.25">
      <c r="A95" s="94" t="s">
        <v>125</v>
      </c>
      <c r="B95" s="97">
        <v>20</v>
      </c>
      <c r="C95" s="97">
        <v>0</v>
      </c>
      <c r="D95" s="97">
        <v>30</v>
      </c>
      <c r="E95" s="97">
        <v>590</v>
      </c>
      <c r="F95" s="97">
        <v>2210</v>
      </c>
      <c r="G95" s="97">
        <v>2800</v>
      </c>
      <c r="H95" s="97">
        <v>2510</v>
      </c>
      <c r="I95" s="97">
        <v>2190</v>
      </c>
      <c r="J95" s="97">
        <v>2000</v>
      </c>
      <c r="K95" s="97">
        <v>2080</v>
      </c>
      <c r="L95" s="97">
        <v>1870</v>
      </c>
      <c r="M95" s="97">
        <v>1550</v>
      </c>
      <c r="N95" s="97">
        <v>1150</v>
      </c>
      <c r="O95" s="97">
        <v>570</v>
      </c>
      <c r="P95" s="98">
        <v>560</v>
      </c>
      <c r="Q95" s="10"/>
      <c r="R95" s="10"/>
    </row>
    <row r="96" spans="1:18" ht="13.5" thickBot="1" x14ac:dyDescent="0.25">
      <c r="A96" s="94" t="s">
        <v>126</v>
      </c>
      <c r="B96" s="97">
        <v>10</v>
      </c>
      <c r="C96" s="97">
        <v>0</v>
      </c>
      <c r="D96" s="97">
        <v>20</v>
      </c>
      <c r="E96" s="97">
        <v>540</v>
      </c>
      <c r="F96" s="97">
        <v>2040</v>
      </c>
      <c r="G96" s="97">
        <v>2710</v>
      </c>
      <c r="H96" s="97">
        <v>2390</v>
      </c>
      <c r="I96" s="97">
        <v>2190</v>
      </c>
      <c r="J96" s="97">
        <v>1950</v>
      </c>
      <c r="K96" s="97">
        <v>2030</v>
      </c>
      <c r="L96" s="97">
        <v>1820</v>
      </c>
      <c r="M96" s="97">
        <v>1590</v>
      </c>
      <c r="N96" s="97">
        <v>1210</v>
      </c>
      <c r="O96" s="97">
        <v>450</v>
      </c>
      <c r="P96" s="98">
        <v>500</v>
      </c>
      <c r="Q96" s="10"/>
      <c r="R96" s="10"/>
    </row>
    <row r="97" spans="1:18" ht="13.5" thickBot="1" x14ac:dyDescent="0.25">
      <c r="A97" s="94" t="s">
        <v>127</v>
      </c>
      <c r="B97" s="97">
        <v>30</v>
      </c>
      <c r="C97" s="97">
        <v>0</v>
      </c>
      <c r="D97" s="97">
        <v>20</v>
      </c>
      <c r="E97" s="97">
        <v>500</v>
      </c>
      <c r="F97" s="97">
        <v>1920</v>
      </c>
      <c r="G97" s="97">
        <v>2530</v>
      </c>
      <c r="H97" s="97">
        <v>2500</v>
      </c>
      <c r="I97" s="97">
        <v>2190</v>
      </c>
      <c r="J97" s="97">
        <v>1940</v>
      </c>
      <c r="K97" s="97">
        <v>2010</v>
      </c>
      <c r="L97" s="97">
        <v>1750</v>
      </c>
      <c r="M97" s="97">
        <v>1580</v>
      </c>
      <c r="N97" s="97">
        <v>1150</v>
      </c>
      <c r="O97" s="97">
        <v>520</v>
      </c>
      <c r="P97" s="98">
        <v>450</v>
      </c>
      <c r="Q97" s="10"/>
      <c r="R97" s="10"/>
    </row>
    <row r="98" spans="1:18" ht="13.5" thickBot="1" x14ac:dyDescent="0.25">
      <c r="A98" s="94" t="s">
        <v>128</v>
      </c>
      <c r="B98" s="97">
        <v>20</v>
      </c>
      <c r="C98" s="97">
        <v>0</v>
      </c>
      <c r="D98" s="97">
        <v>10</v>
      </c>
      <c r="E98" s="97">
        <v>500</v>
      </c>
      <c r="F98" s="97">
        <v>1910</v>
      </c>
      <c r="G98" s="97">
        <v>2680</v>
      </c>
      <c r="H98" s="97">
        <v>2540</v>
      </c>
      <c r="I98" s="97">
        <v>2130</v>
      </c>
      <c r="J98" s="97">
        <v>2010</v>
      </c>
      <c r="K98" s="97">
        <v>2010</v>
      </c>
      <c r="L98" s="97">
        <v>1830</v>
      </c>
      <c r="M98" s="97">
        <v>1470</v>
      </c>
      <c r="N98" s="97">
        <v>1130</v>
      </c>
      <c r="O98" s="97">
        <v>510</v>
      </c>
      <c r="P98" s="98">
        <v>470</v>
      </c>
      <c r="Q98" s="10"/>
      <c r="R98" s="10"/>
    </row>
    <row r="99" spans="1:18" ht="13.5" thickBot="1" x14ac:dyDescent="0.25">
      <c r="A99" s="94" t="s">
        <v>129</v>
      </c>
      <c r="B99" s="97">
        <v>20</v>
      </c>
      <c r="C99" s="97">
        <v>0</v>
      </c>
      <c r="D99" s="97">
        <v>20</v>
      </c>
      <c r="E99" s="97">
        <v>460</v>
      </c>
      <c r="F99" s="97">
        <v>1810</v>
      </c>
      <c r="G99" s="97">
        <v>2460</v>
      </c>
      <c r="H99" s="97">
        <v>2260</v>
      </c>
      <c r="I99" s="97">
        <v>2080</v>
      </c>
      <c r="J99" s="97">
        <v>1850</v>
      </c>
      <c r="K99" s="97">
        <v>1930</v>
      </c>
      <c r="L99" s="97">
        <v>1690</v>
      </c>
      <c r="M99" s="97">
        <v>1520</v>
      </c>
      <c r="N99" s="97">
        <v>1190</v>
      </c>
      <c r="O99" s="97">
        <v>530</v>
      </c>
      <c r="P99" s="98">
        <v>440</v>
      </c>
      <c r="Q99" s="10"/>
      <c r="R99" s="10"/>
    </row>
    <row r="100" spans="1:18" ht="13.5" thickBot="1" x14ac:dyDescent="0.25">
      <c r="A100" s="94" t="s">
        <v>130</v>
      </c>
      <c r="B100" s="97">
        <v>10</v>
      </c>
      <c r="C100" s="97">
        <v>0</v>
      </c>
      <c r="D100" s="97">
        <v>20</v>
      </c>
      <c r="E100" s="97">
        <v>380</v>
      </c>
      <c r="F100" s="97">
        <v>1750</v>
      </c>
      <c r="G100" s="97">
        <v>2420</v>
      </c>
      <c r="H100" s="97">
        <v>2250</v>
      </c>
      <c r="I100" s="97">
        <v>2150</v>
      </c>
      <c r="J100" s="97">
        <v>1810</v>
      </c>
      <c r="K100" s="97">
        <v>1880</v>
      </c>
      <c r="L100" s="97">
        <v>1750</v>
      </c>
      <c r="M100" s="97">
        <v>1450</v>
      </c>
      <c r="N100" s="97">
        <v>1140</v>
      </c>
      <c r="O100" s="97">
        <v>490</v>
      </c>
      <c r="P100" s="98">
        <v>450</v>
      </c>
      <c r="Q100" s="10"/>
      <c r="R100" s="10"/>
    </row>
    <row r="101" spans="1:18" ht="13.5" thickBot="1" x14ac:dyDescent="0.25">
      <c r="A101" s="94" t="s">
        <v>131</v>
      </c>
      <c r="B101" s="97">
        <v>10</v>
      </c>
      <c r="C101" s="97">
        <v>0</v>
      </c>
      <c r="D101" s="97">
        <v>10</v>
      </c>
      <c r="E101" s="97">
        <v>390</v>
      </c>
      <c r="F101" s="97">
        <v>1670</v>
      </c>
      <c r="G101" s="97">
        <v>2400</v>
      </c>
      <c r="H101" s="97">
        <v>2180</v>
      </c>
      <c r="I101" s="97">
        <v>1950</v>
      </c>
      <c r="J101" s="97">
        <v>1810</v>
      </c>
      <c r="K101" s="97">
        <v>1920</v>
      </c>
      <c r="L101" s="97">
        <v>1730</v>
      </c>
      <c r="M101" s="97">
        <v>1490</v>
      </c>
      <c r="N101" s="97">
        <v>1110</v>
      </c>
      <c r="O101" s="97">
        <v>500</v>
      </c>
      <c r="P101" s="98">
        <v>430</v>
      </c>
      <c r="Q101" s="10"/>
      <c r="R101" s="10"/>
    </row>
    <row r="102" spans="1:18" ht="13.5" thickBot="1" x14ac:dyDescent="0.25">
      <c r="A102" s="94" t="s">
        <v>132</v>
      </c>
      <c r="B102" s="97">
        <v>10</v>
      </c>
      <c r="C102" s="97">
        <v>0</v>
      </c>
      <c r="D102" s="97">
        <v>10</v>
      </c>
      <c r="E102" s="97">
        <v>340</v>
      </c>
      <c r="F102" s="97">
        <v>1570</v>
      </c>
      <c r="G102" s="97">
        <v>2300</v>
      </c>
      <c r="H102" s="97">
        <v>2120</v>
      </c>
      <c r="I102" s="97">
        <v>1970</v>
      </c>
      <c r="J102" s="97">
        <v>1730</v>
      </c>
      <c r="K102" s="97">
        <v>1830</v>
      </c>
      <c r="L102" s="97">
        <v>1650</v>
      </c>
      <c r="M102" s="97">
        <v>1420</v>
      </c>
      <c r="N102" s="97">
        <v>1100</v>
      </c>
      <c r="O102" s="97">
        <v>450</v>
      </c>
      <c r="P102" s="98">
        <v>440</v>
      </c>
      <c r="Q102" s="10"/>
      <c r="R102" s="10"/>
    </row>
    <row r="103" spans="1:18" ht="13.5" thickBot="1" x14ac:dyDescent="0.25">
      <c r="A103" s="94" t="s">
        <v>133</v>
      </c>
      <c r="B103" s="97">
        <v>10</v>
      </c>
      <c r="C103" s="97">
        <v>0</v>
      </c>
      <c r="D103" s="97">
        <v>10</v>
      </c>
      <c r="E103" s="97">
        <v>330</v>
      </c>
      <c r="F103" s="97">
        <v>1520</v>
      </c>
      <c r="G103" s="97">
        <v>2350</v>
      </c>
      <c r="H103" s="97">
        <v>2180</v>
      </c>
      <c r="I103" s="97">
        <v>1990</v>
      </c>
      <c r="J103" s="97">
        <v>1760</v>
      </c>
      <c r="K103" s="97">
        <v>1930</v>
      </c>
      <c r="L103" s="97">
        <v>1660</v>
      </c>
      <c r="M103" s="97">
        <v>1450</v>
      </c>
      <c r="N103" s="97">
        <v>1010</v>
      </c>
      <c r="O103" s="97">
        <v>470</v>
      </c>
      <c r="P103" s="98">
        <v>380</v>
      </c>
      <c r="Q103" s="10"/>
      <c r="R103" s="10"/>
    </row>
    <row r="104" spans="1:18" ht="13.5" thickBot="1" x14ac:dyDescent="0.25">
      <c r="A104" s="94" t="s">
        <v>134</v>
      </c>
      <c r="B104" s="97">
        <v>10</v>
      </c>
      <c r="C104" s="97">
        <v>0</v>
      </c>
      <c r="D104" s="97">
        <v>10</v>
      </c>
      <c r="E104" s="97">
        <v>300</v>
      </c>
      <c r="F104" s="97">
        <v>1420</v>
      </c>
      <c r="G104" s="97">
        <v>2160</v>
      </c>
      <c r="H104" s="97">
        <v>2050</v>
      </c>
      <c r="I104" s="97">
        <v>1900</v>
      </c>
      <c r="J104" s="97">
        <v>1760</v>
      </c>
      <c r="K104" s="97">
        <v>1760</v>
      </c>
      <c r="L104" s="97">
        <v>1590</v>
      </c>
      <c r="M104" s="97">
        <v>1320</v>
      </c>
      <c r="N104" s="97">
        <v>1010</v>
      </c>
      <c r="O104" s="97">
        <v>440</v>
      </c>
      <c r="P104" s="98">
        <v>410</v>
      </c>
      <c r="Q104" s="10"/>
      <c r="R104" s="10"/>
    </row>
    <row r="105" spans="1:18" ht="13.5" thickBot="1" x14ac:dyDescent="0.25">
      <c r="A105" s="94" t="s">
        <v>135</v>
      </c>
      <c r="B105" s="97">
        <v>10</v>
      </c>
      <c r="C105" s="97">
        <v>0</v>
      </c>
      <c r="D105" s="97">
        <v>10</v>
      </c>
      <c r="E105" s="97">
        <v>300</v>
      </c>
      <c r="F105" s="97">
        <v>1320</v>
      </c>
      <c r="G105" s="97">
        <v>2040</v>
      </c>
      <c r="H105" s="97">
        <v>2010</v>
      </c>
      <c r="I105" s="97">
        <v>1860</v>
      </c>
      <c r="J105" s="97">
        <v>1660</v>
      </c>
      <c r="K105" s="97">
        <v>1720</v>
      </c>
      <c r="L105" s="97">
        <v>1550</v>
      </c>
      <c r="M105" s="97">
        <v>1360</v>
      </c>
      <c r="N105" s="97">
        <v>1040</v>
      </c>
      <c r="O105" s="97">
        <v>420</v>
      </c>
      <c r="P105" s="98">
        <v>380</v>
      </c>
      <c r="Q105" s="10"/>
      <c r="R105" s="10"/>
    </row>
    <row r="106" spans="1:18" ht="13.5" thickBot="1" x14ac:dyDescent="0.25">
      <c r="A106" s="94" t="s">
        <v>136</v>
      </c>
      <c r="B106" s="97">
        <v>20</v>
      </c>
      <c r="C106" s="97">
        <v>0</v>
      </c>
      <c r="D106" s="97">
        <v>0</v>
      </c>
      <c r="E106" s="97">
        <v>240</v>
      </c>
      <c r="F106" s="97">
        <v>1270</v>
      </c>
      <c r="G106" s="97">
        <v>2050</v>
      </c>
      <c r="H106" s="97">
        <v>1980</v>
      </c>
      <c r="I106" s="97">
        <v>1840</v>
      </c>
      <c r="J106" s="97">
        <v>1780</v>
      </c>
      <c r="K106" s="97">
        <v>1720</v>
      </c>
      <c r="L106" s="97">
        <v>1500</v>
      </c>
      <c r="M106" s="97">
        <v>1320</v>
      </c>
      <c r="N106" s="97">
        <v>990</v>
      </c>
      <c r="O106" s="97">
        <v>410</v>
      </c>
      <c r="P106" s="98">
        <v>400</v>
      </c>
      <c r="Q106" s="10"/>
      <c r="R106" s="10"/>
    </row>
    <row r="107" spans="1:18" ht="13.5" thickBot="1" x14ac:dyDescent="0.25">
      <c r="A107" s="94" t="s">
        <v>137</v>
      </c>
      <c r="B107" s="97">
        <v>20</v>
      </c>
      <c r="C107" s="97">
        <v>0</v>
      </c>
      <c r="D107" s="97">
        <v>10</v>
      </c>
      <c r="E107" s="97">
        <v>240</v>
      </c>
      <c r="F107" s="97">
        <v>1200</v>
      </c>
      <c r="G107" s="97">
        <v>2050</v>
      </c>
      <c r="H107" s="97">
        <v>2050</v>
      </c>
      <c r="I107" s="97">
        <v>1920</v>
      </c>
      <c r="J107" s="97">
        <v>1820</v>
      </c>
      <c r="K107" s="97">
        <v>1860</v>
      </c>
      <c r="L107" s="97">
        <v>1520</v>
      </c>
      <c r="M107" s="97">
        <v>1360</v>
      </c>
      <c r="N107" s="97">
        <v>940</v>
      </c>
      <c r="O107" s="97">
        <v>400</v>
      </c>
      <c r="P107" s="98">
        <v>380</v>
      </c>
      <c r="Q107" s="10"/>
      <c r="R107" s="10"/>
    </row>
    <row r="108" spans="1:18" ht="13.5" thickBot="1" x14ac:dyDescent="0.25">
      <c r="A108" s="94" t="s">
        <v>138</v>
      </c>
      <c r="B108" s="97">
        <v>20</v>
      </c>
      <c r="C108" s="97">
        <v>0</v>
      </c>
      <c r="D108" s="97">
        <v>10</v>
      </c>
      <c r="E108" s="97">
        <v>260</v>
      </c>
      <c r="F108" s="97">
        <v>1270</v>
      </c>
      <c r="G108" s="97">
        <v>2040</v>
      </c>
      <c r="H108" s="97">
        <v>2200</v>
      </c>
      <c r="I108" s="97">
        <v>2080</v>
      </c>
      <c r="J108" s="97">
        <v>1980</v>
      </c>
      <c r="K108" s="97">
        <v>2020</v>
      </c>
      <c r="L108" s="97">
        <v>1740</v>
      </c>
      <c r="M108" s="97">
        <v>1420</v>
      </c>
      <c r="N108" s="97">
        <v>950</v>
      </c>
      <c r="O108" s="97">
        <v>410</v>
      </c>
      <c r="P108" s="98">
        <v>330</v>
      </c>
      <c r="Q108" s="10"/>
      <c r="R108" s="10"/>
    </row>
    <row r="109" spans="1:18" ht="13.5" thickBot="1" x14ac:dyDescent="0.25">
      <c r="A109" s="94" t="s">
        <v>139</v>
      </c>
      <c r="B109" s="97">
        <v>10</v>
      </c>
      <c r="C109" s="97">
        <v>0</v>
      </c>
      <c r="D109" s="97">
        <v>10</v>
      </c>
      <c r="E109" s="97">
        <v>210</v>
      </c>
      <c r="F109" s="97">
        <v>1130</v>
      </c>
      <c r="G109" s="97">
        <v>1940</v>
      </c>
      <c r="H109" s="97">
        <v>1960</v>
      </c>
      <c r="I109" s="97">
        <v>1780</v>
      </c>
      <c r="J109" s="97">
        <v>1710</v>
      </c>
      <c r="K109" s="97">
        <v>1760</v>
      </c>
      <c r="L109" s="97">
        <v>1470</v>
      </c>
      <c r="M109" s="97">
        <v>1300</v>
      </c>
      <c r="N109" s="97">
        <v>900</v>
      </c>
      <c r="O109" s="97">
        <v>400</v>
      </c>
      <c r="P109" s="98">
        <v>350</v>
      </c>
      <c r="Q109" s="10"/>
      <c r="R109" s="10"/>
    </row>
    <row r="110" spans="1:18" ht="13.5" thickBot="1" x14ac:dyDescent="0.25">
      <c r="A110" s="94" t="s">
        <v>140</v>
      </c>
      <c r="B110" s="97">
        <v>20</v>
      </c>
      <c r="C110" s="97">
        <v>0</v>
      </c>
      <c r="D110" s="97">
        <v>0</v>
      </c>
      <c r="E110" s="97">
        <v>170</v>
      </c>
      <c r="F110" s="97">
        <v>1100</v>
      </c>
      <c r="G110" s="97">
        <v>1880</v>
      </c>
      <c r="H110" s="97">
        <v>1860</v>
      </c>
      <c r="I110" s="97">
        <v>1800</v>
      </c>
      <c r="J110" s="97">
        <v>1660</v>
      </c>
      <c r="K110" s="97">
        <v>1850</v>
      </c>
      <c r="L110" s="97">
        <v>1520</v>
      </c>
      <c r="M110" s="97">
        <v>1350</v>
      </c>
      <c r="N110" s="97">
        <v>900</v>
      </c>
      <c r="O110" s="97">
        <v>370</v>
      </c>
      <c r="P110" s="98">
        <v>340</v>
      </c>
      <c r="Q110" s="10"/>
      <c r="R110" s="10"/>
    </row>
    <row r="111" spans="1:18" ht="13.5" thickBot="1" x14ac:dyDescent="0.25">
      <c r="A111" s="94" t="s">
        <v>141</v>
      </c>
      <c r="B111" s="97">
        <v>10</v>
      </c>
      <c r="C111" s="97">
        <v>0</v>
      </c>
      <c r="D111" s="97">
        <v>10</v>
      </c>
      <c r="E111" s="97">
        <v>200</v>
      </c>
      <c r="F111" s="97">
        <v>1070</v>
      </c>
      <c r="G111" s="97">
        <v>1800</v>
      </c>
      <c r="H111" s="97">
        <v>1810</v>
      </c>
      <c r="I111" s="97">
        <v>1690</v>
      </c>
      <c r="J111" s="97">
        <v>1580</v>
      </c>
      <c r="K111" s="97">
        <v>1710</v>
      </c>
      <c r="L111" s="97">
        <v>1460</v>
      </c>
      <c r="M111" s="97">
        <v>1270</v>
      </c>
      <c r="N111" s="97">
        <v>910</v>
      </c>
      <c r="O111" s="97">
        <v>380</v>
      </c>
      <c r="P111" s="98">
        <v>330</v>
      </c>
      <c r="Q111" s="10"/>
      <c r="R111" s="10"/>
    </row>
    <row r="112" spans="1:18" ht="13.5" thickBot="1" x14ac:dyDescent="0.25">
      <c r="A112" s="94" t="s">
        <v>142</v>
      </c>
      <c r="B112" s="97">
        <v>20</v>
      </c>
      <c r="C112" s="97">
        <v>0</v>
      </c>
      <c r="D112" s="97">
        <v>10</v>
      </c>
      <c r="E112" s="97">
        <v>180</v>
      </c>
      <c r="F112" s="97">
        <v>1000</v>
      </c>
      <c r="G112" s="97">
        <v>1670</v>
      </c>
      <c r="H112" s="97">
        <v>1720</v>
      </c>
      <c r="I112" s="97">
        <v>1690</v>
      </c>
      <c r="J112" s="97">
        <v>1640</v>
      </c>
      <c r="K112" s="97">
        <v>1620</v>
      </c>
      <c r="L112" s="97">
        <v>1430</v>
      </c>
      <c r="M112" s="97">
        <v>1210</v>
      </c>
      <c r="N112" s="97">
        <v>930</v>
      </c>
      <c r="O112" s="97">
        <v>340</v>
      </c>
      <c r="P112" s="98">
        <v>300</v>
      </c>
      <c r="Q112" s="10"/>
      <c r="R112" s="10"/>
    </row>
    <row r="113" spans="1:18" ht="13.5" thickBot="1" x14ac:dyDescent="0.25">
      <c r="A113" s="94" t="s">
        <v>143</v>
      </c>
      <c r="B113" s="97">
        <v>10</v>
      </c>
      <c r="C113" s="97">
        <v>0</v>
      </c>
      <c r="D113" s="97">
        <v>0</v>
      </c>
      <c r="E113" s="97">
        <v>170</v>
      </c>
      <c r="F113" s="97">
        <v>930</v>
      </c>
      <c r="G113" s="97">
        <v>1730</v>
      </c>
      <c r="H113" s="97">
        <v>1690</v>
      </c>
      <c r="I113" s="97">
        <v>1600</v>
      </c>
      <c r="J113" s="97">
        <v>1450</v>
      </c>
      <c r="K113" s="97">
        <v>1630</v>
      </c>
      <c r="L113" s="97">
        <v>1440</v>
      </c>
      <c r="M113" s="97">
        <v>1200</v>
      </c>
      <c r="N113" s="97">
        <v>840</v>
      </c>
      <c r="O113" s="97">
        <v>330</v>
      </c>
      <c r="P113" s="98">
        <v>320</v>
      </c>
      <c r="Q113" s="10"/>
      <c r="R113" s="10"/>
    </row>
    <row r="114" spans="1:18" ht="13.5" thickBot="1" x14ac:dyDescent="0.25">
      <c r="A114" s="94" t="s">
        <v>144</v>
      </c>
      <c r="B114" s="97">
        <v>10</v>
      </c>
      <c r="C114" s="97">
        <v>0</v>
      </c>
      <c r="D114" s="97">
        <v>0</v>
      </c>
      <c r="E114" s="97">
        <v>170</v>
      </c>
      <c r="F114" s="97">
        <v>850</v>
      </c>
      <c r="G114" s="97">
        <v>1610</v>
      </c>
      <c r="H114" s="97">
        <v>1570</v>
      </c>
      <c r="I114" s="97">
        <v>1530</v>
      </c>
      <c r="J114" s="97">
        <v>1450</v>
      </c>
      <c r="K114" s="97">
        <v>1580</v>
      </c>
      <c r="L114" s="97">
        <v>1390</v>
      </c>
      <c r="M114" s="97">
        <v>1170</v>
      </c>
      <c r="N114" s="97">
        <v>820</v>
      </c>
      <c r="O114" s="97">
        <v>350</v>
      </c>
      <c r="P114" s="98">
        <v>290</v>
      </c>
      <c r="Q114" s="10"/>
      <c r="R114" s="10"/>
    </row>
    <row r="115" spans="1:18" ht="13.5" thickBot="1" x14ac:dyDescent="0.25">
      <c r="A115" s="94" t="s">
        <v>145</v>
      </c>
      <c r="B115" s="97">
        <v>10</v>
      </c>
      <c r="C115" s="97">
        <v>0</v>
      </c>
      <c r="D115" s="97">
        <v>0</v>
      </c>
      <c r="E115" s="97">
        <v>150</v>
      </c>
      <c r="F115" s="97">
        <v>850</v>
      </c>
      <c r="G115" s="97">
        <v>1560</v>
      </c>
      <c r="H115" s="97">
        <v>1610</v>
      </c>
      <c r="I115" s="97">
        <v>1490</v>
      </c>
      <c r="J115" s="97">
        <v>1450</v>
      </c>
      <c r="K115" s="97">
        <v>1500</v>
      </c>
      <c r="L115" s="97">
        <v>1320</v>
      </c>
      <c r="M115" s="97">
        <v>1100</v>
      </c>
      <c r="N115" s="97">
        <v>810</v>
      </c>
      <c r="O115" s="97">
        <v>300</v>
      </c>
      <c r="P115" s="98">
        <v>280</v>
      </c>
      <c r="Q115" s="10"/>
      <c r="R115" s="10"/>
    </row>
    <row r="116" spans="1:18" ht="13.5" thickBot="1" x14ac:dyDescent="0.25">
      <c r="A116" s="94" t="s">
        <v>146</v>
      </c>
      <c r="B116" s="97">
        <v>20</v>
      </c>
      <c r="C116" s="97">
        <v>0</v>
      </c>
      <c r="D116" s="97">
        <v>10</v>
      </c>
      <c r="E116" s="97">
        <v>120</v>
      </c>
      <c r="F116" s="97">
        <v>840</v>
      </c>
      <c r="G116" s="97">
        <v>1540</v>
      </c>
      <c r="H116" s="97">
        <v>1610</v>
      </c>
      <c r="I116" s="97">
        <v>1490</v>
      </c>
      <c r="J116" s="97">
        <v>1350</v>
      </c>
      <c r="K116" s="97">
        <v>1470</v>
      </c>
      <c r="L116" s="97">
        <v>1230</v>
      </c>
      <c r="M116" s="97">
        <v>1070</v>
      </c>
      <c r="N116" s="97">
        <v>780</v>
      </c>
      <c r="O116" s="97">
        <v>320</v>
      </c>
      <c r="P116" s="98">
        <v>240</v>
      </c>
      <c r="Q116" s="10"/>
      <c r="R116" s="10"/>
    </row>
    <row r="117" spans="1:18" ht="13.5" thickBot="1" x14ac:dyDescent="0.25">
      <c r="A117" s="94" t="s">
        <v>147</v>
      </c>
      <c r="B117" s="97">
        <v>20</v>
      </c>
      <c r="C117" s="97">
        <v>0</v>
      </c>
      <c r="D117" s="97">
        <v>0</v>
      </c>
      <c r="E117" s="97">
        <v>130</v>
      </c>
      <c r="F117" s="97">
        <v>850</v>
      </c>
      <c r="G117" s="97">
        <v>1500</v>
      </c>
      <c r="H117" s="97">
        <v>1590</v>
      </c>
      <c r="I117" s="97">
        <v>1530</v>
      </c>
      <c r="J117" s="97">
        <v>1400</v>
      </c>
      <c r="K117" s="97">
        <v>1420</v>
      </c>
      <c r="L117" s="97">
        <v>1240</v>
      </c>
      <c r="M117" s="97">
        <v>1030</v>
      </c>
      <c r="N117" s="97">
        <v>750</v>
      </c>
      <c r="O117" s="97">
        <v>290</v>
      </c>
      <c r="P117" s="98">
        <v>250</v>
      </c>
      <c r="Q117" s="10"/>
      <c r="R117" s="10"/>
    </row>
    <row r="118" spans="1:18" ht="13.5" thickBot="1" x14ac:dyDescent="0.25">
      <c r="A118" s="94" t="s">
        <v>148</v>
      </c>
      <c r="B118" s="97">
        <v>20</v>
      </c>
      <c r="C118" s="97">
        <v>0</v>
      </c>
      <c r="D118" s="97">
        <v>0</v>
      </c>
      <c r="E118" s="97">
        <v>140</v>
      </c>
      <c r="F118" s="97">
        <v>830</v>
      </c>
      <c r="G118" s="97">
        <v>1490</v>
      </c>
      <c r="H118" s="97">
        <v>1630</v>
      </c>
      <c r="I118" s="97">
        <v>1450</v>
      </c>
      <c r="J118" s="97">
        <v>1430</v>
      </c>
      <c r="K118" s="97">
        <v>1460</v>
      </c>
      <c r="L118" s="97">
        <v>1220</v>
      </c>
      <c r="M118" s="97">
        <v>1040</v>
      </c>
      <c r="N118" s="97">
        <v>690</v>
      </c>
      <c r="O118" s="97">
        <v>320</v>
      </c>
      <c r="P118" s="98">
        <v>280</v>
      </c>
      <c r="Q118" s="10"/>
      <c r="R118" s="10"/>
    </row>
    <row r="119" spans="1:18" ht="13.5" thickBot="1" x14ac:dyDescent="0.25">
      <c r="A119" s="94" t="s">
        <v>149</v>
      </c>
      <c r="B119" s="97">
        <v>10</v>
      </c>
      <c r="C119" s="97">
        <v>0</v>
      </c>
      <c r="D119" s="97">
        <v>10</v>
      </c>
      <c r="E119" s="97">
        <v>120</v>
      </c>
      <c r="F119" s="97">
        <v>750</v>
      </c>
      <c r="G119" s="97">
        <v>1410</v>
      </c>
      <c r="H119" s="97">
        <v>1450</v>
      </c>
      <c r="I119" s="97">
        <v>1370</v>
      </c>
      <c r="J119" s="97">
        <v>1280</v>
      </c>
      <c r="K119" s="97">
        <v>1330</v>
      </c>
      <c r="L119" s="97">
        <v>1200</v>
      </c>
      <c r="M119" s="97">
        <v>1020</v>
      </c>
      <c r="N119" s="97">
        <v>740</v>
      </c>
      <c r="O119" s="97">
        <v>260</v>
      </c>
      <c r="P119" s="98">
        <v>230</v>
      </c>
      <c r="Q119" s="10"/>
      <c r="R119" s="10"/>
    </row>
    <row r="120" spans="1:18" ht="13.5" thickBot="1" x14ac:dyDescent="0.25">
      <c r="A120" s="94" t="s">
        <v>150</v>
      </c>
      <c r="B120" s="97">
        <v>20</v>
      </c>
      <c r="C120" s="97">
        <v>0</v>
      </c>
      <c r="D120" s="97">
        <v>0</v>
      </c>
      <c r="E120" s="97">
        <v>110</v>
      </c>
      <c r="F120" s="97">
        <v>730</v>
      </c>
      <c r="G120" s="97">
        <v>1320</v>
      </c>
      <c r="H120" s="97">
        <v>1440</v>
      </c>
      <c r="I120" s="97">
        <v>1380</v>
      </c>
      <c r="J120" s="97">
        <v>1300</v>
      </c>
      <c r="K120" s="97">
        <v>1300</v>
      </c>
      <c r="L120" s="97">
        <v>1110</v>
      </c>
      <c r="M120" s="97">
        <v>980</v>
      </c>
      <c r="N120" s="97">
        <v>750</v>
      </c>
      <c r="O120" s="97">
        <v>290</v>
      </c>
      <c r="P120" s="98">
        <v>250</v>
      </c>
      <c r="Q120" s="10"/>
      <c r="R120" s="10"/>
    </row>
    <row r="121" spans="1:18" ht="13.5" thickBot="1" x14ac:dyDescent="0.25">
      <c r="A121" s="94" t="s">
        <v>151</v>
      </c>
      <c r="B121" s="97">
        <v>20</v>
      </c>
      <c r="C121" s="97">
        <v>0</v>
      </c>
      <c r="D121" s="97">
        <v>0</v>
      </c>
      <c r="E121" s="97">
        <v>90</v>
      </c>
      <c r="F121" s="97">
        <v>670</v>
      </c>
      <c r="G121" s="97">
        <v>1360</v>
      </c>
      <c r="H121" s="97">
        <v>1390</v>
      </c>
      <c r="I121" s="97">
        <v>1340</v>
      </c>
      <c r="J121" s="97">
        <v>1220</v>
      </c>
      <c r="K121" s="97">
        <v>1310</v>
      </c>
      <c r="L121" s="97">
        <v>1050</v>
      </c>
      <c r="M121" s="97">
        <v>930</v>
      </c>
      <c r="N121" s="97">
        <v>670</v>
      </c>
      <c r="O121" s="97">
        <v>290</v>
      </c>
      <c r="P121" s="98">
        <v>250</v>
      </c>
      <c r="Q121" s="10"/>
      <c r="R121" s="10"/>
    </row>
    <row r="122" spans="1:18" ht="13.5" thickBot="1" x14ac:dyDescent="0.25">
      <c r="A122" s="94" t="s">
        <v>152</v>
      </c>
      <c r="B122" s="97">
        <v>10</v>
      </c>
      <c r="C122" s="97">
        <v>0</v>
      </c>
      <c r="D122" s="97">
        <v>0</v>
      </c>
      <c r="E122" s="97">
        <v>80</v>
      </c>
      <c r="F122" s="97">
        <v>630</v>
      </c>
      <c r="G122" s="97">
        <v>1350</v>
      </c>
      <c r="H122" s="97">
        <v>1370</v>
      </c>
      <c r="I122" s="97">
        <v>1270</v>
      </c>
      <c r="J122" s="97">
        <v>1230</v>
      </c>
      <c r="K122" s="97">
        <v>1280</v>
      </c>
      <c r="L122" s="97">
        <v>1120</v>
      </c>
      <c r="M122" s="97">
        <v>970</v>
      </c>
      <c r="N122" s="97">
        <v>700</v>
      </c>
      <c r="O122" s="97">
        <v>240</v>
      </c>
      <c r="P122" s="98">
        <v>220</v>
      </c>
      <c r="Q122" s="10"/>
      <c r="R122" s="10"/>
    </row>
    <row r="123" spans="1:18" ht="13.5" thickBot="1" x14ac:dyDescent="0.25">
      <c r="A123" s="94" t="s">
        <v>153</v>
      </c>
      <c r="B123" s="97">
        <v>10</v>
      </c>
      <c r="C123" s="97">
        <v>0</v>
      </c>
      <c r="D123" s="97">
        <v>0</v>
      </c>
      <c r="E123" s="97">
        <v>80</v>
      </c>
      <c r="F123" s="97">
        <v>640</v>
      </c>
      <c r="G123" s="97">
        <v>1240</v>
      </c>
      <c r="H123" s="97">
        <v>1370</v>
      </c>
      <c r="I123" s="97">
        <v>1310</v>
      </c>
      <c r="J123" s="97">
        <v>1190</v>
      </c>
      <c r="K123" s="97">
        <v>1240</v>
      </c>
      <c r="L123" s="97">
        <v>1090</v>
      </c>
      <c r="M123" s="97">
        <v>880</v>
      </c>
      <c r="N123" s="97">
        <v>710</v>
      </c>
      <c r="O123" s="97">
        <v>280</v>
      </c>
      <c r="P123" s="98">
        <v>220</v>
      </c>
      <c r="Q123" s="10"/>
      <c r="R123" s="10"/>
    </row>
    <row r="124" spans="1:18" ht="13.5" thickBot="1" x14ac:dyDescent="0.25">
      <c r="A124" s="94" t="s">
        <v>154</v>
      </c>
      <c r="B124" s="97">
        <v>10</v>
      </c>
      <c r="C124" s="97">
        <v>0</v>
      </c>
      <c r="D124" s="97">
        <v>10</v>
      </c>
      <c r="E124" s="97">
        <v>80</v>
      </c>
      <c r="F124" s="97">
        <v>560</v>
      </c>
      <c r="G124" s="97">
        <v>1180</v>
      </c>
      <c r="H124" s="97">
        <v>1310</v>
      </c>
      <c r="I124" s="97">
        <v>1260</v>
      </c>
      <c r="J124" s="97">
        <v>1200</v>
      </c>
      <c r="K124" s="97">
        <v>1220</v>
      </c>
      <c r="L124" s="97">
        <v>1080</v>
      </c>
      <c r="M124" s="97">
        <v>930</v>
      </c>
      <c r="N124" s="97">
        <v>630</v>
      </c>
      <c r="O124" s="97">
        <v>270</v>
      </c>
      <c r="P124" s="98">
        <v>260</v>
      </c>
      <c r="Q124" s="10"/>
      <c r="R124" s="10"/>
    </row>
    <row r="125" spans="1:18" ht="13.5" thickBot="1" x14ac:dyDescent="0.25">
      <c r="A125" s="94" t="s">
        <v>155</v>
      </c>
      <c r="B125" s="97">
        <v>10</v>
      </c>
      <c r="C125" s="97">
        <v>0</v>
      </c>
      <c r="D125" s="97">
        <v>0</v>
      </c>
      <c r="E125" s="97">
        <v>70</v>
      </c>
      <c r="F125" s="97">
        <v>590</v>
      </c>
      <c r="G125" s="97">
        <v>1130</v>
      </c>
      <c r="H125" s="97">
        <v>1290</v>
      </c>
      <c r="I125" s="97">
        <v>1210</v>
      </c>
      <c r="J125" s="97">
        <v>1140</v>
      </c>
      <c r="K125" s="97">
        <v>1160</v>
      </c>
      <c r="L125" s="97">
        <v>1030</v>
      </c>
      <c r="M125" s="97">
        <v>820</v>
      </c>
      <c r="N125" s="97">
        <v>650</v>
      </c>
      <c r="O125" s="97">
        <v>250</v>
      </c>
      <c r="P125" s="98">
        <v>200</v>
      </c>
      <c r="Q125" s="10"/>
      <c r="R125" s="10"/>
    </row>
    <row r="126" spans="1:18" ht="13.5" thickBot="1" x14ac:dyDescent="0.25">
      <c r="A126" s="94" t="s">
        <v>156</v>
      </c>
      <c r="B126" s="97">
        <v>10</v>
      </c>
      <c r="C126" s="97">
        <v>0</v>
      </c>
      <c r="D126" s="97">
        <v>0</v>
      </c>
      <c r="E126" s="97">
        <v>70</v>
      </c>
      <c r="F126" s="97">
        <v>560</v>
      </c>
      <c r="G126" s="97">
        <v>1130</v>
      </c>
      <c r="H126" s="97">
        <v>1250</v>
      </c>
      <c r="I126" s="97">
        <v>1140</v>
      </c>
      <c r="J126" s="97">
        <v>1170</v>
      </c>
      <c r="K126" s="97">
        <v>1180</v>
      </c>
      <c r="L126" s="97">
        <v>950</v>
      </c>
      <c r="M126" s="97">
        <v>790</v>
      </c>
      <c r="N126" s="97">
        <v>670</v>
      </c>
      <c r="O126" s="97">
        <v>270</v>
      </c>
      <c r="P126" s="98">
        <v>180</v>
      </c>
      <c r="Q126" s="10"/>
      <c r="R126" s="10"/>
    </row>
    <row r="127" spans="1:18" ht="13.5" thickBot="1" x14ac:dyDescent="0.25">
      <c r="A127" s="94" t="s">
        <v>157</v>
      </c>
      <c r="B127" s="97">
        <v>10</v>
      </c>
      <c r="C127" s="97">
        <v>0</v>
      </c>
      <c r="D127" s="97">
        <v>0</v>
      </c>
      <c r="E127" s="97">
        <v>70</v>
      </c>
      <c r="F127" s="97">
        <v>540</v>
      </c>
      <c r="G127" s="97">
        <v>1100</v>
      </c>
      <c r="H127" s="97">
        <v>1290</v>
      </c>
      <c r="I127" s="97">
        <v>1160</v>
      </c>
      <c r="J127" s="97">
        <v>1180</v>
      </c>
      <c r="K127" s="97">
        <v>1240</v>
      </c>
      <c r="L127" s="97">
        <v>1030</v>
      </c>
      <c r="M127" s="97">
        <v>870</v>
      </c>
      <c r="N127" s="97">
        <v>610</v>
      </c>
      <c r="O127" s="97">
        <v>240</v>
      </c>
      <c r="P127" s="98">
        <v>170</v>
      </c>
      <c r="Q127" s="10"/>
      <c r="R127" s="10"/>
    </row>
    <row r="128" spans="1:18" ht="13.5" thickBot="1" x14ac:dyDescent="0.25">
      <c r="A128" s="94" t="s">
        <v>158</v>
      </c>
      <c r="B128" s="97">
        <v>10</v>
      </c>
      <c r="C128" s="97">
        <v>0</v>
      </c>
      <c r="D128" s="97">
        <v>0</v>
      </c>
      <c r="E128" s="97">
        <v>60</v>
      </c>
      <c r="F128" s="97">
        <v>550</v>
      </c>
      <c r="G128" s="97">
        <v>1170</v>
      </c>
      <c r="H128" s="97">
        <v>1350</v>
      </c>
      <c r="I128" s="97">
        <v>1320</v>
      </c>
      <c r="J128" s="97">
        <v>1180</v>
      </c>
      <c r="K128" s="97">
        <v>1180</v>
      </c>
      <c r="L128" s="97">
        <v>1050</v>
      </c>
      <c r="M128" s="97">
        <v>900</v>
      </c>
      <c r="N128" s="97">
        <v>590</v>
      </c>
      <c r="O128" s="97">
        <v>210</v>
      </c>
      <c r="P128" s="98">
        <v>210</v>
      </c>
      <c r="Q128" s="10"/>
      <c r="R128" s="10"/>
    </row>
    <row r="129" spans="1:18" ht="13.5" thickBot="1" x14ac:dyDescent="0.25">
      <c r="A129" s="94" t="s">
        <v>159</v>
      </c>
      <c r="B129" s="97">
        <v>10</v>
      </c>
      <c r="C129" s="97">
        <v>0</v>
      </c>
      <c r="D129" s="97">
        <v>0</v>
      </c>
      <c r="E129" s="97">
        <v>50</v>
      </c>
      <c r="F129" s="97">
        <v>500</v>
      </c>
      <c r="G129" s="97">
        <v>1100</v>
      </c>
      <c r="H129" s="97">
        <v>1180</v>
      </c>
      <c r="I129" s="97">
        <v>1080</v>
      </c>
      <c r="J129" s="97">
        <v>1010</v>
      </c>
      <c r="K129" s="97">
        <v>1140</v>
      </c>
      <c r="L129" s="97">
        <v>950</v>
      </c>
      <c r="M129" s="97">
        <v>770</v>
      </c>
      <c r="N129" s="97">
        <v>610</v>
      </c>
      <c r="O129" s="97">
        <v>230</v>
      </c>
      <c r="P129" s="98">
        <v>190</v>
      </c>
      <c r="Q129" s="10"/>
      <c r="R129" s="10"/>
    </row>
    <row r="130" spans="1:18" ht="13.5" thickBot="1" x14ac:dyDescent="0.25">
      <c r="A130" s="94" t="s">
        <v>160</v>
      </c>
      <c r="B130" s="97">
        <v>10</v>
      </c>
      <c r="C130" s="97">
        <v>0</v>
      </c>
      <c r="D130" s="97">
        <v>0</v>
      </c>
      <c r="E130" s="97">
        <v>50</v>
      </c>
      <c r="F130" s="97">
        <v>490</v>
      </c>
      <c r="G130" s="97">
        <v>1000</v>
      </c>
      <c r="H130" s="97">
        <v>1160</v>
      </c>
      <c r="I130" s="97">
        <v>1070</v>
      </c>
      <c r="J130" s="97">
        <v>1050</v>
      </c>
      <c r="K130" s="97">
        <v>1070</v>
      </c>
      <c r="L130" s="97">
        <v>870</v>
      </c>
      <c r="M130" s="97">
        <v>770</v>
      </c>
      <c r="N130" s="97">
        <v>540</v>
      </c>
      <c r="O130" s="97">
        <v>220</v>
      </c>
      <c r="P130" s="98">
        <v>190</v>
      </c>
      <c r="Q130" s="10"/>
      <c r="R130" s="10"/>
    </row>
    <row r="131" spans="1:18" ht="13.5" thickBot="1" x14ac:dyDescent="0.25">
      <c r="A131" s="94" t="s">
        <v>161</v>
      </c>
      <c r="B131" s="97">
        <v>10</v>
      </c>
      <c r="C131" s="97">
        <v>0</v>
      </c>
      <c r="D131" s="97">
        <v>0</v>
      </c>
      <c r="E131" s="97">
        <v>50</v>
      </c>
      <c r="F131" s="97">
        <v>450</v>
      </c>
      <c r="G131" s="97">
        <v>1040</v>
      </c>
      <c r="H131" s="97">
        <v>1110</v>
      </c>
      <c r="I131" s="97">
        <v>1050</v>
      </c>
      <c r="J131" s="97">
        <v>970</v>
      </c>
      <c r="K131" s="97">
        <v>1010</v>
      </c>
      <c r="L131" s="97">
        <v>840</v>
      </c>
      <c r="M131" s="97">
        <v>720</v>
      </c>
      <c r="N131" s="97">
        <v>590</v>
      </c>
      <c r="O131" s="97">
        <v>230</v>
      </c>
      <c r="P131" s="98">
        <v>200</v>
      </c>
      <c r="Q131" s="10"/>
      <c r="R131" s="10"/>
    </row>
    <row r="132" spans="1:18" ht="13.5" thickBot="1" x14ac:dyDescent="0.25">
      <c r="A132" s="94" t="s">
        <v>162</v>
      </c>
      <c r="B132" s="97">
        <v>10</v>
      </c>
      <c r="C132" s="97">
        <v>0</v>
      </c>
      <c r="D132" s="97">
        <v>0</v>
      </c>
      <c r="E132" s="97">
        <v>40</v>
      </c>
      <c r="F132" s="97">
        <v>450</v>
      </c>
      <c r="G132" s="97">
        <v>980</v>
      </c>
      <c r="H132" s="97">
        <v>1120</v>
      </c>
      <c r="I132" s="97">
        <v>1040</v>
      </c>
      <c r="J132" s="97">
        <v>1010</v>
      </c>
      <c r="K132" s="97">
        <v>1040</v>
      </c>
      <c r="L132" s="97">
        <v>830</v>
      </c>
      <c r="M132" s="97">
        <v>750</v>
      </c>
      <c r="N132" s="97">
        <v>550</v>
      </c>
      <c r="O132" s="97">
        <v>200</v>
      </c>
      <c r="P132" s="98">
        <v>150</v>
      </c>
      <c r="Q132" s="10"/>
      <c r="R132" s="10"/>
    </row>
    <row r="133" spans="1:18" ht="13.5" thickBot="1" x14ac:dyDescent="0.25">
      <c r="A133" s="94" t="s">
        <v>163</v>
      </c>
      <c r="B133" s="97">
        <v>10</v>
      </c>
      <c r="C133" s="97">
        <v>0</v>
      </c>
      <c r="D133" s="97">
        <v>0</v>
      </c>
      <c r="E133" s="97">
        <v>40</v>
      </c>
      <c r="F133" s="97">
        <v>430</v>
      </c>
      <c r="G133" s="97">
        <v>980</v>
      </c>
      <c r="H133" s="97">
        <v>1100</v>
      </c>
      <c r="I133" s="97">
        <v>1070</v>
      </c>
      <c r="J133" s="97">
        <v>1020</v>
      </c>
      <c r="K133" s="97">
        <v>1020</v>
      </c>
      <c r="L133" s="97">
        <v>850</v>
      </c>
      <c r="M133" s="97">
        <v>680</v>
      </c>
      <c r="N133" s="97">
        <v>550</v>
      </c>
      <c r="O133" s="97">
        <v>220</v>
      </c>
      <c r="P133" s="98">
        <v>180</v>
      </c>
      <c r="Q133" s="10"/>
      <c r="R133" s="10"/>
    </row>
    <row r="134" spans="1:18" ht="13.5" thickBot="1" x14ac:dyDescent="0.25">
      <c r="A134" s="94" t="s">
        <v>164</v>
      </c>
      <c r="B134" s="97">
        <v>10</v>
      </c>
      <c r="C134" s="97">
        <v>0</v>
      </c>
      <c r="D134" s="97">
        <v>0</v>
      </c>
      <c r="E134" s="97">
        <v>30</v>
      </c>
      <c r="F134" s="97">
        <v>370</v>
      </c>
      <c r="G134" s="97">
        <v>900</v>
      </c>
      <c r="H134" s="97">
        <v>1060</v>
      </c>
      <c r="I134" s="97">
        <v>1050</v>
      </c>
      <c r="J134" s="97">
        <v>950</v>
      </c>
      <c r="K134" s="97">
        <v>1010</v>
      </c>
      <c r="L134" s="97">
        <v>810</v>
      </c>
      <c r="M134" s="97">
        <v>700</v>
      </c>
      <c r="N134" s="97">
        <v>510</v>
      </c>
      <c r="O134" s="97">
        <v>220</v>
      </c>
      <c r="P134" s="98">
        <v>170</v>
      </c>
      <c r="Q134" s="10"/>
      <c r="R134" s="10"/>
    </row>
    <row r="135" spans="1:18" ht="13.5" thickBot="1" x14ac:dyDescent="0.25">
      <c r="A135" s="94" t="s">
        <v>165</v>
      </c>
      <c r="B135" s="97">
        <v>10</v>
      </c>
      <c r="C135" s="97">
        <v>0</v>
      </c>
      <c r="D135" s="97">
        <v>0</v>
      </c>
      <c r="E135" s="97">
        <v>20</v>
      </c>
      <c r="F135" s="97">
        <v>390</v>
      </c>
      <c r="G135" s="97">
        <v>890</v>
      </c>
      <c r="H135" s="97">
        <v>1110</v>
      </c>
      <c r="I135" s="97">
        <v>980</v>
      </c>
      <c r="J135" s="97">
        <v>940</v>
      </c>
      <c r="K135" s="97">
        <v>900</v>
      </c>
      <c r="L135" s="97">
        <v>770</v>
      </c>
      <c r="M135" s="97">
        <v>720</v>
      </c>
      <c r="N135" s="97">
        <v>520</v>
      </c>
      <c r="O135" s="97">
        <v>190</v>
      </c>
      <c r="P135" s="98">
        <v>180</v>
      </c>
      <c r="Q135" s="10"/>
      <c r="R135" s="10"/>
    </row>
    <row r="136" spans="1:18" ht="13.5" thickBot="1" x14ac:dyDescent="0.25">
      <c r="A136" s="94" t="s">
        <v>166</v>
      </c>
      <c r="B136" s="97">
        <v>10</v>
      </c>
      <c r="C136" s="97">
        <v>0</v>
      </c>
      <c r="D136" s="97">
        <v>0</v>
      </c>
      <c r="E136" s="97">
        <v>40</v>
      </c>
      <c r="F136" s="97">
        <v>370</v>
      </c>
      <c r="G136" s="97">
        <v>940</v>
      </c>
      <c r="H136" s="97">
        <v>1020</v>
      </c>
      <c r="I136" s="97">
        <v>930</v>
      </c>
      <c r="J136" s="97">
        <v>900</v>
      </c>
      <c r="K136" s="97">
        <v>940</v>
      </c>
      <c r="L136" s="97">
        <v>800</v>
      </c>
      <c r="M136" s="97">
        <v>620</v>
      </c>
      <c r="N136" s="97">
        <v>530</v>
      </c>
      <c r="O136" s="97">
        <v>220</v>
      </c>
      <c r="P136" s="98">
        <v>180</v>
      </c>
      <c r="Q136" s="10"/>
      <c r="R136" s="10"/>
    </row>
    <row r="137" spans="1:18" ht="13.5" thickBot="1" x14ac:dyDescent="0.25">
      <c r="A137" s="94" t="s">
        <v>167</v>
      </c>
      <c r="B137" s="97">
        <v>10</v>
      </c>
      <c r="C137" s="97">
        <v>0</v>
      </c>
      <c r="D137" s="97">
        <v>0</v>
      </c>
      <c r="E137" s="97">
        <v>40</v>
      </c>
      <c r="F137" s="97">
        <v>380</v>
      </c>
      <c r="G137" s="97">
        <v>840</v>
      </c>
      <c r="H137" s="97">
        <v>1050</v>
      </c>
      <c r="I137" s="97">
        <v>940</v>
      </c>
      <c r="J137" s="97">
        <v>890</v>
      </c>
      <c r="K137" s="97">
        <v>960</v>
      </c>
      <c r="L137" s="97">
        <v>800</v>
      </c>
      <c r="M137" s="97">
        <v>640</v>
      </c>
      <c r="N137" s="97">
        <v>490</v>
      </c>
      <c r="O137" s="97">
        <v>180</v>
      </c>
      <c r="P137" s="98">
        <v>170</v>
      </c>
      <c r="Q137" s="10"/>
      <c r="R137" s="10"/>
    </row>
    <row r="138" spans="1:18" ht="13.5" thickBot="1" x14ac:dyDescent="0.25">
      <c r="A138" s="94" t="s">
        <v>168</v>
      </c>
      <c r="B138" s="97">
        <v>10</v>
      </c>
      <c r="C138" s="97">
        <v>0</v>
      </c>
      <c r="D138" s="97">
        <v>0</v>
      </c>
      <c r="E138" s="97">
        <v>40</v>
      </c>
      <c r="F138" s="97">
        <v>350</v>
      </c>
      <c r="G138" s="97">
        <v>850</v>
      </c>
      <c r="H138" s="97">
        <v>1030</v>
      </c>
      <c r="I138" s="97">
        <v>940</v>
      </c>
      <c r="J138" s="97">
        <v>900</v>
      </c>
      <c r="K138" s="97">
        <v>920</v>
      </c>
      <c r="L138" s="97">
        <v>780</v>
      </c>
      <c r="M138" s="97">
        <v>650</v>
      </c>
      <c r="N138" s="97">
        <v>480</v>
      </c>
      <c r="O138" s="97">
        <v>170</v>
      </c>
      <c r="P138" s="98">
        <v>160</v>
      </c>
      <c r="Q138" s="10"/>
      <c r="R138" s="10"/>
    </row>
    <row r="139" spans="1:18" ht="13.5" thickBot="1" x14ac:dyDescent="0.25">
      <c r="A139" s="94" t="s">
        <v>169</v>
      </c>
      <c r="B139" s="97">
        <v>10</v>
      </c>
      <c r="C139" s="97">
        <v>0</v>
      </c>
      <c r="D139" s="97">
        <v>0</v>
      </c>
      <c r="E139" s="97">
        <v>20</v>
      </c>
      <c r="F139" s="97">
        <v>350</v>
      </c>
      <c r="G139" s="97">
        <v>830</v>
      </c>
      <c r="H139" s="97">
        <v>940</v>
      </c>
      <c r="I139" s="97">
        <v>910</v>
      </c>
      <c r="J139" s="97">
        <v>820</v>
      </c>
      <c r="K139" s="97">
        <v>880</v>
      </c>
      <c r="L139" s="97">
        <v>750</v>
      </c>
      <c r="M139" s="97">
        <v>630</v>
      </c>
      <c r="N139" s="97">
        <v>490</v>
      </c>
      <c r="O139" s="97">
        <v>200</v>
      </c>
      <c r="P139" s="98">
        <v>140</v>
      </c>
      <c r="Q139" s="10"/>
      <c r="R139" s="10"/>
    </row>
    <row r="140" spans="1:18" ht="13.5" thickBot="1" x14ac:dyDescent="0.25">
      <c r="A140" s="94" t="s">
        <v>170</v>
      </c>
      <c r="B140" s="97">
        <v>10</v>
      </c>
      <c r="C140" s="97">
        <v>0</v>
      </c>
      <c r="D140" s="97">
        <v>0</v>
      </c>
      <c r="E140" s="97">
        <v>30</v>
      </c>
      <c r="F140" s="97">
        <v>290</v>
      </c>
      <c r="G140" s="97">
        <v>810</v>
      </c>
      <c r="H140" s="97">
        <v>940</v>
      </c>
      <c r="I140" s="97">
        <v>930</v>
      </c>
      <c r="J140" s="97">
        <v>850</v>
      </c>
      <c r="K140" s="97">
        <v>890</v>
      </c>
      <c r="L140" s="97">
        <v>720</v>
      </c>
      <c r="M140" s="97">
        <v>630</v>
      </c>
      <c r="N140" s="97">
        <v>500</v>
      </c>
      <c r="O140" s="97">
        <v>150</v>
      </c>
      <c r="P140" s="98">
        <v>140</v>
      </c>
      <c r="Q140" s="10"/>
      <c r="R140" s="10"/>
    </row>
    <row r="141" spans="1:18" ht="13.5" thickBot="1" x14ac:dyDescent="0.25">
      <c r="A141" s="94" t="s">
        <v>171</v>
      </c>
      <c r="B141" s="97">
        <v>10</v>
      </c>
      <c r="C141" s="97">
        <v>0</v>
      </c>
      <c r="D141" s="97">
        <v>0</v>
      </c>
      <c r="E141" s="97">
        <v>20</v>
      </c>
      <c r="F141" s="97">
        <v>310</v>
      </c>
      <c r="G141" s="97">
        <v>740</v>
      </c>
      <c r="H141" s="97">
        <v>930</v>
      </c>
      <c r="I141" s="97">
        <v>830</v>
      </c>
      <c r="J141" s="97">
        <v>790</v>
      </c>
      <c r="K141" s="97">
        <v>840</v>
      </c>
      <c r="L141" s="97">
        <v>720</v>
      </c>
      <c r="M141" s="97">
        <v>590</v>
      </c>
      <c r="N141" s="97">
        <v>430</v>
      </c>
      <c r="O141" s="97">
        <v>160</v>
      </c>
      <c r="P141" s="98">
        <v>140</v>
      </c>
      <c r="Q141" s="10"/>
      <c r="R141" s="10"/>
    </row>
    <row r="142" spans="1:18" ht="13.5" thickBot="1" x14ac:dyDescent="0.25">
      <c r="A142" s="94" t="s">
        <v>172</v>
      </c>
      <c r="B142" s="97">
        <v>10</v>
      </c>
      <c r="C142" s="97">
        <v>0</v>
      </c>
      <c r="D142" s="97">
        <v>0</v>
      </c>
      <c r="E142" s="97">
        <v>30</v>
      </c>
      <c r="F142" s="97">
        <v>270</v>
      </c>
      <c r="G142" s="97">
        <v>750</v>
      </c>
      <c r="H142" s="97">
        <v>910</v>
      </c>
      <c r="I142" s="97">
        <v>810</v>
      </c>
      <c r="J142" s="97">
        <v>800</v>
      </c>
      <c r="K142" s="97">
        <v>860</v>
      </c>
      <c r="L142" s="97">
        <v>700</v>
      </c>
      <c r="M142" s="97">
        <v>550</v>
      </c>
      <c r="N142" s="97">
        <v>500</v>
      </c>
      <c r="O142" s="97">
        <v>180</v>
      </c>
      <c r="P142" s="98">
        <v>140</v>
      </c>
      <c r="Q142" s="10"/>
      <c r="R142" s="10"/>
    </row>
    <row r="143" spans="1:18" ht="13.5" thickBot="1" x14ac:dyDescent="0.25">
      <c r="A143" s="94" t="s">
        <v>173</v>
      </c>
      <c r="B143" s="97">
        <v>10</v>
      </c>
      <c r="C143" s="97">
        <v>0</v>
      </c>
      <c r="D143" s="97">
        <v>0</v>
      </c>
      <c r="E143" s="97">
        <v>40</v>
      </c>
      <c r="F143" s="97">
        <v>290</v>
      </c>
      <c r="G143" s="97">
        <v>720</v>
      </c>
      <c r="H143" s="97">
        <v>890</v>
      </c>
      <c r="I143" s="97">
        <v>850</v>
      </c>
      <c r="J143" s="97">
        <v>780</v>
      </c>
      <c r="K143" s="97">
        <v>840</v>
      </c>
      <c r="L143" s="97">
        <v>670</v>
      </c>
      <c r="M143" s="97">
        <v>580</v>
      </c>
      <c r="N143" s="97">
        <v>420</v>
      </c>
      <c r="O143" s="97">
        <v>160</v>
      </c>
      <c r="P143" s="98">
        <v>150</v>
      </c>
      <c r="Q143" s="10"/>
      <c r="R143" s="10"/>
    </row>
    <row r="144" spans="1:18" ht="13.5" thickBot="1" x14ac:dyDescent="0.25">
      <c r="A144" s="94" t="s">
        <v>174</v>
      </c>
      <c r="B144" s="97">
        <v>10</v>
      </c>
      <c r="C144" s="97">
        <v>0</v>
      </c>
      <c r="D144" s="97">
        <v>0</v>
      </c>
      <c r="E144" s="97">
        <v>20</v>
      </c>
      <c r="F144" s="97">
        <v>250</v>
      </c>
      <c r="G144" s="97">
        <v>700</v>
      </c>
      <c r="H144" s="97">
        <v>850</v>
      </c>
      <c r="I144" s="97">
        <v>800</v>
      </c>
      <c r="J144" s="97">
        <v>750</v>
      </c>
      <c r="K144" s="97">
        <v>750</v>
      </c>
      <c r="L144" s="97">
        <v>690</v>
      </c>
      <c r="M144" s="97">
        <v>580</v>
      </c>
      <c r="N144" s="97">
        <v>410</v>
      </c>
      <c r="O144" s="97">
        <v>160</v>
      </c>
      <c r="P144" s="98">
        <v>140</v>
      </c>
      <c r="Q144" s="10"/>
      <c r="R144" s="10"/>
    </row>
    <row r="145" spans="1:18" ht="13.5" thickBot="1" x14ac:dyDescent="0.25">
      <c r="A145" s="94" t="s">
        <v>175</v>
      </c>
      <c r="B145" s="97">
        <v>10</v>
      </c>
      <c r="C145" s="97">
        <v>0</v>
      </c>
      <c r="D145" s="97">
        <v>0</v>
      </c>
      <c r="E145" s="97">
        <v>20</v>
      </c>
      <c r="F145" s="97">
        <v>240</v>
      </c>
      <c r="G145" s="97">
        <v>650</v>
      </c>
      <c r="H145" s="97">
        <v>840</v>
      </c>
      <c r="I145" s="97">
        <v>760</v>
      </c>
      <c r="J145" s="97">
        <v>720</v>
      </c>
      <c r="K145" s="97">
        <v>810</v>
      </c>
      <c r="L145" s="97">
        <v>710</v>
      </c>
      <c r="M145" s="97">
        <v>530</v>
      </c>
      <c r="N145" s="97">
        <v>370</v>
      </c>
      <c r="O145" s="97">
        <v>140</v>
      </c>
      <c r="P145" s="98">
        <v>130</v>
      </c>
      <c r="Q145" s="10"/>
      <c r="R145" s="10"/>
    </row>
    <row r="146" spans="1:18" ht="13.5" thickBot="1" x14ac:dyDescent="0.25">
      <c r="A146" s="94" t="s">
        <v>176</v>
      </c>
      <c r="B146" s="97">
        <v>0</v>
      </c>
      <c r="C146" s="97">
        <v>0</v>
      </c>
      <c r="D146" s="97">
        <v>0</v>
      </c>
      <c r="E146" s="97">
        <v>20</v>
      </c>
      <c r="F146" s="97">
        <v>250</v>
      </c>
      <c r="G146" s="97">
        <v>610</v>
      </c>
      <c r="H146" s="97">
        <v>770</v>
      </c>
      <c r="I146" s="97">
        <v>770</v>
      </c>
      <c r="J146" s="97">
        <v>770</v>
      </c>
      <c r="K146" s="97">
        <v>760</v>
      </c>
      <c r="L146" s="97">
        <v>610</v>
      </c>
      <c r="M146" s="97">
        <v>530</v>
      </c>
      <c r="N146" s="97">
        <v>390</v>
      </c>
      <c r="O146" s="97">
        <v>150</v>
      </c>
      <c r="P146" s="98">
        <v>140</v>
      </c>
      <c r="Q146" s="10"/>
      <c r="R146" s="10"/>
    </row>
    <row r="147" spans="1:18" ht="13.5" thickBot="1" x14ac:dyDescent="0.25">
      <c r="A147" s="94" t="s">
        <v>177</v>
      </c>
      <c r="B147" s="97">
        <v>10</v>
      </c>
      <c r="C147" s="97">
        <v>0</v>
      </c>
      <c r="D147" s="97">
        <v>0</v>
      </c>
      <c r="E147" s="97">
        <v>20</v>
      </c>
      <c r="F147" s="97">
        <v>230</v>
      </c>
      <c r="G147" s="97">
        <v>680</v>
      </c>
      <c r="H147" s="97">
        <v>830</v>
      </c>
      <c r="I147" s="97">
        <v>750</v>
      </c>
      <c r="J147" s="97">
        <v>740</v>
      </c>
      <c r="K147" s="97">
        <v>690</v>
      </c>
      <c r="L147" s="97">
        <v>620</v>
      </c>
      <c r="M147" s="97">
        <v>530</v>
      </c>
      <c r="N147" s="97">
        <v>350</v>
      </c>
      <c r="O147" s="97">
        <v>150</v>
      </c>
      <c r="P147" s="98">
        <v>150</v>
      </c>
      <c r="Q147" s="10"/>
      <c r="R147" s="10"/>
    </row>
    <row r="148" spans="1:18" ht="13.5" thickBot="1" x14ac:dyDescent="0.25">
      <c r="A148" s="94" t="s">
        <v>178</v>
      </c>
      <c r="B148" s="97">
        <v>10</v>
      </c>
      <c r="C148" s="97">
        <v>0</v>
      </c>
      <c r="D148" s="97">
        <v>0</v>
      </c>
      <c r="E148" s="97">
        <v>20</v>
      </c>
      <c r="F148" s="97">
        <v>260</v>
      </c>
      <c r="G148" s="97">
        <v>700</v>
      </c>
      <c r="H148" s="97">
        <v>830</v>
      </c>
      <c r="I148" s="97">
        <v>830</v>
      </c>
      <c r="J148" s="97">
        <v>770</v>
      </c>
      <c r="K148" s="97">
        <v>790</v>
      </c>
      <c r="L148" s="97">
        <v>670</v>
      </c>
      <c r="M148" s="97">
        <v>490</v>
      </c>
      <c r="N148" s="97">
        <v>400</v>
      </c>
      <c r="O148" s="97">
        <v>160</v>
      </c>
      <c r="P148" s="98">
        <v>130</v>
      </c>
      <c r="Q148" s="10"/>
      <c r="R148" s="10"/>
    </row>
    <row r="149" spans="1:18" ht="13.5" thickBot="1" x14ac:dyDescent="0.25">
      <c r="A149" s="94" t="s">
        <v>179</v>
      </c>
      <c r="B149" s="97">
        <v>10</v>
      </c>
      <c r="C149" s="97">
        <v>0</v>
      </c>
      <c r="D149" s="97">
        <v>0</v>
      </c>
      <c r="E149" s="97">
        <v>30</v>
      </c>
      <c r="F149" s="97">
        <v>220</v>
      </c>
      <c r="G149" s="97">
        <v>580</v>
      </c>
      <c r="H149" s="97">
        <v>800</v>
      </c>
      <c r="I149" s="97">
        <v>760</v>
      </c>
      <c r="J149" s="97">
        <v>720</v>
      </c>
      <c r="K149" s="97">
        <v>650</v>
      </c>
      <c r="L149" s="97">
        <v>610</v>
      </c>
      <c r="M149" s="97">
        <v>490</v>
      </c>
      <c r="N149" s="97">
        <v>350</v>
      </c>
      <c r="O149" s="97">
        <v>150</v>
      </c>
      <c r="P149" s="98">
        <v>120</v>
      </c>
      <c r="Q149" s="10"/>
      <c r="R149" s="10"/>
    </row>
    <row r="150" spans="1:18" ht="13.5" thickBot="1" x14ac:dyDescent="0.25">
      <c r="A150" s="94" t="s">
        <v>180</v>
      </c>
      <c r="B150" s="97">
        <v>10</v>
      </c>
      <c r="C150" s="97">
        <v>0</v>
      </c>
      <c r="D150" s="97">
        <v>0</v>
      </c>
      <c r="E150" s="97">
        <v>20</v>
      </c>
      <c r="F150" s="97">
        <v>200</v>
      </c>
      <c r="G150" s="97">
        <v>570</v>
      </c>
      <c r="H150" s="97">
        <v>780</v>
      </c>
      <c r="I150" s="97">
        <v>710</v>
      </c>
      <c r="J150" s="97">
        <v>700</v>
      </c>
      <c r="K150" s="97">
        <v>640</v>
      </c>
      <c r="L150" s="97">
        <v>570</v>
      </c>
      <c r="M150" s="97">
        <v>470</v>
      </c>
      <c r="N150" s="97">
        <v>360</v>
      </c>
      <c r="O150" s="97">
        <v>130</v>
      </c>
      <c r="P150" s="98">
        <v>120</v>
      </c>
      <c r="Q150" s="10"/>
      <c r="R150" s="10"/>
    </row>
    <row r="151" spans="1:18" ht="13.5" thickBot="1" x14ac:dyDescent="0.25">
      <c r="A151" s="94" t="s">
        <v>181</v>
      </c>
      <c r="B151" s="97">
        <v>10</v>
      </c>
      <c r="C151" s="97">
        <v>0</v>
      </c>
      <c r="D151" s="97">
        <v>0</v>
      </c>
      <c r="E151" s="97">
        <v>10</v>
      </c>
      <c r="F151" s="97">
        <v>210</v>
      </c>
      <c r="G151" s="97">
        <v>590</v>
      </c>
      <c r="H151" s="97">
        <v>710</v>
      </c>
      <c r="I151" s="97">
        <v>760</v>
      </c>
      <c r="J151" s="97">
        <v>620</v>
      </c>
      <c r="K151" s="97">
        <v>670</v>
      </c>
      <c r="L151" s="97">
        <v>570</v>
      </c>
      <c r="M151" s="97">
        <v>490</v>
      </c>
      <c r="N151" s="97">
        <v>350</v>
      </c>
      <c r="O151" s="97">
        <v>140</v>
      </c>
      <c r="P151" s="98">
        <v>100</v>
      </c>
      <c r="Q151" s="10"/>
      <c r="R151" s="10"/>
    </row>
    <row r="152" spans="1:18" ht="13.5" thickBot="1" x14ac:dyDescent="0.25">
      <c r="A152" s="94" t="s">
        <v>182</v>
      </c>
      <c r="B152" s="97">
        <v>10</v>
      </c>
      <c r="C152" s="97">
        <v>0</v>
      </c>
      <c r="D152" s="97">
        <v>0</v>
      </c>
      <c r="E152" s="97">
        <v>20</v>
      </c>
      <c r="F152" s="97">
        <v>200</v>
      </c>
      <c r="G152" s="97">
        <v>550</v>
      </c>
      <c r="H152" s="97">
        <v>710</v>
      </c>
      <c r="I152" s="97">
        <v>700</v>
      </c>
      <c r="J152" s="97">
        <v>700</v>
      </c>
      <c r="K152" s="97">
        <v>690</v>
      </c>
      <c r="L152" s="97">
        <v>600</v>
      </c>
      <c r="M152" s="97">
        <v>450</v>
      </c>
      <c r="N152" s="97">
        <v>350</v>
      </c>
      <c r="O152" s="97">
        <v>140</v>
      </c>
      <c r="P152" s="98">
        <v>100</v>
      </c>
      <c r="Q152" s="10"/>
      <c r="R152" s="10"/>
    </row>
    <row r="153" spans="1:18" ht="13.5" thickBot="1" x14ac:dyDescent="0.25">
      <c r="A153" s="94" t="s">
        <v>183</v>
      </c>
      <c r="B153" s="97">
        <v>10</v>
      </c>
      <c r="C153" s="97">
        <v>0</v>
      </c>
      <c r="D153" s="97">
        <v>0</v>
      </c>
      <c r="E153" s="97">
        <v>20</v>
      </c>
      <c r="F153" s="97">
        <v>180</v>
      </c>
      <c r="G153" s="97">
        <v>550</v>
      </c>
      <c r="H153" s="97">
        <v>760</v>
      </c>
      <c r="I153" s="97">
        <v>700</v>
      </c>
      <c r="J153" s="97">
        <v>680</v>
      </c>
      <c r="K153" s="97">
        <v>690</v>
      </c>
      <c r="L153" s="97">
        <v>550</v>
      </c>
      <c r="M153" s="97">
        <v>450</v>
      </c>
      <c r="N153" s="97">
        <v>310</v>
      </c>
      <c r="O153" s="97">
        <v>110</v>
      </c>
      <c r="P153" s="98">
        <v>110</v>
      </c>
      <c r="Q153" s="10"/>
      <c r="R153" s="10"/>
    </row>
    <row r="154" spans="1:18" ht="13.5" thickBot="1" x14ac:dyDescent="0.25">
      <c r="A154" s="94" t="s">
        <v>184</v>
      </c>
      <c r="B154" s="97">
        <v>0</v>
      </c>
      <c r="C154" s="97">
        <v>0</v>
      </c>
      <c r="D154" s="97">
        <v>0</v>
      </c>
      <c r="E154" s="97">
        <v>10</v>
      </c>
      <c r="F154" s="97">
        <v>180</v>
      </c>
      <c r="G154" s="97">
        <v>540</v>
      </c>
      <c r="H154" s="97">
        <v>720</v>
      </c>
      <c r="I154" s="97">
        <v>720</v>
      </c>
      <c r="J154" s="97">
        <v>610</v>
      </c>
      <c r="K154" s="97">
        <v>700</v>
      </c>
      <c r="L154" s="97">
        <v>520</v>
      </c>
      <c r="M154" s="97">
        <v>450</v>
      </c>
      <c r="N154" s="97">
        <v>330</v>
      </c>
      <c r="O154" s="97">
        <v>110</v>
      </c>
      <c r="P154" s="98">
        <v>110</v>
      </c>
      <c r="Q154" s="10"/>
      <c r="R154" s="10"/>
    </row>
    <row r="155" spans="1:18" ht="13.5" thickBot="1" x14ac:dyDescent="0.25">
      <c r="A155" s="94" t="s">
        <v>185</v>
      </c>
      <c r="B155" s="97">
        <v>10</v>
      </c>
      <c r="C155" s="97">
        <v>0</v>
      </c>
      <c r="D155" s="97">
        <v>0</v>
      </c>
      <c r="E155" s="97">
        <v>10</v>
      </c>
      <c r="F155" s="97">
        <v>160</v>
      </c>
      <c r="G155" s="97">
        <v>520</v>
      </c>
      <c r="H155" s="97">
        <v>640</v>
      </c>
      <c r="I155" s="97">
        <v>620</v>
      </c>
      <c r="J155" s="97">
        <v>670</v>
      </c>
      <c r="K155" s="97">
        <v>630</v>
      </c>
      <c r="L155" s="97">
        <v>540</v>
      </c>
      <c r="M155" s="97">
        <v>450</v>
      </c>
      <c r="N155" s="97">
        <v>340</v>
      </c>
      <c r="O155" s="97">
        <v>120</v>
      </c>
      <c r="P155" s="98">
        <v>80</v>
      </c>
      <c r="Q155" s="10"/>
      <c r="R155" s="10"/>
    </row>
    <row r="156" spans="1:18" ht="13.5" thickBot="1" x14ac:dyDescent="0.25">
      <c r="A156" s="94" t="s">
        <v>186</v>
      </c>
      <c r="B156" s="97">
        <v>10</v>
      </c>
      <c r="C156" s="97">
        <v>0</v>
      </c>
      <c r="D156" s="97">
        <v>0</v>
      </c>
      <c r="E156" s="97">
        <v>20</v>
      </c>
      <c r="F156" s="97">
        <v>170</v>
      </c>
      <c r="G156" s="97">
        <v>470</v>
      </c>
      <c r="H156" s="97">
        <v>650</v>
      </c>
      <c r="I156" s="97">
        <v>630</v>
      </c>
      <c r="J156" s="97">
        <v>560</v>
      </c>
      <c r="K156" s="97">
        <v>620</v>
      </c>
      <c r="L156" s="97">
        <v>490</v>
      </c>
      <c r="M156" s="97">
        <v>390</v>
      </c>
      <c r="N156" s="97">
        <v>320</v>
      </c>
      <c r="O156" s="97">
        <v>120</v>
      </c>
      <c r="P156" s="98">
        <v>100</v>
      </c>
      <c r="Q156" s="10"/>
      <c r="R156" s="10"/>
    </row>
    <row r="157" spans="1:18" ht="13.5" thickBot="1" x14ac:dyDescent="0.25">
      <c r="A157" s="94" t="s">
        <v>187</v>
      </c>
      <c r="B157" s="97">
        <v>0</v>
      </c>
      <c r="C157" s="97">
        <v>0</v>
      </c>
      <c r="D157" s="97">
        <v>0</v>
      </c>
      <c r="E157" s="97">
        <v>20</v>
      </c>
      <c r="F157" s="97">
        <v>180</v>
      </c>
      <c r="G157" s="97">
        <v>540</v>
      </c>
      <c r="H157" s="97">
        <v>670</v>
      </c>
      <c r="I157" s="97">
        <v>690</v>
      </c>
      <c r="J157" s="97">
        <v>640</v>
      </c>
      <c r="K157" s="97">
        <v>680</v>
      </c>
      <c r="L157" s="97">
        <v>540</v>
      </c>
      <c r="M157" s="97">
        <v>450</v>
      </c>
      <c r="N157" s="97">
        <v>300</v>
      </c>
      <c r="O157" s="97">
        <v>120</v>
      </c>
      <c r="P157" s="98">
        <v>90</v>
      </c>
      <c r="Q157" s="10"/>
      <c r="R157" s="10"/>
    </row>
    <row r="158" spans="1:18" ht="13.5" thickBot="1" x14ac:dyDescent="0.25">
      <c r="A158" s="94" t="s">
        <v>189</v>
      </c>
      <c r="B158" s="97">
        <v>10</v>
      </c>
      <c r="C158" s="97">
        <v>0</v>
      </c>
      <c r="D158" s="97">
        <v>0</v>
      </c>
      <c r="E158" s="97">
        <v>20</v>
      </c>
      <c r="F158" s="97">
        <v>170</v>
      </c>
      <c r="G158" s="97">
        <v>480</v>
      </c>
      <c r="H158" s="97">
        <v>770</v>
      </c>
      <c r="I158" s="97">
        <v>760</v>
      </c>
      <c r="J158" s="97">
        <v>720</v>
      </c>
      <c r="K158" s="97">
        <v>710</v>
      </c>
      <c r="L158" s="97">
        <v>590</v>
      </c>
      <c r="M158" s="97">
        <v>490</v>
      </c>
      <c r="N158" s="97">
        <v>340</v>
      </c>
      <c r="O158" s="97">
        <v>110</v>
      </c>
      <c r="P158" s="98">
        <v>90</v>
      </c>
      <c r="Q158" s="10"/>
      <c r="R158" s="10"/>
    </row>
    <row r="159" spans="1:18" ht="13.5" thickBot="1" x14ac:dyDescent="0.25">
      <c r="A159" s="94" t="s">
        <v>191</v>
      </c>
      <c r="B159" s="97">
        <v>10</v>
      </c>
      <c r="C159" s="97">
        <v>0</v>
      </c>
      <c r="D159" s="97">
        <v>0</v>
      </c>
      <c r="E159" s="97">
        <v>10</v>
      </c>
      <c r="F159" s="97">
        <v>150</v>
      </c>
      <c r="G159" s="97">
        <v>460</v>
      </c>
      <c r="H159" s="97">
        <v>640</v>
      </c>
      <c r="I159" s="97">
        <v>670</v>
      </c>
      <c r="J159" s="97">
        <v>540</v>
      </c>
      <c r="K159" s="97">
        <v>580</v>
      </c>
      <c r="L159" s="97">
        <v>550</v>
      </c>
      <c r="M159" s="97">
        <v>430</v>
      </c>
      <c r="N159" s="97">
        <v>300</v>
      </c>
      <c r="O159" s="97">
        <v>100</v>
      </c>
      <c r="P159" s="98">
        <v>100</v>
      </c>
      <c r="Q159" s="10"/>
      <c r="R159" s="10"/>
    </row>
    <row r="160" spans="1:18" ht="13.5" thickBot="1" x14ac:dyDescent="0.25">
      <c r="A160" s="94" t="s">
        <v>193</v>
      </c>
      <c r="B160" s="97">
        <v>10</v>
      </c>
      <c r="C160" s="97">
        <v>0</v>
      </c>
      <c r="D160" s="97">
        <v>0</v>
      </c>
      <c r="E160" s="97">
        <v>20</v>
      </c>
      <c r="F160" s="97">
        <v>140</v>
      </c>
      <c r="G160" s="97">
        <v>440</v>
      </c>
      <c r="H160" s="97">
        <v>620</v>
      </c>
      <c r="I160" s="97">
        <v>620</v>
      </c>
      <c r="J160" s="97">
        <v>580</v>
      </c>
      <c r="K160" s="97">
        <v>590</v>
      </c>
      <c r="L160" s="97">
        <v>510</v>
      </c>
      <c r="M160" s="97">
        <v>410</v>
      </c>
      <c r="N160" s="97">
        <v>300</v>
      </c>
      <c r="O160" s="97">
        <v>90</v>
      </c>
      <c r="P160" s="98">
        <v>90</v>
      </c>
      <c r="Q160" s="10"/>
      <c r="R160" s="10"/>
    </row>
    <row r="161" spans="1:18" ht="13.5" thickBot="1" x14ac:dyDescent="0.25">
      <c r="A161" s="94" t="s">
        <v>195</v>
      </c>
      <c r="B161" s="97">
        <v>10</v>
      </c>
      <c r="C161" s="97">
        <v>0</v>
      </c>
      <c r="D161" s="97">
        <v>0</v>
      </c>
      <c r="E161" s="97">
        <v>20</v>
      </c>
      <c r="F161" s="97">
        <v>140</v>
      </c>
      <c r="G161" s="97">
        <v>430</v>
      </c>
      <c r="H161" s="97">
        <v>590</v>
      </c>
      <c r="I161" s="97">
        <v>560</v>
      </c>
      <c r="J161" s="97">
        <v>550</v>
      </c>
      <c r="K161" s="97">
        <v>560</v>
      </c>
      <c r="L161" s="97">
        <v>530</v>
      </c>
      <c r="M161" s="97">
        <v>410</v>
      </c>
      <c r="N161" s="97">
        <v>280</v>
      </c>
      <c r="O161" s="97">
        <v>100</v>
      </c>
      <c r="P161" s="98">
        <v>90</v>
      </c>
      <c r="Q161" s="10"/>
      <c r="R161" s="10"/>
    </row>
    <row r="162" spans="1:18" ht="13.5" thickBot="1" x14ac:dyDescent="0.25">
      <c r="A162" s="94" t="s">
        <v>197</v>
      </c>
      <c r="B162" s="97">
        <v>0</v>
      </c>
      <c r="C162" s="97">
        <v>0</v>
      </c>
      <c r="D162" s="97">
        <v>0</v>
      </c>
      <c r="E162" s="97">
        <v>10</v>
      </c>
      <c r="F162" s="97">
        <v>120</v>
      </c>
      <c r="G162" s="97">
        <v>410</v>
      </c>
      <c r="H162" s="97">
        <v>570</v>
      </c>
      <c r="I162" s="97">
        <v>580</v>
      </c>
      <c r="J162" s="97">
        <v>530</v>
      </c>
      <c r="K162" s="97">
        <v>560</v>
      </c>
      <c r="L162" s="97">
        <v>450</v>
      </c>
      <c r="M162" s="97">
        <v>380</v>
      </c>
      <c r="N162" s="97">
        <v>300</v>
      </c>
      <c r="O162" s="97">
        <v>100</v>
      </c>
      <c r="P162" s="98">
        <v>80</v>
      </c>
      <c r="Q162" s="10"/>
      <c r="R162" s="10"/>
    </row>
    <row r="163" spans="1:18" ht="13.5" thickBot="1" x14ac:dyDescent="0.25">
      <c r="A163" s="94" t="s">
        <v>199</v>
      </c>
      <c r="B163" s="97">
        <v>0</v>
      </c>
      <c r="C163" s="97">
        <v>0</v>
      </c>
      <c r="D163" s="97">
        <v>0</v>
      </c>
      <c r="E163" s="97">
        <v>10</v>
      </c>
      <c r="F163" s="97">
        <v>120</v>
      </c>
      <c r="G163" s="97">
        <v>400</v>
      </c>
      <c r="H163" s="97">
        <v>630</v>
      </c>
      <c r="I163" s="97">
        <v>570</v>
      </c>
      <c r="J163" s="97">
        <v>560</v>
      </c>
      <c r="K163" s="97">
        <v>580</v>
      </c>
      <c r="L163" s="97">
        <v>470</v>
      </c>
      <c r="M163" s="97">
        <v>400</v>
      </c>
      <c r="N163" s="97">
        <v>300</v>
      </c>
      <c r="O163" s="97">
        <v>100</v>
      </c>
      <c r="P163" s="98">
        <v>100</v>
      </c>
      <c r="Q163" s="10"/>
      <c r="R163" s="10"/>
    </row>
    <row r="164" spans="1:18" ht="13.5" thickBot="1" x14ac:dyDescent="0.25">
      <c r="A164" s="94" t="s">
        <v>201</v>
      </c>
      <c r="B164" s="97">
        <v>10</v>
      </c>
      <c r="C164" s="97">
        <v>0</v>
      </c>
      <c r="D164" s="97">
        <v>0</v>
      </c>
      <c r="E164" s="97">
        <v>10</v>
      </c>
      <c r="F164" s="97">
        <v>120</v>
      </c>
      <c r="G164" s="97">
        <v>410</v>
      </c>
      <c r="H164" s="97">
        <v>530</v>
      </c>
      <c r="I164" s="97">
        <v>560</v>
      </c>
      <c r="J164" s="97">
        <v>530</v>
      </c>
      <c r="K164" s="97">
        <v>520</v>
      </c>
      <c r="L164" s="97">
        <v>460</v>
      </c>
      <c r="M164" s="97">
        <v>350</v>
      </c>
      <c r="N164" s="97">
        <v>260</v>
      </c>
      <c r="O164" s="97">
        <v>100</v>
      </c>
      <c r="P164" s="98">
        <v>80</v>
      </c>
      <c r="Q164" s="10"/>
      <c r="R164" s="10"/>
    </row>
    <row r="165" spans="1:18" ht="13.5" thickBot="1" x14ac:dyDescent="0.25">
      <c r="A165" s="94" t="s">
        <v>203</v>
      </c>
      <c r="B165" s="97">
        <v>10</v>
      </c>
      <c r="C165" s="97">
        <v>0</v>
      </c>
      <c r="D165" s="97">
        <v>0</v>
      </c>
      <c r="E165" s="97">
        <v>20</v>
      </c>
      <c r="F165" s="97">
        <v>110</v>
      </c>
      <c r="G165" s="97">
        <v>350</v>
      </c>
      <c r="H165" s="97">
        <v>520</v>
      </c>
      <c r="I165" s="97">
        <v>570</v>
      </c>
      <c r="J165" s="97">
        <v>520</v>
      </c>
      <c r="K165" s="97">
        <v>540</v>
      </c>
      <c r="L165" s="97">
        <v>450</v>
      </c>
      <c r="M165" s="97">
        <v>360</v>
      </c>
      <c r="N165" s="97">
        <v>290</v>
      </c>
      <c r="O165" s="97">
        <v>90</v>
      </c>
      <c r="P165" s="98">
        <v>90</v>
      </c>
      <c r="Q165" s="10"/>
      <c r="R165" s="10"/>
    </row>
    <row r="166" spans="1:18" ht="13.5" thickBot="1" x14ac:dyDescent="0.25">
      <c r="A166" s="94" t="s">
        <v>205</v>
      </c>
      <c r="B166" s="97">
        <v>10</v>
      </c>
      <c r="C166" s="97">
        <v>0</v>
      </c>
      <c r="D166" s="97">
        <v>0</v>
      </c>
      <c r="E166" s="97">
        <v>10</v>
      </c>
      <c r="F166" s="97">
        <v>100</v>
      </c>
      <c r="G166" s="97">
        <v>390</v>
      </c>
      <c r="H166" s="97">
        <v>520</v>
      </c>
      <c r="I166" s="97">
        <v>540</v>
      </c>
      <c r="J166" s="97">
        <v>500</v>
      </c>
      <c r="K166" s="97">
        <v>470</v>
      </c>
      <c r="L166" s="97">
        <v>470</v>
      </c>
      <c r="M166" s="97">
        <v>380</v>
      </c>
      <c r="N166" s="97">
        <v>280</v>
      </c>
      <c r="O166" s="97">
        <v>90</v>
      </c>
      <c r="P166" s="98">
        <v>90</v>
      </c>
      <c r="Q166" s="10"/>
      <c r="R166" s="10"/>
    </row>
    <row r="167" spans="1:18" ht="13.5" thickBot="1" x14ac:dyDescent="0.25">
      <c r="A167" s="94" t="s">
        <v>207</v>
      </c>
      <c r="B167" s="97">
        <v>10</v>
      </c>
      <c r="C167" s="97">
        <v>0</v>
      </c>
      <c r="D167" s="97">
        <v>0</v>
      </c>
      <c r="E167" s="97">
        <v>10</v>
      </c>
      <c r="F167" s="97">
        <v>100</v>
      </c>
      <c r="G167" s="97">
        <v>370</v>
      </c>
      <c r="H167" s="97">
        <v>500</v>
      </c>
      <c r="I167" s="97">
        <v>540</v>
      </c>
      <c r="J167" s="97">
        <v>490</v>
      </c>
      <c r="K167" s="97">
        <v>500</v>
      </c>
      <c r="L167" s="97">
        <v>470</v>
      </c>
      <c r="M167" s="97">
        <v>360</v>
      </c>
      <c r="N167" s="97">
        <v>240</v>
      </c>
      <c r="O167" s="97">
        <v>100</v>
      </c>
      <c r="P167" s="98">
        <v>80</v>
      </c>
      <c r="Q167" s="10"/>
      <c r="R167" s="10"/>
    </row>
    <row r="168" spans="1:18" ht="13.5" thickBot="1" x14ac:dyDescent="0.25">
      <c r="A168" s="94" t="s">
        <v>209</v>
      </c>
      <c r="B168" s="97">
        <v>0</v>
      </c>
      <c r="C168" s="97">
        <v>0</v>
      </c>
      <c r="D168" s="97">
        <v>0</v>
      </c>
      <c r="E168" s="97">
        <v>10</v>
      </c>
      <c r="F168" s="97">
        <v>110</v>
      </c>
      <c r="G168" s="97">
        <v>360</v>
      </c>
      <c r="H168" s="97">
        <v>580</v>
      </c>
      <c r="I168" s="97">
        <v>550</v>
      </c>
      <c r="J168" s="97">
        <v>530</v>
      </c>
      <c r="K168" s="97">
        <v>550</v>
      </c>
      <c r="L168" s="97">
        <v>460</v>
      </c>
      <c r="M168" s="97">
        <v>390</v>
      </c>
      <c r="N168" s="97">
        <v>260</v>
      </c>
      <c r="O168" s="97">
        <v>90</v>
      </c>
      <c r="P168" s="98">
        <v>80</v>
      </c>
      <c r="Q168" s="10"/>
      <c r="R168" s="10"/>
    </row>
    <row r="169" spans="1:18" ht="13.5" thickBot="1" x14ac:dyDescent="0.25">
      <c r="A169" s="94" t="s">
        <v>211</v>
      </c>
      <c r="B169" s="97">
        <v>10</v>
      </c>
      <c r="C169" s="97">
        <v>0</v>
      </c>
      <c r="D169" s="97">
        <v>0</v>
      </c>
      <c r="E169" s="97">
        <v>10</v>
      </c>
      <c r="F169" s="97">
        <v>110</v>
      </c>
      <c r="G169" s="97">
        <v>330</v>
      </c>
      <c r="H169" s="97">
        <v>490</v>
      </c>
      <c r="I169" s="97">
        <v>490</v>
      </c>
      <c r="J169" s="97">
        <v>510</v>
      </c>
      <c r="K169" s="97">
        <v>570</v>
      </c>
      <c r="L169" s="97">
        <v>440</v>
      </c>
      <c r="M169" s="97">
        <v>350</v>
      </c>
      <c r="N169" s="97">
        <v>250</v>
      </c>
      <c r="O169" s="97">
        <v>90</v>
      </c>
      <c r="P169" s="98">
        <v>80</v>
      </c>
      <c r="Q169" s="10"/>
      <c r="R169" s="10"/>
    </row>
    <row r="170" spans="1:18" ht="13.5" thickBot="1" x14ac:dyDescent="0.25">
      <c r="A170" s="94" t="s">
        <v>213</v>
      </c>
      <c r="B170" s="97">
        <v>0</v>
      </c>
      <c r="C170" s="97">
        <v>0</v>
      </c>
      <c r="D170" s="97">
        <v>0</v>
      </c>
      <c r="E170" s="97">
        <v>10</v>
      </c>
      <c r="F170" s="97">
        <v>110</v>
      </c>
      <c r="G170" s="97">
        <v>300</v>
      </c>
      <c r="H170" s="97">
        <v>490</v>
      </c>
      <c r="I170" s="97">
        <v>500</v>
      </c>
      <c r="J170" s="97">
        <v>470</v>
      </c>
      <c r="K170" s="97">
        <v>530</v>
      </c>
      <c r="L170" s="97">
        <v>410</v>
      </c>
      <c r="M170" s="97">
        <v>340</v>
      </c>
      <c r="N170" s="97">
        <v>230</v>
      </c>
      <c r="O170" s="97">
        <v>90</v>
      </c>
      <c r="P170" s="98">
        <v>90</v>
      </c>
      <c r="Q170" s="10"/>
      <c r="R170" s="10"/>
    </row>
    <row r="171" spans="1:18" ht="13.5" thickBot="1" x14ac:dyDescent="0.25">
      <c r="A171" s="94" t="s">
        <v>215</v>
      </c>
      <c r="B171" s="97">
        <v>0</v>
      </c>
      <c r="C171" s="97">
        <v>0</v>
      </c>
      <c r="D171" s="97">
        <v>0</v>
      </c>
      <c r="E171" s="97">
        <v>10</v>
      </c>
      <c r="F171" s="97">
        <v>90</v>
      </c>
      <c r="G171" s="97">
        <v>290</v>
      </c>
      <c r="H171" s="97">
        <v>460</v>
      </c>
      <c r="I171" s="97">
        <v>520</v>
      </c>
      <c r="J171" s="97">
        <v>490</v>
      </c>
      <c r="K171" s="97">
        <v>470</v>
      </c>
      <c r="L171" s="97">
        <v>450</v>
      </c>
      <c r="M171" s="97">
        <v>340</v>
      </c>
      <c r="N171" s="97">
        <v>240</v>
      </c>
      <c r="O171" s="97">
        <v>100</v>
      </c>
      <c r="P171" s="98">
        <v>100</v>
      </c>
      <c r="Q171" s="10"/>
      <c r="R171" s="10"/>
    </row>
    <row r="172" spans="1:18" ht="13.5" thickBot="1" x14ac:dyDescent="0.25">
      <c r="A172" s="94" t="s">
        <v>217</v>
      </c>
      <c r="B172" s="97">
        <v>10</v>
      </c>
      <c r="C172" s="97">
        <v>0</v>
      </c>
      <c r="D172" s="97">
        <v>0</v>
      </c>
      <c r="E172" s="97">
        <v>0</v>
      </c>
      <c r="F172" s="97">
        <v>90</v>
      </c>
      <c r="G172" s="97">
        <v>300</v>
      </c>
      <c r="H172" s="97">
        <v>440</v>
      </c>
      <c r="I172" s="97">
        <v>480</v>
      </c>
      <c r="J172" s="97">
        <v>460</v>
      </c>
      <c r="K172" s="97">
        <v>490</v>
      </c>
      <c r="L172" s="97">
        <v>420</v>
      </c>
      <c r="M172" s="97">
        <v>340</v>
      </c>
      <c r="N172" s="97">
        <v>220</v>
      </c>
      <c r="O172" s="97">
        <v>70</v>
      </c>
      <c r="P172" s="98">
        <v>80</v>
      </c>
      <c r="Q172" s="10"/>
      <c r="R172" s="10"/>
    </row>
    <row r="173" spans="1:18" ht="13.5" thickBot="1" x14ac:dyDescent="0.25">
      <c r="A173" s="94" t="s">
        <v>219</v>
      </c>
      <c r="B173" s="97">
        <v>0</v>
      </c>
      <c r="C173" s="97">
        <v>0</v>
      </c>
      <c r="D173" s="97">
        <v>0</v>
      </c>
      <c r="E173" s="97">
        <v>0</v>
      </c>
      <c r="F173" s="97">
        <v>90</v>
      </c>
      <c r="G173" s="97">
        <v>330</v>
      </c>
      <c r="H173" s="97">
        <v>480</v>
      </c>
      <c r="I173" s="97">
        <v>470</v>
      </c>
      <c r="J173" s="97">
        <v>510</v>
      </c>
      <c r="K173" s="97">
        <v>520</v>
      </c>
      <c r="L173" s="97">
        <v>410</v>
      </c>
      <c r="M173" s="97">
        <v>350</v>
      </c>
      <c r="N173" s="97">
        <v>220</v>
      </c>
      <c r="O173" s="97">
        <v>80</v>
      </c>
      <c r="P173" s="98">
        <v>80</v>
      </c>
      <c r="Q173" s="10"/>
      <c r="R173" s="10"/>
    </row>
    <row r="174" spans="1:18" ht="13.5" thickBot="1" x14ac:dyDescent="0.25">
      <c r="A174" s="94" t="s">
        <v>221</v>
      </c>
      <c r="B174" s="97">
        <v>10</v>
      </c>
      <c r="C174" s="97">
        <v>0</v>
      </c>
      <c r="D174" s="97">
        <v>0</v>
      </c>
      <c r="E174" s="97">
        <v>10</v>
      </c>
      <c r="F174" s="97">
        <v>90</v>
      </c>
      <c r="G174" s="97">
        <v>270</v>
      </c>
      <c r="H174" s="97">
        <v>440</v>
      </c>
      <c r="I174" s="97">
        <v>480</v>
      </c>
      <c r="J174" s="97">
        <v>440</v>
      </c>
      <c r="K174" s="97">
        <v>490</v>
      </c>
      <c r="L174" s="97">
        <v>380</v>
      </c>
      <c r="M174" s="97">
        <v>320</v>
      </c>
      <c r="N174" s="97">
        <v>220</v>
      </c>
      <c r="O174" s="97">
        <v>80</v>
      </c>
      <c r="P174" s="98">
        <v>80</v>
      </c>
      <c r="Q174" s="10"/>
      <c r="R174" s="10"/>
    </row>
    <row r="175" spans="1:18" ht="13.5" thickBot="1" x14ac:dyDescent="0.25">
      <c r="A175" s="94" t="s">
        <v>223</v>
      </c>
      <c r="B175" s="97">
        <v>10</v>
      </c>
      <c r="C175" s="97">
        <v>0</v>
      </c>
      <c r="D175" s="97">
        <v>0</v>
      </c>
      <c r="E175" s="97">
        <v>10</v>
      </c>
      <c r="F175" s="97">
        <v>90</v>
      </c>
      <c r="G175" s="97">
        <v>260</v>
      </c>
      <c r="H175" s="97">
        <v>410</v>
      </c>
      <c r="I175" s="97">
        <v>420</v>
      </c>
      <c r="J175" s="97">
        <v>440</v>
      </c>
      <c r="K175" s="97">
        <v>400</v>
      </c>
      <c r="L175" s="97">
        <v>380</v>
      </c>
      <c r="M175" s="97">
        <v>350</v>
      </c>
      <c r="N175" s="97">
        <v>210</v>
      </c>
      <c r="O175" s="97">
        <v>90</v>
      </c>
      <c r="P175" s="98">
        <v>100</v>
      </c>
      <c r="Q175" s="10"/>
      <c r="R175" s="10"/>
    </row>
    <row r="176" spans="1:18" ht="13.5" thickBot="1" x14ac:dyDescent="0.25">
      <c r="A176" s="94" t="s">
        <v>225</v>
      </c>
      <c r="B176" s="97">
        <v>10</v>
      </c>
      <c r="C176" s="97">
        <v>0</v>
      </c>
      <c r="D176" s="97">
        <v>0</v>
      </c>
      <c r="E176" s="97">
        <v>0</v>
      </c>
      <c r="F176" s="97">
        <v>80</v>
      </c>
      <c r="G176" s="97">
        <v>240</v>
      </c>
      <c r="H176" s="97">
        <v>440</v>
      </c>
      <c r="I176" s="97">
        <v>450</v>
      </c>
      <c r="J176" s="97">
        <v>430</v>
      </c>
      <c r="K176" s="97">
        <v>490</v>
      </c>
      <c r="L176" s="97">
        <v>380</v>
      </c>
      <c r="M176" s="97">
        <v>300</v>
      </c>
      <c r="N176" s="97">
        <v>240</v>
      </c>
      <c r="O176" s="97">
        <v>80</v>
      </c>
      <c r="P176" s="98">
        <v>80</v>
      </c>
      <c r="Q176" s="10"/>
      <c r="R176" s="10"/>
    </row>
    <row r="177" spans="1:18" ht="13.5" thickBot="1" x14ac:dyDescent="0.25">
      <c r="A177" s="94" t="s">
        <v>227</v>
      </c>
      <c r="B177" s="97">
        <v>10</v>
      </c>
      <c r="C177" s="97">
        <v>0</v>
      </c>
      <c r="D177" s="97">
        <v>0</v>
      </c>
      <c r="E177" s="97">
        <v>10</v>
      </c>
      <c r="F177" s="97">
        <v>60</v>
      </c>
      <c r="G177" s="97">
        <v>260</v>
      </c>
      <c r="H177" s="97">
        <v>380</v>
      </c>
      <c r="I177" s="97">
        <v>440</v>
      </c>
      <c r="J177" s="97">
        <v>450</v>
      </c>
      <c r="K177" s="97">
        <v>470</v>
      </c>
      <c r="L177" s="97">
        <v>410</v>
      </c>
      <c r="M177" s="97">
        <v>340</v>
      </c>
      <c r="N177" s="97">
        <v>200</v>
      </c>
      <c r="O177" s="97">
        <v>90</v>
      </c>
      <c r="P177" s="98">
        <v>80</v>
      </c>
      <c r="Q177" s="10"/>
      <c r="R177" s="10"/>
    </row>
    <row r="178" spans="1:18" ht="13.5" thickBot="1" x14ac:dyDescent="0.25">
      <c r="A178" s="94" t="s">
        <v>229</v>
      </c>
      <c r="B178" s="97">
        <v>10</v>
      </c>
      <c r="C178" s="97">
        <v>0</v>
      </c>
      <c r="D178" s="97">
        <v>0</v>
      </c>
      <c r="E178" s="97">
        <v>10</v>
      </c>
      <c r="F178" s="97">
        <v>60</v>
      </c>
      <c r="G178" s="97">
        <v>270</v>
      </c>
      <c r="H178" s="97">
        <v>410</v>
      </c>
      <c r="I178" s="97">
        <v>500</v>
      </c>
      <c r="J178" s="97">
        <v>450</v>
      </c>
      <c r="K178" s="97">
        <v>460</v>
      </c>
      <c r="L178" s="97">
        <v>400</v>
      </c>
      <c r="M178" s="97">
        <v>310</v>
      </c>
      <c r="N178" s="97">
        <v>200</v>
      </c>
      <c r="O178" s="97">
        <v>70</v>
      </c>
      <c r="P178" s="98">
        <v>80</v>
      </c>
      <c r="Q178" s="10"/>
      <c r="R178" s="10"/>
    </row>
    <row r="179" spans="1:18" ht="13.5" thickBot="1" x14ac:dyDescent="0.25">
      <c r="A179" s="94" t="s">
        <v>230</v>
      </c>
      <c r="B179" s="97">
        <v>10</v>
      </c>
      <c r="C179" s="97">
        <v>0</v>
      </c>
      <c r="D179" s="97">
        <v>0</v>
      </c>
      <c r="E179" s="97">
        <v>10</v>
      </c>
      <c r="F179" s="97">
        <v>60</v>
      </c>
      <c r="G179" s="97">
        <v>220</v>
      </c>
      <c r="H179" s="97">
        <v>390</v>
      </c>
      <c r="I179" s="97">
        <v>440</v>
      </c>
      <c r="J179" s="97">
        <v>410</v>
      </c>
      <c r="K179" s="97">
        <v>470</v>
      </c>
      <c r="L179" s="97">
        <v>370</v>
      </c>
      <c r="M179" s="97">
        <v>280</v>
      </c>
      <c r="N179" s="97">
        <v>190</v>
      </c>
      <c r="O179" s="97">
        <v>70</v>
      </c>
      <c r="P179" s="98">
        <v>80</v>
      </c>
      <c r="Q179" s="10"/>
      <c r="R179" s="10"/>
    </row>
    <row r="180" spans="1:18" ht="13.5" thickBot="1" x14ac:dyDescent="0.25">
      <c r="A180" s="94" t="s">
        <v>232</v>
      </c>
      <c r="B180" s="97">
        <v>10</v>
      </c>
      <c r="C180" s="97">
        <v>0</v>
      </c>
      <c r="D180" s="97">
        <v>0</v>
      </c>
      <c r="E180" s="97">
        <v>10</v>
      </c>
      <c r="F180" s="97">
        <v>60</v>
      </c>
      <c r="G180" s="97">
        <v>260</v>
      </c>
      <c r="H180" s="97">
        <v>390</v>
      </c>
      <c r="I180" s="97">
        <v>390</v>
      </c>
      <c r="J180" s="97">
        <v>400</v>
      </c>
      <c r="K180" s="97">
        <v>450</v>
      </c>
      <c r="L180" s="97">
        <v>370</v>
      </c>
      <c r="M180" s="97">
        <v>310</v>
      </c>
      <c r="N180" s="97">
        <v>250</v>
      </c>
      <c r="O180" s="97">
        <v>90</v>
      </c>
      <c r="P180" s="98">
        <v>80</v>
      </c>
      <c r="Q180" s="10"/>
      <c r="R180" s="10"/>
    </row>
    <row r="181" spans="1:18" ht="13.5" thickBot="1" x14ac:dyDescent="0.25">
      <c r="A181" s="94" t="s">
        <v>233</v>
      </c>
      <c r="B181" s="97">
        <v>10</v>
      </c>
      <c r="C181" s="97">
        <v>0</v>
      </c>
      <c r="D181" s="97">
        <v>0</v>
      </c>
      <c r="E181" s="97">
        <v>0</v>
      </c>
      <c r="F181" s="97">
        <v>60</v>
      </c>
      <c r="G181" s="97">
        <v>220</v>
      </c>
      <c r="H181" s="97">
        <v>340</v>
      </c>
      <c r="I181" s="97">
        <v>430</v>
      </c>
      <c r="J181" s="97">
        <v>430</v>
      </c>
      <c r="K181" s="97">
        <v>440</v>
      </c>
      <c r="L181" s="97">
        <v>360</v>
      </c>
      <c r="M181" s="97">
        <v>270</v>
      </c>
      <c r="N181" s="97">
        <v>200</v>
      </c>
      <c r="O181" s="97">
        <v>80</v>
      </c>
      <c r="P181" s="98">
        <v>100</v>
      </c>
      <c r="Q181" s="10"/>
      <c r="R181" s="10"/>
    </row>
    <row r="182" spans="1:18" ht="13.5" thickBot="1" x14ac:dyDescent="0.25">
      <c r="A182" s="94" t="s">
        <v>234</v>
      </c>
      <c r="B182" s="97">
        <v>10</v>
      </c>
      <c r="C182" s="97">
        <v>0</v>
      </c>
      <c r="D182" s="97">
        <v>0</v>
      </c>
      <c r="E182" s="97">
        <v>10</v>
      </c>
      <c r="F182" s="97">
        <v>60</v>
      </c>
      <c r="G182" s="97">
        <v>230</v>
      </c>
      <c r="H182" s="97">
        <v>390</v>
      </c>
      <c r="I182" s="97">
        <v>440</v>
      </c>
      <c r="J182" s="97">
        <v>460</v>
      </c>
      <c r="K182" s="97">
        <v>480</v>
      </c>
      <c r="L182" s="97">
        <v>350</v>
      </c>
      <c r="M182" s="97">
        <v>290</v>
      </c>
      <c r="N182" s="97">
        <v>230</v>
      </c>
      <c r="O182" s="97">
        <v>100</v>
      </c>
      <c r="P182" s="98">
        <v>90</v>
      </c>
      <c r="Q182" s="10"/>
      <c r="R182" s="10"/>
    </row>
    <row r="183" spans="1:18" ht="13.5" thickBot="1" x14ac:dyDescent="0.25">
      <c r="A183" s="94" t="s">
        <v>235</v>
      </c>
      <c r="B183" s="97">
        <v>10</v>
      </c>
      <c r="C183" s="97">
        <v>0</v>
      </c>
      <c r="D183" s="97">
        <v>0</v>
      </c>
      <c r="E183" s="97">
        <v>0</v>
      </c>
      <c r="F183" s="97">
        <v>70</v>
      </c>
      <c r="G183" s="97">
        <v>230</v>
      </c>
      <c r="H183" s="97">
        <v>390</v>
      </c>
      <c r="I183" s="97">
        <v>440</v>
      </c>
      <c r="J183" s="97">
        <v>470</v>
      </c>
      <c r="K183" s="97">
        <v>480</v>
      </c>
      <c r="L183" s="97">
        <v>450</v>
      </c>
      <c r="M183" s="97">
        <v>300</v>
      </c>
      <c r="N183" s="97">
        <v>230</v>
      </c>
      <c r="O183" s="97">
        <v>90</v>
      </c>
      <c r="P183" s="98">
        <v>80</v>
      </c>
      <c r="Q183" s="10"/>
      <c r="R183" s="10"/>
    </row>
    <row r="184" spans="1:18" ht="13.5" thickBot="1" x14ac:dyDescent="0.25">
      <c r="A184" s="94" t="s">
        <v>236</v>
      </c>
      <c r="B184" s="97">
        <v>0</v>
      </c>
      <c r="C184" s="97">
        <v>0</v>
      </c>
      <c r="D184" s="97">
        <v>0</v>
      </c>
      <c r="E184" s="97">
        <v>10</v>
      </c>
      <c r="F184" s="97">
        <v>70</v>
      </c>
      <c r="G184" s="97">
        <v>240</v>
      </c>
      <c r="H184" s="97">
        <v>360</v>
      </c>
      <c r="I184" s="97">
        <v>450</v>
      </c>
      <c r="J184" s="97">
        <v>470</v>
      </c>
      <c r="K184" s="97">
        <v>410</v>
      </c>
      <c r="L184" s="97">
        <v>420</v>
      </c>
      <c r="M184" s="97">
        <v>300</v>
      </c>
      <c r="N184" s="97">
        <v>240</v>
      </c>
      <c r="O184" s="97">
        <v>90</v>
      </c>
      <c r="P184" s="98">
        <v>100</v>
      </c>
      <c r="Q184" s="10"/>
      <c r="R184" s="10"/>
    </row>
    <row r="185" spans="1:18" ht="13.5" thickBot="1" x14ac:dyDescent="0.25">
      <c r="A185" s="94" t="s">
        <v>237</v>
      </c>
      <c r="B185" s="97">
        <v>10</v>
      </c>
      <c r="C185" s="97">
        <v>0</v>
      </c>
      <c r="D185" s="97">
        <v>0</v>
      </c>
      <c r="E185" s="97">
        <v>0</v>
      </c>
      <c r="F185" s="97">
        <v>50</v>
      </c>
      <c r="G185" s="97">
        <v>250</v>
      </c>
      <c r="H185" s="97">
        <v>400</v>
      </c>
      <c r="I185" s="97">
        <v>400</v>
      </c>
      <c r="J185" s="97">
        <v>420</v>
      </c>
      <c r="K185" s="97">
        <v>470</v>
      </c>
      <c r="L185" s="97">
        <v>380</v>
      </c>
      <c r="M185" s="97">
        <v>330</v>
      </c>
      <c r="N185" s="97">
        <v>210</v>
      </c>
      <c r="O185" s="97">
        <v>120</v>
      </c>
      <c r="P185" s="98">
        <v>110</v>
      </c>
      <c r="Q185" s="10"/>
      <c r="R185" s="10"/>
    </row>
    <row r="186" spans="1:18" ht="13.5" thickBot="1" x14ac:dyDescent="0.25">
      <c r="A186" s="94" t="s">
        <v>238</v>
      </c>
      <c r="B186" s="97">
        <v>10</v>
      </c>
      <c r="C186" s="97">
        <v>0</v>
      </c>
      <c r="D186" s="97">
        <v>0</v>
      </c>
      <c r="E186" s="97">
        <v>10</v>
      </c>
      <c r="F186" s="97">
        <v>70</v>
      </c>
      <c r="G186" s="97">
        <v>260</v>
      </c>
      <c r="H186" s="97">
        <v>400</v>
      </c>
      <c r="I186" s="97">
        <v>440</v>
      </c>
      <c r="J186" s="97">
        <v>460</v>
      </c>
      <c r="K186" s="97">
        <v>510</v>
      </c>
      <c r="L186" s="97">
        <v>440</v>
      </c>
      <c r="M186" s="97">
        <v>350</v>
      </c>
      <c r="N186" s="97">
        <v>230</v>
      </c>
      <c r="O186" s="97">
        <v>90</v>
      </c>
      <c r="P186" s="98">
        <v>100</v>
      </c>
      <c r="Q186" s="10"/>
      <c r="R186" s="10"/>
    </row>
    <row r="187" spans="1:18" ht="13.5" thickBot="1" x14ac:dyDescent="0.25">
      <c r="A187" s="94" t="s">
        <v>239</v>
      </c>
      <c r="B187" s="97">
        <v>40</v>
      </c>
      <c r="C187" s="97">
        <v>0</v>
      </c>
      <c r="D187" s="97">
        <v>20</v>
      </c>
      <c r="E187" s="97">
        <v>30</v>
      </c>
      <c r="F187" s="97">
        <v>130</v>
      </c>
      <c r="G187" s="97">
        <v>420</v>
      </c>
      <c r="H187" s="97">
        <v>740</v>
      </c>
      <c r="I187" s="97">
        <v>860</v>
      </c>
      <c r="J187" s="97">
        <v>850</v>
      </c>
      <c r="K187" s="97">
        <v>1030</v>
      </c>
      <c r="L187" s="97">
        <v>950</v>
      </c>
      <c r="M187" s="97">
        <v>810</v>
      </c>
      <c r="N187" s="97">
        <v>600</v>
      </c>
      <c r="O187" s="97">
        <v>310</v>
      </c>
      <c r="P187" s="98">
        <v>320</v>
      </c>
      <c r="Q187" s="10"/>
      <c r="R187" s="10"/>
    </row>
    <row r="188" spans="1:18" ht="13.5" thickBot="1" x14ac:dyDescent="0.25">
      <c r="A188" s="94" t="s">
        <v>325</v>
      </c>
      <c r="B188" s="97">
        <v>340</v>
      </c>
      <c r="C188" s="97">
        <v>10</v>
      </c>
      <c r="D188" s="97">
        <v>20</v>
      </c>
      <c r="E188" s="97">
        <v>200</v>
      </c>
      <c r="F188" s="97">
        <v>1860</v>
      </c>
      <c r="G188" s="97">
        <v>7890</v>
      </c>
      <c r="H188" s="97">
        <v>15920</v>
      </c>
      <c r="I188" s="97">
        <v>21320</v>
      </c>
      <c r="J188" s="97">
        <v>23780</v>
      </c>
      <c r="K188" s="97">
        <v>25760</v>
      </c>
      <c r="L188" s="97">
        <v>21200</v>
      </c>
      <c r="M188" s="97">
        <v>16060</v>
      </c>
      <c r="N188" s="97">
        <v>10740</v>
      </c>
      <c r="O188" s="97">
        <v>4500</v>
      </c>
      <c r="P188" s="98">
        <v>4130</v>
      </c>
      <c r="Q188" s="10"/>
      <c r="R188" s="10"/>
    </row>
    <row r="189" spans="1:18" x14ac:dyDescent="0.2">
      <c r="A189" s="99" t="s">
        <v>315</v>
      </c>
      <c r="B189" s="100">
        <f t="shared" ref="B189:P189" si="0">SUM(B6:B188)</f>
        <v>5050</v>
      </c>
      <c r="C189" s="100">
        <f t="shared" si="0"/>
        <v>206020</v>
      </c>
      <c r="D189" s="100">
        <f t="shared" si="0"/>
        <v>269190</v>
      </c>
      <c r="E189" s="100">
        <f t="shared" si="0"/>
        <v>350890</v>
      </c>
      <c r="F189" s="100">
        <f t="shared" si="0"/>
        <v>402340</v>
      </c>
      <c r="G189" s="100">
        <f t="shared" si="0"/>
        <v>450130</v>
      </c>
      <c r="H189" s="100">
        <f t="shared" si="0"/>
        <v>415610</v>
      </c>
      <c r="I189" s="100">
        <f t="shared" si="0"/>
        <v>368410</v>
      </c>
      <c r="J189" s="100">
        <f t="shared" si="0"/>
        <v>329700</v>
      </c>
      <c r="K189" s="100">
        <f t="shared" si="0"/>
        <v>345200</v>
      </c>
      <c r="L189" s="100">
        <f t="shared" si="0"/>
        <v>321380</v>
      </c>
      <c r="M189" s="100">
        <f>SUM(M6:M188)</f>
        <v>315290</v>
      </c>
      <c r="N189" s="100">
        <f t="shared" si="0"/>
        <v>274900</v>
      </c>
      <c r="O189" s="100">
        <f t="shared" si="0"/>
        <v>228920</v>
      </c>
      <c r="P189" s="100">
        <f t="shared" si="0"/>
        <v>411850</v>
      </c>
      <c r="Q189" s="6"/>
      <c r="R189" s="101"/>
    </row>
    <row r="190" spans="1:18" x14ac:dyDescent="0.2">
      <c r="R190" s="101"/>
    </row>
  </sheetData>
  <mergeCells count="1">
    <mergeCell ref="B3:P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6B01-0B67-4DAA-840D-36BE2F7F5B5F}">
  <dimension ref="A1:Z224"/>
  <sheetViews>
    <sheetView workbookViewId="0">
      <selection activeCell="R186" sqref="R186:Y186"/>
    </sheetView>
  </sheetViews>
  <sheetFormatPr defaultRowHeight="12.75" x14ac:dyDescent="0.2"/>
  <cols>
    <col min="1" max="1" width="23.7109375" style="48" customWidth="1"/>
    <col min="6" max="8" width="9.5703125" bestFit="1" customWidth="1"/>
    <col min="9" max="9" width="9.5703125" customWidth="1"/>
    <col min="10" max="12" width="9.5703125" bestFit="1" customWidth="1"/>
    <col min="17" max="17" width="24.28515625" customWidth="1"/>
  </cols>
  <sheetData>
    <row r="1" spans="1:26" x14ac:dyDescent="0.2">
      <c r="B1" s="125" t="s">
        <v>307</v>
      </c>
      <c r="C1" s="125"/>
      <c r="D1" s="125"/>
      <c r="E1" s="125"/>
      <c r="F1" s="125" t="s">
        <v>308</v>
      </c>
      <c r="G1" s="125"/>
      <c r="H1" s="125"/>
      <c r="I1" s="125"/>
      <c r="J1" s="125" t="s">
        <v>309</v>
      </c>
      <c r="K1" s="125"/>
      <c r="L1" s="125"/>
      <c r="M1" s="125"/>
      <c r="Q1" t="s">
        <v>29</v>
      </c>
      <c r="R1" s="86" t="s">
        <v>316</v>
      </c>
    </row>
    <row r="2" spans="1:26" x14ac:dyDescent="0.2">
      <c r="A2" s="49" t="s">
        <v>310</v>
      </c>
      <c r="B2">
        <v>2004</v>
      </c>
      <c r="C2">
        <v>2014</v>
      </c>
      <c r="D2">
        <v>2023</v>
      </c>
      <c r="E2">
        <v>2024</v>
      </c>
      <c r="F2">
        <v>2004</v>
      </c>
      <c r="G2">
        <v>2014</v>
      </c>
      <c r="H2">
        <v>2023</v>
      </c>
      <c r="I2">
        <v>2024</v>
      </c>
      <c r="J2">
        <v>2004</v>
      </c>
      <c r="K2">
        <v>2014</v>
      </c>
      <c r="L2">
        <v>2023</v>
      </c>
      <c r="M2">
        <v>2024</v>
      </c>
      <c r="Q2" t="s">
        <v>34</v>
      </c>
      <c r="R2" s="86" t="s">
        <v>306</v>
      </c>
      <c r="S2" s="86" t="s">
        <v>318</v>
      </c>
      <c r="T2" s="86" t="s">
        <v>319</v>
      </c>
      <c r="U2" s="86" t="s">
        <v>320</v>
      </c>
      <c r="V2" s="86" t="s">
        <v>321</v>
      </c>
      <c r="W2" s="86" t="s">
        <v>322</v>
      </c>
      <c r="X2" s="86" t="s">
        <v>323</v>
      </c>
      <c r="Y2" s="86" t="s">
        <v>324</v>
      </c>
      <c r="Z2" s="86"/>
    </row>
    <row r="3" spans="1:26" x14ac:dyDescent="0.2">
      <c r="A3" s="50">
        <v>0</v>
      </c>
      <c r="B3" s="1"/>
      <c r="C3" s="1"/>
      <c r="D3" s="1"/>
      <c r="E3" s="1"/>
      <c r="Q3" t="s">
        <v>35</v>
      </c>
      <c r="R3">
        <f>'Age by income band distribution'!B6</f>
        <v>290</v>
      </c>
      <c r="S3">
        <f>'Age by income band distribution'!C6</f>
        <v>2060</v>
      </c>
      <c r="T3">
        <f>'Age by income band distribution'!D6+'Age by income band distribution'!E6</f>
        <v>1390</v>
      </c>
      <c r="U3">
        <f>'Age by income band distribution'!F6+'Age by income band distribution'!G6</f>
        <v>8090</v>
      </c>
      <c r="V3">
        <f>'Age by income band distribution'!H6+'Age by income band distribution'!I6</f>
        <v>12680</v>
      </c>
      <c r="W3">
        <f>'Age by income band distribution'!J6+'Age by income band distribution'!K6</f>
        <v>10850</v>
      </c>
      <c r="X3">
        <f>'Age by income band distribution'!L6+'Age by income band distribution'!M6</f>
        <v>11850</v>
      </c>
      <c r="Y3">
        <f>'Age by income band distribution'!N6+'Age by income band distribution'!O6+'Age by income band distribution'!P6</f>
        <v>7610</v>
      </c>
    </row>
    <row r="4" spans="1:26" x14ac:dyDescent="0.2">
      <c r="A4" s="50">
        <v>1000</v>
      </c>
      <c r="B4" s="1">
        <f>'Income tables 2001-24'!K10</f>
        <v>101730</v>
      </c>
      <c r="C4" s="1">
        <f>'Income tables 2001-24'!AP10</f>
        <v>83060</v>
      </c>
      <c r="D4" s="1">
        <f>'Income tables 2001-24'!BR10</f>
        <v>112490</v>
      </c>
      <c r="E4" s="1">
        <f>'Income tables 2001-24'!BU10</f>
        <v>136970</v>
      </c>
      <c r="F4" s="52">
        <f>'Income tables 2001-24'!L10</f>
        <v>46.9</v>
      </c>
      <c r="G4" s="52">
        <f>'Income tables 2001-24'!AQ10</f>
        <v>39.700000000000003</v>
      </c>
      <c r="H4" s="52">
        <f>'Income tables 2001-24'!BS10</f>
        <v>47.12</v>
      </c>
      <c r="I4" s="52">
        <f>'Income tables 2001-24'!BV10</f>
        <v>55.76</v>
      </c>
      <c r="J4" s="52">
        <f>'Income tables 2001-24'!M10</f>
        <v>6.2</v>
      </c>
      <c r="K4" s="52">
        <f>'Income tables 2001-24'!AR10</f>
        <v>4.2</v>
      </c>
      <c r="L4" s="52">
        <f>'Income tables 2001-24'!BT10</f>
        <v>4.9453851599999998</v>
      </c>
      <c r="M4" s="52">
        <f>'Income tables 2001-24'!BW10</f>
        <v>5.8526859299999998</v>
      </c>
      <c r="Q4" t="s">
        <v>36</v>
      </c>
      <c r="R4">
        <f>'Age by income band distribution'!B7</f>
        <v>240</v>
      </c>
      <c r="S4">
        <f>'Age by income band distribution'!C7</f>
        <v>140490</v>
      </c>
      <c r="T4">
        <f>'Age by income band distribution'!D7+'Age by income band distribution'!E7</f>
        <v>51440</v>
      </c>
      <c r="U4">
        <f>'Age by income band distribution'!F7+'Age by income band distribution'!G7</f>
        <v>39630</v>
      </c>
      <c r="V4">
        <f>'Age by income band distribution'!H7+'Age by income band distribution'!I7</f>
        <v>40900</v>
      </c>
      <c r="W4">
        <f>'Age by income band distribution'!J7+'Age by income band distribution'!K7</f>
        <v>25710</v>
      </c>
      <c r="X4">
        <f>'Age by income band distribution'!L7+'Age by income band distribution'!M7</f>
        <v>20330</v>
      </c>
      <c r="Y4">
        <f>'Age by income band distribution'!N7+'Age by income band distribution'!O7+'Age by income band distribution'!P7</f>
        <v>12290</v>
      </c>
    </row>
    <row r="5" spans="1:26" x14ac:dyDescent="0.2">
      <c r="A5" s="50">
        <v>2000</v>
      </c>
      <c r="B5" s="1">
        <f>'Income tables 2001-24'!K11</f>
        <v>69610</v>
      </c>
      <c r="C5" s="1">
        <f>'Income tables 2001-24'!AP11</f>
        <v>58080</v>
      </c>
      <c r="D5" s="1">
        <f>'Income tables 2001-24'!BR11</f>
        <v>49700</v>
      </c>
      <c r="E5" s="1">
        <f>'Income tables 2001-24'!BU11</f>
        <v>53720</v>
      </c>
      <c r="F5" s="52">
        <f>'Income tables 2001-24'!L11</f>
        <v>103.4</v>
      </c>
      <c r="G5" s="52">
        <f>'Income tables 2001-24'!AQ11</f>
        <v>86.5</v>
      </c>
      <c r="H5" s="52">
        <f>'Income tables 2001-24'!BS11</f>
        <v>72.19</v>
      </c>
      <c r="I5" s="52">
        <f>'Income tables 2001-24'!BV11</f>
        <v>77.709999999999994</v>
      </c>
      <c r="J5" s="52">
        <f>'Income tables 2001-24'!M11</f>
        <v>13.9</v>
      </c>
      <c r="K5" s="52">
        <f>'Income tables 2001-24'!AR11</f>
        <v>9.1</v>
      </c>
      <c r="L5" s="52">
        <f>'Income tables 2001-24'!BT11</f>
        <v>7.5764594599999997</v>
      </c>
      <c r="M5" s="52">
        <f>'Income tables 2001-24'!BW11</f>
        <v>8.1575698499999998</v>
      </c>
      <c r="Q5" t="s">
        <v>38</v>
      </c>
      <c r="R5">
        <f>'Age by income band distribution'!B8</f>
        <v>150</v>
      </c>
      <c r="S5">
        <f>'Age by income band distribution'!C8</f>
        <v>46320</v>
      </c>
      <c r="T5">
        <f>'Age by income band distribution'!D8+'Age by income band distribution'!E8</f>
        <v>30190</v>
      </c>
      <c r="U5">
        <f>'Age by income band distribution'!F8+'Age by income band distribution'!G8</f>
        <v>16930</v>
      </c>
      <c r="V5">
        <f>'Age by income band distribution'!H8+'Age by income band distribution'!I8</f>
        <v>15400</v>
      </c>
      <c r="W5">
        <f>'Age by income band distribution'!J8+'Age by income band distribution'!K8</f>
        <v>10450</v>
      </c>
      <c r="X5">
        <f>'Age by income band distribution'!L8+'Age by income band distribution'!M8</f>
        <v>11210</v>
      </c>
      <c r="Y5">
        <f>'Age by income band distribution'!N8+'Age by income band distribution'!O8+'Age by income band distribution'!P8</f>
        <v>6330</v>
      </c>
    </row>
    <row r="6" spans="1:26" x14ac:dyDescent="0.2">
      <c r="A6" s="50">
        <v>3000</v>
      </c>
      <c r="B6" s="1">
        <f>'Income tables 2001-24'!K12</f>
        <v>60660</v>
      </c>
      <c r="C6" s="1">
        <f>'Income tables 2001-24'!AP12</f>
        <v>46360</v>
      </c>
      <c r="D6" s="1">
        <f>'Income tables 2001-24'!BR12</f>
        <v>37290</v>
      </c>
      <c r="E6" s="1">
        <f>'Income tables 2001-24'!BU12</f>
        <v>38310</v>
      </c>
      <c r="F6" s="52">
        <f>'Income tables 2001-24'!L12</f>
        <v>150.9</v>
      </c>
      <c r="G6" s="52">
        <f>'Income tables 2001-24'!AQ12</f>
        <v>115.7</v>
      </c>
      <c r="H6" s="52">
        <f>'Income tables 2001-24'!BS12</f>
        <v>92.73</v>
      </c>
      <c r="I6" s="52">
        <f>'Income tables 2001-24'!BV12</f>
        <v>95</v>
      </c>
      <c r="J6" s="52">
        <f>'Income tables 2001-24'!M12</f>
        <v>21.2</v>
      </c>
      <c r="K6" s="52">
        <f>'Income tables 2001-24'!AR12</f>
        <v>12.1</v>
      </c>
      <c r="L6" s="52">
        <f>'Income tables 2001-24'!BT12</f>
        <v>9.7348546500000008</v>
      </c>
      <c r="M6" s="52">
        <f>'Income tables 2001-24'!BW12</f>
        <v>9.9725450599999999</v>
      </c>
      <c r="Q6" t="s">
        <v>39</v>
      </c>
      <c r="R6">
        <f>'Age by income band distribution'!B9</f>
        <v>40</v>
      </c>
      <c r="S6">
        <f>'Age by income band distribution'!C9</f>
        <v>8000</v>
      </c>
      <c r="T6">
        <f>'Age by income band distribution'!D9+'Age by income band distribution'!E9</f>
        <v>18360</v>
      </c>
      <c r="U6">
        <f>'Age by income band distribution'!F9+'Age by income band distribution'!G9</f>
        <v>8100</v>
      </c>
      <c r="V6">
        <f>'Age by income band distribution'!H9+'Age by income band distribution'!I9</f>
        <v>6380</v>
      </c>
      <c r="W6">
        <f>'Age by income band distribution'!J9+'Age by income band distribution'!K9</f>
        <v>4390</v>
      </c>
      <c r="X6">
        <f>'Age by income band distribution'!L9+'Age by income band distribution'!M9</f>
        <v>5050</v>
      </c>
      <c r="Y6">
        <f>'Age by income band distribution'!N9+'Age by income band distribution'!O9+'Age by income band distribution'!P9</f>
        <v>3410</v>
      </c>
    </row>
    <row r="7" spans="1:26" x14ac:dyDescent="0.2">
      <c r="A7" s="50">
        <v>4000</v>
      </c>
      <c r="B7" s="1">
        <f>'Income tables 2001-24'!K13</f>
        <v>55380</v>
      </c>
      <c r="C7" s="1">
        <f>'Income tables 2001-24'!AP13</f>
        <v>42390</v>
      </c>
      <c r="D7" s="1">
        <f>'Income tables 2001-24'!BR13</f>
        <v>31960</v>
      </c>
      <c r="E7" s="1">
        <f>'Income tables 2001-24'!BU13</f>
        <v>33200</v>
      </c>
      <c r="F7" s="52">
        <f>'Income tables 2001-24'!L13</f>
        <v>193.9</v>
      </c>
      <c r="G7" s="52">
        <f>'Income tables 2001-24'!AQ13</f>
        <v>148.4</v>
      </c>
      <c r="H7" s="52">
        <f>'Income tables 2001-24'!BS13</f>
        <v>111.58</v>
      </c>
      <c r="I7" s="52">
        <f>'Income tables 2001-24'!BV13</f>
        <v>115.89</v>
      </c>
      <c r="J7" s="52">
        <f>'Income tables 2001-24'!M13</f>
        <v>27.5</v>
      </c>
      <c r="K7" s="52">
        <f>'Income tables 2001-24'!AR13</f>
        <v>15.6</v>
      </c>
      <c r="L7" s="52">
        <f>'Income tables 2001-24'!BT13</f>
        <v>11.71420591</v>
      </c>
      <c r="M7" s="52">
        <f>'Income tables 2001-24'!BW13</f>
        <v>12.16565151</v>
      </c>
      <c r="Q7" t="s">
        <v>40</v>
      </c>
      <c r="R7">
        <f>'Age by income band distribution'!B10</f>
        <v>30</v>
      </c>
      <c r="S7">
        <f>'Age by income band distribution'!C10</f>
        <v>2620</v>
      </c>
      <c r="T7">
        <f>'Age by income band distribution'!D10+'Age by income band distribution'!E10</f>
        <v>14810</v>
      </c>
      <c r="U7">
        <f>'Age by income band distribution'!F10+'Age by income band distribution'!G10</f>
        <v>6340</v>
      </c>
      <c r="V7">
        <f>'Age by income band distribution'!H10+'Age by income band distribution'!I10</f>
        <v>4740</v>
      </c>
      <c r="W7">
        <f>'Age by income band distribution'!J10+'Age by income band distribution'!K10</f>
        <v>3220</v>
      </c>
      <c r="X7">
        <f>'Age by income band distribution'!L10+'Age by income band distribution'!M10</f>
        <v>3880</v>
      </c>
      <c r="Y7">
        <f>'Age by income band distribution'!N10+'Age by income band distribution'!O10+'Age by income band distribution'!P10</f>
        <v>2680</v>
      </c>
    </row>
    <row r="8" spans="1:26" x14ac:dyDescent="0.2">
      <c r="A8" s="50">
        <v>5000</v>
      </c>
      <c r="B8" s="1">
        <f>'Income tables 2001-24'!K14</f>
        <v>52620</v>
      </c>
      <c r="C8" s="1">
        <f>'Income tables 2001-24'!AP14</f>
        <v>39930</v>
      </c>
      <c r="D8" s="1">
        <f>'Income tables 2001-24'!BR14</f>
        <v>30670</v>
      </c>
      <c r="E8" s="1">
        <f>'Income tables 2001-24'!BU14</f>
        <v>30890</v>
      </c>
      <c r="F8" s="52">
        <f>'Income tables 2001-24'!L14</f>
        <v>236.6</v>
      </c>
      <c r="G8" s="52">
        <f>'Income tables 2001-24'!AQ14</f>
        <v>179.9</v>
      </c>
      <c r="H8" s="52">
        <f>'Income tables 2001-24'!BS14</f>
        <v>137.96</v>
      </c>
      <c r="I8" s="52">
        <f>'Income tables 2001-24'!BV14</f>
        <v>138.84</v>
      </c>
      <c r="J8" s="52">
        <f>'Income tables 2001-24'!M14</f>
        <v>34.200000000000003</v>
      </c>
      <c r="K8" s="52">
        <f>'Income tables 2001-24'!AR14</f>
        <v>18.899999999999999</v>
      </c>
      <c r="L8" s="52">
        <f>'Income tables 2001-24'!BT14</f>
        <v>14.48413457</v>
      </c>
      <c r="M8" s="52">
        <f>'Income tables 2001-24'!BW14</f>
        <v>14.575736800000001</v>
      </c>
      <c r="Q8" t="s">
        <v>41</v>
      </c>
      <c r="R8">
        <f>'Age by income band distribution'!B11</f>
        <v>20</v>
      </c>
      <c r="S8">
        <f>'Age by income band distribution'!C11</f>
        <v>1360</v>
      </c>
      <c r="T8">
        <f>'Age by income band distribution'!D11+'Age by income band distribution'!E11</f>
        <v>13420</v>
      </c>
      <c r="U8">
        <f>'Age by income band distribution'!F11+'Age by income band distribution'!G11</f>
        <v>5760</v>
      </c>
      <c r="V8">
        <f>'Age by income band distribution'!H11+'Age by income band distribution'!I11</f>
        <v>3980</v>
      </c>
      <c r="W8">
        <f>'Age by income band distribution'!J11+'Age by income band distribution'!K11</f>
        <v>2840</v>
      </c>
      <c r="X8">
        <f>'Age by income band distribution'!L11+'Age by income band distribution'!M11</f>
        <v>3370</v>
      </c>
      <c r="Y8">
        <f>'Age by income band distribution'!N11+'Age by income band distribution'!O11+'Age by income band distribution'!P11</f>
        <v>2460</v>
      </c>
    </row>
    <row r="9" spans="1:26" x14ac:dyDescent="0.2">
      <c r="A9" s="50">
        <v>6000</v>
      </c>
      <c r="B9" s="1">
        <f>'Income tables 2001-24'!K15</f>
        <v>50480</v>
      </c>
      <c r="C9" s="1">
        <f>'Income tables 2001-24'!AP15</f>
        <v>42470</v>
      </c>
      <c r="D9" s="1">
        <f>'Income tables 2001-24'!BR15</f>
        <v>29310</v>
      </c>
      <c r="E9" s="1">
        <f>'Income tables 2001-24'!BU15</f>
        <v>29510</v>
      </c>
      <c r="F9" s="52">
        <f>'Income tables 2001-24'!L15</f>
        <v>277.39999999999998</v>
      </c>
      <c r="G9" s="52">
        <f>'Income tables 2001-24'!AQ15</f>
        <v>233.7</v>
      </c>
      <c r="H9" s="52">
        <f>'Income tables 2001-24'!BS15</f>
        <v>161.08000000000001</v>
      </c>
      <c r="I9" s="52">
        <f>'Income tables 2001-24'!BV15</f>
        <v>162.21</v>
      </c>
      <c r="J9" s="52">
        <f>'Income tables 2001-24'!M15</f>
        <v>40.200000000000003</v>
      </c>
      <c r="K9" s="52">
        <f>'Income tables 2001-24'!AR15</f>
        <v>24.5</v>
      </c>
      <c r="L9" s="52">
        <f>'Income tables 2001-24'!BT15</f>
        <v>16.910683379999998</v>
      </c>
      <c r="M9" s="52">
        <f>'Income tables 2001-24'!BW15</f>
        <v>17.029921949999999</v>
      </c>
      <c r="Q9" t="s">
        <v>42</v>
      </c>
      <c r="R9">
        <f>'Age by income band distribution'!B12</f>
        <v>10</v>
      </c>
      <c r="S9">
        <f>'Age by income band distribution'!C12</f>
        <v>920</v>
      </c>
      <c r="T9">
        <f>'Age by income band distribution'!D12+'Age by income band distribution'!E12</f>
        <v>12740</v>
      </c>
      <c r="U9">
        <f>'Age by income band distribution'!F12+'Age by income band distribution'!G12</f>
        <v>5410</v>
      </c>
      <c r="V9">
        <f>'Age by income band distribution'!H12+'Age by income band distribution'!I12</f>
        <v>3780</v>
      </c>
      <c r="W9">
        <f>'Age by income band distribution'!J12+'Age by income band distribution'!K12</f>
        <v>2510</v>
      </c>
      <c r="X9">
        <f>'Age by income band distribution'!L12+'Age by income band distribution'!M12</f>
        <v>3100</v>
      </c>
      <c r="Y9">
        <f>'Age by income band distribution'!N12+'Age by income band distribution'!O12+'Age by income band distribution'!P12</f>
        <v>2410</v>
      </c>
    </row>
    <row r="10" spans="1:26" x14ac:dyDescent="0.2">
      <c r="A10" s="50">
        <v>7000</v>
      </c>
      <c r="B10" s="1">
        <f>'Income tables 2001-24'!K16</f>
        <v>48990</v>
      </c>
      <c r="C10" s="1">
        <f>'Income tables 2001-24'!AP16</f>
        <v>42340</v>
      </c>
      <c r="D10" s="1">
        <f>'Income tables 2001-24'!BR16</f>
        <v>28580</v>
      </c>
      <c r="E10" s="1">
        <f>'Income tables 2001-24'!BU16</f>
        <v>28180</v>
      </c>
      <c r="F10" s="52">
        <f>'Income tables 2001-24'!L16</f>
        <v>318.39999999999998</v>
      </c>
      <c r="G10" s="52">
        <f>'Income tables 2001-24'!AQ16</f>
        <v>275.39999999999998</v>
      </c>
      <c r="H10" s="52">
        <f>'Income tables 2001-24'!BS16</f>
        <v>185.82</v>
      </c>
      <c r="I10" s="52">
        <f>'Income tables 2001-24'!BV16</f>
        <v>183.06</v>
      </c>
      <c r="J10" s="52">
        <f>'Income tables 2001-24'!M16</f>
        <v>46.7</v>
      </c>
      <c r="K10" s="52">
        <f>'Income tables 2001-24'!AR16</f>
        <v>28.9</v>
      </c>
      <c r="L10" s="52">
        <f>'Income tables 2001-24'!BT16</f>
        <v>19.5065797</v>
      </c>
      <c r="M10" s="52">
        <f>'Income tables 2001-24'!BW16</f>
        <v>19.219653640000001</v>
      </c>
      <c r="Q10" t="s">
        <v>43</v>
      </c>
      <c r="R10">
        <f>'Age by income band distribution'!B13</f>
        <v>20</v>
      </c>
      <c r="S10">
        <f>'Age by income band distribution'!C13</f>
        <v>660</v>
      </c>
      <c r="T10">
        <f>'Age by income band distribution'!D13+'Age by income band distribution'!E13</f>
        <v>12390</v>
      </c>
      <c r="U10">
        <f>'Age by income band distribution'!F13+'Age by income band distribution'!G13</f>
        <v>5250</v>
      </c>
      <c r="V10">
        <f>'Age by income band distribution'!H13+'Age by income band distribution'!I13</f>
        <v>3580</v>
      </c>
      <c r="W10">
        <f>'Age by income band distribution'!J13+'Age by income band distribution'!K13</f>
        <v>2380</v>
      </c>
      <c r="X10">
        <f>'Age by income band distribution'!L13+'Age by income band distribution'!M13</f>
        <v>2940</v>
      </c>
      <c r="Y10">
        <f>'Age by income band distribution'!N13+'Age by income band distribution'!O13+'Age by income band distribution'!P13</f>
        <v>2290</v>
      </c>
    </row>
    <row r="11" spans="1:26" x14ac:dyDescent="0.2">
      <c r="A11" s="50">
        <v>8000</v>
      </c>
      <c r="B11" s="1">
        <f>'Income tables 2001-24'!K17</f>
        <v>49790</v>
      </c>
      <c r="C11" s="1">
        <f>'Income tables 2001-24'!AP17</f>
        <v>42630</v>
      </c>
      <c r="D11" s="1">
        <f>'Income tables 2001-24'!BR17</f>
        <v>27550</v>
      </c>
      <c r="E11" s="1">
        <f>'Income tables 2001-24'!BU17</f>
        <v>27930</v>
      </c>
      <c r="F11" s="52">
        <f>'Income tables 2001-24'!L17</f>
        <v>373.3</v>
      </c>
      <c r="G11" s="52">
        <f>'Income tables 2001-24'!AQ17</f>
        <v>319.60000000000002</v>
      </c>
      <c r="H11" s="52">
        <f>'Income tables 2001-24'!BS17</f>
        <v>206.76</v>
      </c>
      <c r="I11" s="52">
        <f>'Income tables 2001-24'!BV17</f>
        <v>209.48</v>
      </c>
      <c r="J11" s="52">
        <f>'Income tables 2001-24'!M17</f>
        <v>55.7</v>
      </c>
      <c r="K11" s="52">
        <f>'Income tables 2001-24'!AR17</f>
        <v>33.5</v>
      </c>
      <c r="L11" s="52">
        <f>'Income tables 2001-24'!BT17</f>
        <v>21.70656687</v>
      </c>
      <c r="M11" s="52">
        <f>'Income tables 2001-24'!BW17</f>
        <v>21.99284557</v>
      </c>
      <c r="Q11" t="s">
        <v>44</v>
      </c>
      <c r="R11">
        <f>'Age by income band distribution'!B14</f>
        <v>20</v>
      </c>
      <c r="S11">
        <f>'Age by income band distribution'!C14</f>
        <v>540</v>
      </c>
      <c r="T11">
        <f>'Age by income band distribution'!D14+'Age by income band distribution'!E14</f>
        <v>11990</v>
      </c>
      <c r="U11">
        <f>'Age by income band distribution'!F14+'Age by income band distribution'!G14</f>
        <v>5000</v>
      </c>
      <c r="V11">
        <f>'Age by income band distribution'!H14+'Age by income band distribution'!I14</f>
        <v>3310</v>
      </c>
      <c r="W11">
        <f>'Age by income band distribution'!J14+'Age by income band distribution'!K14</f>
        <v>2240</v>
      </c>
      <c r="X11">
        <f>'Age by income band distribution'!L14+'Age by income band distribution'!M14</f>
        <v>2780</v>
      </c>
      <c r="Y11">
        <f>'Age by income band distribution'!N14+'Age by income band distribution'!O14+'Age by income band distribution'!P14</f>
        <v>2320</v>
      </c>
    </row>
    <row r="12" spans="1:26" x14ac:dyDescent="0.2">
      <c r="A12" s="50">
        <v>9000</v>
      </c>
      <c r="B12" s="1">
        <f>'Income tables 2001-24'!K18</f>
        <v>75090</v>
      </c>
      <c r="C12" s="1">
        <f>'Income tables 2001-24'!AP18</f>
        <v>42460</v>
      </c>
      <c r="D12" s="1">
        <f>'Income tables 2001-24'!BR18</f>
        <v>27480</v>
      </c>
      <c r="E12" s="1">
        <f>'Income tables 2001-24'!BU18</f>
        <v>27310</v>
      </c>
      <c r="F12" s="52">
        <f>'Income tables 2001-24'!L18</f>
        <v>638.6</v>
      </c>
      <c r="G12" s="52">
        <f>'Income tables 2001-24'!AQ18</f>
        <v>361.3</v>
      </c>
      <c r="H12" s="52">
        <f>'Income tables 2001-24'!BS18</f>
        <v>233.68</v>
      </c>
      <c r="I12" s="52">
        <f>'Income tables 2001-24'!BV18</f>
        <v>232.06</v>
      </c>
      <c r="J12" s="52">
        <f>'Income tables 2001-24'!M18</f>
        <v>95.7</v>
      </c>
      <c r="K12" s="52">
        <f>'Income tables 2001-24'!AR18</f>
        <v>37.9</v>
      </c>
      <c r="L12" s="52">
        <f>'Income tables 2001-24'!BT18</f>
        <v>24.533874579999999</v>
      </c>
      <c r="M12" s="52">
        <f>'Income tables 2001-24'!BW18</f>
        <v>24.365141850000001</v>
      </c>
      <c r="Q12" t="s">
        <v>45</v>
      </c>
      <c r="R12">
        <f>'Age by income band distribution'!B15</f>
        <v>10</v>
      </c>
      <c r="S12">
        <f>'Age by income band distribution'!C15</f>
        <v>540</v>
      </c>
      <c r="T12">
        <f>'Age by income band distribution'!D15+'Age by income band distribution'!E15</f>
        <v>11580</v>
      </c>
      <c r="U12">
        <f>'Age by income band distribution'!F15+'Age by income band distribution'!G15</f>
        <v>5150</v>
      </c>
      <c r="V12">
        <f>'Age by income band distribution'!H15+'Age by income band distribution'!I15</f>
        <v>3400</v>
      </c>
      <c r="W12">
        <f>'Age by income band distribution'!J15+'Age by income band distribution'!K15</f>
        <v>2290</v>
      </c>
      <c r="X12">
        <f>'Age by income band distribution'!L15+'Age by income band distribution'!M15</f>
        <v>2710</v>
      </c>
      <c r="Y12">
        <f>'Age by income band distribution'!N15+'Age by income band distribution'!O15+'Age by income band distribution'!P15</f>
        <v>2230</v>
      </c>
    </row>
    <row r="13" spans="1:26" x14ac:dyDescent="0.2">
      <c r="A13" s="50">
        <v>10000</v>
      </c>
      <c r="B13" s="1">
        <f>'Income tables 2001-24'!K19</f>
        <v>62970</v>
      </c>
      <c r="C13" s="1">
        <f>'Income tables 2001-24'!AP19</f>
        <v>54710</v>
      </c>
      <c r="D13" s="1">
        <f>'Income tables 2001-24'!BR19</f>
        <v>27540</v>
      </c>
      <c r="E13" s="1">
        <f>'Income tables 2001-24'!BU19</f>
        <v>27190</v>
      </c>
      <c r="F13" s="52">
        <f>'Income tables 2001-24'!L19</f>
        <v>603.20000000000005</v>
      </c>
      <c r="G13" s="52">
        <f>'Income tables 2001-24'!AQ19</f>
        <v>525.9</v>
      </c>
      <c r="H13" s="52">
        <f>'Income tables 2001-24'!BS19</f>
        <v>261.83</v>
      </c>
      <c r="I13" s="52">
        <f>'Income tables 2001-24'!BV19</f>
        <v>258.38</v>
      </c>
      <c r="J13" s="52">
        <f>'Income tables 2001-24'!M19</f>
        <v>91.6</v>
      </c>
      <c r="K13" s="52">
        <f>'Income tables 2001-24'!AR19</f>
        <v>55.2</v>
      </c>
      <c r="L13" s="52">
        <f>'Income tables 2001-24'!BT19</f>
        <v>27.490687309999998</v>
      </c>
      <c r="M13" s="52">
        <f>'Income tables 2001-24'!BW19</f>
        <v>27.12548494</v>
      </c>
      <c r="Q13" t="s">
        <v>46</v>
      </c>
      <c r="R13">
        <f>'Age by income band distribution'!B16</f>
        <v>10</v>
      </c>
      <c r="S13">
        <f>'Age by income band distribution'!C16</f>
        <v>350</v>
      </c>
      <c r="T13">
        <f>'Age by income band distribution'!D16+'Age by income band distribution'!E16</f>
        <v>11210</v>
      </c>
      <c r="U13">
        <f>'Age by income band distribution'!F16+'Age by income band distribution'!G16</f>
        <v>5080</v>
      </c>
      <c r="V13">
        <f>'Age by income band distribution'!H16+'Age by income band distribution'!I16</f>
        <v>3350</v>
      </c>
      <c r="W13">
        <f>'Age by income band distribution'!J16+'Age by income band distribution'!K16</f>
        <v>2360</v>
      </c>
      <c r="X13">
        <f>'Age by income band distribution'!L16+'Age by income band distribution'!M16</f>
        <v>2720</v>
      </c>
      <c r="Y13">
        <f>'Age by income band distribution'!N16+'Age by income band distribution'!O16+'Age by income band distribution'!P16</f>
        <v>2240</v>
      </c>
    </row>
    <row r="14" spans="1:26" x14ac:dyDescent="0.2">
      <c r="A14" s="50">
        <v>11000</v>
      </c>
      <c r="B14" s="1">
        <f>'Income tables 2001-24'!K20</f>
        <v>88570</v>
      </c>
      <c r="C14" s="1">
        <f>'Income tables 2001-24'!AP20</f>
        <v>41450</v>
      </c>
      <c r="D14" s="1">
        <f>'Income tables 2001-24'!BR20</f>
        <v>27850</v>
      </c>
      <c r="E14" s="1">
        <f>'Income tables 2001-24'!BU20</f>
        <v>27490</v>
      </c>
      <c r="F14" s="52">
        <f>'Income tables 2001-24'!L20</f>
        <v>922.6</v>
      </c>
      <c r="G14" s="52">
        <f>'Income tables 2001-24'!AQ20</f>
        <v>435.3</v>
      </c>
      <c r="H14" s="52">
        <f>'Income tables 2001-24'!BS20</f>
        <v>292.45999999999998</v>
      </c>
      <c r="I14" s="52">
        <f>'Income tables 2001-24'!BV20</f>
        <v>288.69</v>
      </c>
      <c r="J14" s="52">
        <f>'Income tables 2001-24'!M20</f>
        <v>143.80000000000001</v>
      </c>
      <c r="K14" s="52">
        <f>'Income tables 2001-24'!AR20</f>
        <v>45.7</v>
      </c>
      <c r="L14" s="52">
        <f>'Income tables 2001-24'!BT20</f>
        <v>30.704437640000002</v>
      </c>
      <c r="M14" s="52">
        <f>'Income tables 2001-24'!BW20</f>
        <v>30.30639498</v>
      </c>
      <c r="Q14" t="s">
        <v>47</v>
      </c>
      <c r="R14">
        <f>'Age by income band distribution'!B17</f>
        <v>20</v>
      </c>
      <c r="S14">
        <f>'Age by income band distribution'!C17</f>
        <v>320</v>
      </c>
      <c r="T14">
        <f>'Age by income band distribution'!D17+'Age by income band distribution'!E17</f>
        <v>11200</v>
      </c>
      <c r="U14">
        <f>'Age by income band distribution'!F17+'Age by income band distribution'!G17</f>
        <v>4880</v>
      </c>
      <c r="V14">
        <f>'Age by income band distribution'!H17+'Age by income band distribution'!I17</f>
        <v>3310</v>
      </c>
      <c r="W14">
        <f>'Age by income band distribution'!J17+'Age by income band distribution'!K17</f>
        <v>2270</v>
      </c>
      <c r="X14">
        <f>'Age by income band distribution'!L17+'Age by income band distribution'!M17</f>
        <v>2840</v>
      </c>
      <c r="Y14">
        <f>'Age by income band distribution'!N17+'Age by income band distribution'!O17+'Age by income band distribution'!P17</f>
        <v>2380</v>
      </c>
    </row>
    <row r="15" spans="1:26" x14ac:dyDescent="0.2">
      <c r="A15" s="50">
        <v>12000</v>
      </c>
      <c r="B15" s="1">
        <f>'Income tables 2001-24'!K21</f>
        <v>188070</v>
      </c>
      <c r="C15" s="1">
        <f>'Income tables 2001-24'!AP21</f>
        <v>69820</v>
      </c>
      <c r="D15" s="1">
        <f>'Income tables 2001-24'!BR21</f>
        <v>27380</v>
      </c>
      <c r="E15" s="1">
        <f>'Income tables 2001-24'!BU21</f>
        <v>27530</v>
      </c>
      <c r="F15" s="52">
        <f>'Income tables 2001-24'!L21</f>
        <v>2178.8000000000002</v>
      </c>
      <c r="G15" s="52">
        <f>'Income tables 2001-24'!AQ21</f>
        <v>815.3</v>
      </c>
      <c r="H15" s="52">
        <f>'Income tables 2001-24'!BS21</f>
        <v>314.89999999999998</v>
      </c>
      <c r="I15" s="52">
        <f>'Income tables 2001-24'!BV21</f>
        <v>316.75</v>
      </c>
      <c r="J15" s="52">
        <f>'Income tables 2001-24'!M21</f>
        <v>351</v>
      </c>
      <c r="K15" s="52">
        <f>'Income tables 2001-24'!AR21</f>
        <v>85.5</v>
      </c>
      <c r="L15" s="52">
        <f>'Income tables 2001-24'!BT21</f>
        <v>33.060519059999997</v>
      </c>
      <c r="M15" s="52">
        <f>'Income tables 2001-24'!BW21</f>
        <v>33.253304630000002</v>
      </c>
      <c r="Q15" t="s">
        <v>48</v>
      </c>
      <c r="R15">
        <f>'Age by income band distribution'!B18</f>
        <v>20</v>
      </c>
      <c r="S15">
        <f>'Age by income band distribution'!C18</f>
        <v>280</v>
      </c>
      <c r="T15">
        <f>'Age by income band distribution'!D18+'Age by income band distribution'!E18</f>
        <v>11220</v>
      </c>
      <c r="U15">
        <f>'Age by income band distribution'!F18+'Age by income band distribution'!G18</f>
        <v>4960</v>
      </c>
      <c r="V15">
        <f>'Age by income band distribution'!H18+'Age by income band distribution'!I18</f>
        <v>3400</v>
      </c>
      <c r="W15">
        <f>'Age by income band distribution'!J18+'Age by income band distribution'!K18</f>
        <v>2440</v>
      </c>
      <c r="X15">
        <f>'Age by income band distribution'!L18+'Age by income band distribution'!M18</f>
        <v>2740</v>
      </c>
      <c r="Y15">
        <f>'Age by income band distribution'!N18+'Age by income band distribution'!O18+'Age by income band distribution'!P18</f>
        <v>2430</v>
      </c>
    </row>
    <row r="16" spans="1:26" x14ac:dyDescent="0.2">
      <c r="A16" s="50">
        <v>13000</v>
      </c>
      <c r="B16" s="1">
        <f>'Income tables 2001-24'!K22</f>
        <v>96990</v>
      </c>
      <c r="C16" s="1">
        <f>'Income tables 2001-24'!AP22</f>
        <v>55430</v>
      </c>
      <c r="D16" s="1">
        <f>'Income tables 2001-24'!BR22</f>
        <v>28030</v>
      </c>
      <c r="E16" s="1">
        <f>'Income tables 2001-24'!BU22</f>
        <v>27860</v>
      </c>
      <c r="F16" s="52">
        <f>'Income tables 2001-24'!L22</f>
        <v>1217.9000000000001</v>
      </c>
      <c r="G16" s="52">
        <f>'Income tables 2001-24'!AQ22</f>
        <v>692.3</v>
      </c>
      <c r="H16" s="52">
        <f>'Income tables 2001-24'!BS22</f>
        <v>350.36</v>
      </c>
      <c r="I16" s="52">
        <f>'Income tables 2001-24'!BV22</f>
        <v>348.44</v>
      </c>
      <c r="J16" s="52">
        <f>'Income tables 2001-24'!M22</f>
        <v>201.1</v>
      </c>
      <c r="K16" s="52">
        <f>'Income tables 2001-24'!AR22</f>
        <v>72.599999999999994</v>
      </c>
      <c r="L16" s="52">
        <f>'Income tables 2001-24'!BT22</f>
        <v>36.784285670000003</v>
      </c>
      <c r="M16" s="52">
        <f>'Income tables 2001-24'!BW22</f>
        <v>36.579320969999998</v>
      </c>
      <c r="Q16" t="s">
        <v>49</v>
      </c>
      <c r="R16">
        <f>'Age by income band distribution'!B19</f>
        <v>10</v>
      </c>
      <c r="S16">
        <f>'Age by income band distribution'!C19</f>
        <v>220</v>
      </c>
      <c r="T16">
        <f>'Age by income band distribution'!D19+'Age by income band distribution'!E19</f>
        <v>11200</v>
      </c>
      <c r="U16">
        <f>'Age by income band distribution'!F19+'Age by income band distribution'!G19</f>
        <v>5070</v>
      </c>
      <c r="V16">
        <f>'Age by income band distribution'!H19+'Age by income band distribution'!I19</f>
        <v>3370</v>
      </c>
      <c r="W16">
        <f>'Age by income band distribution'!J19+'Age by income band distribution'!K19</f>
        <v>2440</v>
      </c>
      <c r="X16">
        <f>'Age by income band distribution'!L19+'Age by income band distribution'!M19</f>
        <v>2780</v>
      </c>
      <c r="Y16">
        <f>'Age by income band distribution'!N19+'Age by income band distribution'!O19+'Age by income band distribution'!P19</f>
        <v>2440</v>
      </c>
    </row>
    <row r="17" spans="1:25" x14ac:dyDescent="0.2">
      <c r="A17" s="50">
        <v>14000</v>
      </c>
      <c r="B17" s="1">
        <f>'Income tables 2001-24'!K23</f>
        <v>64290</v>
      </c>
      <c r="C17" s="1">
        <f>'Income tables 2001-24'!AP23</f>
        <v>45650</v>
      </c>
      <c r="D17" s="1">
        <f>'Income tables 2001-24'!BR23</f>
        <v>29260</v>
      </c>
      <c r="E17" s="1">
        <f>'Income tables 2001-24'!BU23</f>
        <v>28060</v>
      </c>
      <c r="F17" s="52">
        <f>'Income tables 2001-24'!L23</f>
        <v>866.5</v>
      </c>
      <c r="G17" s="52">
        <f>'Income tables 2001-24'!AQ23</f>
        <v>616.79999999999995</v>
      </c>
      <c r="H17" s="52">
        <f>'Income tables 2001-24'!BS23</f>
        <v>395.23</v>
      </c>
      <c r="I17" s="52">
        <f>'Income tables 2001-24'!BV23</f>
        <v>379.07</v>
      </c>
      <c r="J17" s="52">
        <f>'Income tables 2001-24'!M23</f>
        <v>145.80000000000001</v>
      </c>
      <c r="K17" s="52">
        <f>'Income tables 2001-24'!AR23</f>
        <v>64.7</v>
      </c>
      <c r="L17" s="52">
        <f>'Income tables 2001-24'!BT23</f>
        <v>41.495109159999998</v>
      </c>
      <c r="M17" s="52">
        <f>'Income tables 2001-24'!BW23</f>
        <v>39.794539100000001</v>
      </c>
      <c r="Q17" t="s">
        <v>50</v>
      </c>
      <c r="R17">
        <f>'Age by income band distribution'!B20</f>
        <v>20</v>
      </c>
      <c r="S17">
        <f>'Age by income band distribution'!C20</f>
        <v>170</v>
      </c>
      <c r="T17">
        <f>'Age by income band distribution'!D20+'Age by income band distribution'!E20</f>
        <v>11140</v>
      </c>
      <c r="U17">
        <f>'Age by income band distribution'!F20+'Age by income band distribution'!G20</f>
        <v>5150</v>
      </c>
      <c r="V17">
        <f>'Age by income band distribution'!H20+'Age by income band distribution'!I20</f>
        <v>3380</v>
      </c>
      <c r="W17">
        <f>'Age by income band distribution'!J20+'Age by income band distribution'!K20</f>
        <v>2530</v>
      </c>
      <c r="X17">
        <f>'Age by income band distribution'!L20+'Age by income band distribution'!M20</f>
        <v>2910</v>
      </c>
      <c r="Y17">
        <f>'Age by income band distribution'!N20+'Age by income band distribution'!O20+'Age by income band distribution'!P20</f>
        <v>2580</v>
      </c>
    </row>
    <row r="18" spans="1:25" x14ac:dyDescent="0.2">
      <c r="A18" s="50">
        <v>15000</v>
      </c>
      <c r="B18" s="1">
        <f>'Income tables 2001-24'!K24</f>
        <v>120160</v>
      </c>
      <c r="C18" s="1">
        <f>'Income tables 2001-24'!AP24</f>
        <v>43750</v>
      </c>
      <c r="D18" s="1">
        <f>'Income tables 2001-24'!BR24</f>
        <v>29710</v>
      </c>
      <c r="E18" s="1">
        <f>'Income tables 2001-24'!BU24</f>
        <v>29140</v>
      </c>
      <c r="F18" s="52">
        <f>'Income tables 2001-24'!L24</f>
        <v>1733.6</v>
      </c>
      <c r="G18" s="52">
        <f>'Income tables 2001-24'!AQ24</f>
        <v>634.29999999999995</v>
      </c>
      <c r="H18" s="52">
        <f>'Income tables 2001-24'!BS24</f>
        <v>430.95</v>
      </c>
      <c r="I18" s="52">
        <f>'Income tables 2001-24'!BV24</f>
        <v>422.71</v>
      </c>
      <c r="J18" s="52">
        <f>'Income tables 2001-24'!M24</f>
        <v>296</v>
      </c>
      <c r="K18" s="52">
        <f>'Income tables 2001-24'!AR24</f>
        <v>68.099999999999994</v>
      </c>
      <c r="L18" s="52">
        <f>'Income tables 2001-24'!BT24</f>
        <v>46.292095159999995</v>
      </c>
      <c r="M18" s="52">
        <f>'Income tables 2001-24'!BW24</f>
        <v>45.407641659999996</v>
      </c>
      <c r="Q18" t="s">
        <v>51</v>
      </c>
      <c r="R18">
        <f>'Age by income band distribution'!B21</f>
        <v>20</v>
      </c>
      <c r="S18">
        <f>'Age by income band distribution'!C21</f>
        <v>180</v>
      </c>
      <c r="T18">
        <f>'Age by income band distribution'!D21+'Age by income band distribution'!E21</f>
        <v>11160</v>
      </c>
      <c r="U18">
        <f>'Age by income band distribution'!F21+'Age by income band distribution'!G21</f>
        <v>5060</v>
      </c>
      <c r="V18">
        <f>'Age by income band distribution'!H21+'Age by income band distribution'!I21</f>
        <v>3530</v>
      </c>
      <c r="W18">
        <f>'Age by income band distribution'!J21+'Age by income band distribution'!K21</f>
        <v>2470</v>
      </c>
      <c r="X18">
        <f>'Age by income band distribution'!L21+'Age by income band distribution'!M21</f>
        <v>3010</v>
      </c>
      <c r="Y18">
        <f>'Age by income band distribution'!N21+'Age by income band distribution'!O21+'Age by income band distribution'!P21</f>
        <v>2630</v>
      </c>
    </row>
    <row r="19" spans="1:25" x14ac:dyDescent="0.2">
      <c r="A19" s="50">
        <v>16000</v>
      </c>
      <c r="B19" s="1">
        <f>'Income tables 2001-24'!K25</f>
        <v>155680</v>
      </c>
      <c r="C19" s="1">
        <f>'Income tables 2001-24'!AP25</f>
        <v>112460</v>
      </c>
      <c r="D19" s="1">
        <f>'Income tables 2001-24'!BR25</f>
        <v>35420</v>
      </c>
      <c r="E19" s="1">
        <f>'Income tables 2001-24'!BU25</f>
        <v>28920</v>
      </c>
      <c r="F19" s="52">
        <f>'Income tables 2001-24'!L25</f>
        <v>2407.6</v>
      </c>
      <c r="G19" s="52">
        <f>'Income tables 2001-24'!AQ25</f>
        <v>1720</v>
      </c>
      <c r="H19" s="52">
        <f>'Income tables 2001-24'!BS25</f>
        <v>549.92999999999995</v>
      </c>
      <c r="I19" s="52">
        <f>'Income tables 2001-24'!BV25</f>
        <v>448.25</v>
      </c>
      <c r="J19" s="52">
        <f>'Income tables 2001-24'!M25</f>
        <v>417.3</v>
      </c>
      <c r="K19" s="52">
        <f>'Income tables 2001-24'!AR25</f>
        <v>190.7</v>
      </c>
      <c r="L19" s="52">
        <f>'Income tables 2001-24'!BT25</f>
        <v>61.522201759999994</v>
      </c>
      <c r="M19" s="52">
        <f>'Income tables 2001-24'!BW25</f>
        <v>50.098150840000002</v>
      </c>
      <c r="Q19" t="s">
        <v>52</v>
      </c>
      <c r="R19">
        <f>'Age by income band distribution'!B22</f>
        <v>10</v>
      </c>
      <c r="S19">
        <f>'Age by income band distribution'!C22</f>
        <v>120</v>
      </c>
      <c r="T19">
        <f>'Age by income band distribution'!D22+'Age by income band distribution'!E22</f>
        <v>11740</v>
      </c>
      <c r="U19">
        <f>'Age by income band distribution'!F22+'Age by income band distribution'!G22</f>
        <v>5320</v>
      </c>
      <c r="V19">
        <f>'Age by income band distribution'!H22+'Age by income band distribution'!I22</f>
        <v>3580</v>
      </c>
      <c r="W19">
        <f>'Age by income band distribution'!J22+'Age by income band distribution'!K22</f>
        <v>2570</v>
      </c>
      <c r="X19">
        <f>'Age by income band distribution'!L22+'Age by income band distribution'!M22</f>
        <v>3100</v>
      </c>
      <c r="Y19">
        <f>'Age by income band distribution'!N22+'Age by income band distribution'!O22+'Age by income band distribution'!P22</f>
        <v>2700</v>
      </c>
    </row>
    <row r="20" spans="1:25" x14ac:dyDescent="0.2">
      <c r="A20" s="50">
        <v>17000</v>
      </c>
      <c r="B20" s="1">
        <f>'Income tables 2001-24'!K26</f>
        <v>64120</v>
      </c>
      <c r="C20" s="1">
        <f>'Income tables 2001-24'!AP26</f>
        <v>188400</v>
      </c>
      <c r="D20" s="1">
        <f>'Income tables 2001-24'!BR26</f>
        <v>41750</v>
      </c>
      <c r="E20" s="1">
        <f>'Income tables 2001-24'!BU26</f>
        <v>34580</v>
      </c>
      <c r="F20" s="52">
        <f>'Income tables 2001-24'!L26</f>
        <v>1054.5</v>
      </c>
      <c r="G20" s="52">
        <f>'Income tables 2001-24'!AQ26</f>
        <v>3058</v>
      </c>
      <c r="H20" s="52">
        <f>'Income tables 2001-24'!BS26</f>
        <v>687.54</v>
      </c>
      <c r="I20" s="52">
        <f>'Income tables 2001-24'!BV26</f>
        <v>572.34</v>
      </c>
      <c r="J20" s="52">
        <f>'Income tables 2001-24'!M26</f>
        <v>185.3</v>
      </c>
      <c r="K20" s="52">
        <f>'Income tables 2001-24'!AR26</f>
        <v>350.5</v>
      </c>
      <c r="L20" s="52">
        <f>'Income tables 2001-24'!BT26</f>
        <v>79.394807930000013</v>
      </c>
      <c r="M20" s="52">
        <f>'Income tables 2001-24'!BW26</f>
        <v>66.262528360000005</v>
      </c>
      <c r="Q20" t="s">
        <v>53</v>
      </c>
      <c r="R20">
        <f>'Age by income band distribution'!B23</f>
        <v>20</v>
      </c>
      <c r="S20">
        <f>'Age by income band distribution'!C23</f>
        <v>110</v>
      </c>
      <c r="T20">
        <f>'Age by income band distribution'!D23+'Age by income band distribution'!E23</f>
        <v>11230</v>
      </c>
      <c r="U20">
        <f>'Age by income band distribution'!F23+'Age by income band distribution'!G23</f>
        <v>5340</v>
      </c>
      <c r="V20">
        <f>'Age by income band distribution'!H23+'Age by income band distribution'!I23</f>
        <v>3540</v>
      </c>
      <c r="W20">
        <f>'Age by income band distribution'!J23+'Age by income band distribution'!K23</f>
        <v>2580</v>
      </c>
      <c r="X20">
        <f>'Age by income band distribution'!L23+'Age by income band distribution'!M23</f>
        <v>3250</v>
      </c>
      <c r="Y20">
        <f>'Age by income band distribution'!N23+'Age by income band distribution'!O23+'Age by income band distribution'!P23</f>
        <v>2830</v>
      </c>
    </row>
    <row r="21" spans="1:25" x14ac:dyDescent="0.2">
      <c r="A21" s="50">
        <v>18000</v>
      </c>
      <c r="B21" s="1">
        <f>'Income tables 2001-24'!K27</f>
        <v>49020</v>
      </c>
      <c r="C21" s="1">
        <f>'Income tables 2001-24'!AP27</f>
        <v>81460</v>
      </c>
      <c r="D21" s="1">
        <f>'Income tables 2001-24'!BR27</f>
        <v>32960</v>
      </c>
      <c r="E21" s="1">
        <f>'Income tables 2001-24'!BU27</f>
        <v>43060</v>
      </c>
      <c r="F21" s="52">
        <f>'Income tables 2001-24'!L27</f>
        <v>857.5</v>
      </c>
      <c r="G21" s="52">
        <f>'Income tables 2001-24'!AQ27</f>
        <v>1423.1</v>
      </c>
      <c r="H21" s="52">
        <f>'Income tables 2001-24'!BS27</f>
        <v>577.07000000000005</v>
      </c>
      <c r="I21" s="52">
        <f>'Income tables 2001-24'!BV27</f>
        <v>754.81</v>
      </c>
      <c r="J21" s="52">
        <f>'Income tables 2001-24'!M27</f>
        <v>152.4</v>
      </c>
      <c r="K21" s="52">
        <f>'Income tables 2001-24'!AR27</f>
        <v>169.1</v>
      </c>
      <c r="L21" s="52">
        <f>'Income tables 2001-24'!BT27</f>
        <v>68.683430430000001</v>
      </c>
      <c r="M21" s="52">
        <f>'Income tables 2001-24'!BW27</f>
        <v>89.880841900000007</v>
      </c>
      <c r="Q21" t="s">
        <v>54</v>
      </c>
      <c r="R21">
        <f>'Age by income band distribution'!B24</f>
        <v>10</v>
      </c>
      <c r="S21">
        <f>'Age by income band distribution'!C24</f>
        <v>80</v>
      </c>
      <c r="T21">
        <f>'Age by income band distribution'!D24+'Age by income band distribution'!E24</f>
        <v>11710</v>
      </c>
      <c r="U21">
        <f>'Age by income band distribution'!F24+'Age by income band distribution'!G24</f>
        <v>5890</v>
      </c>
      <c r="V21">
        <f>'Age by income band distribution'!H24+'Age by income band distribution'!I24</f>
        <v>3920</v>
      </c>
      <c r="W21">
        <f>'Age by income band distribution'!J24+'Age by income band distribution'!K24</f>
        <v>3420</v>
      </c>
      <c r="X21">
        <f>'Age by income band distribution'!L24+'Age by income band distribution'!M24</f>
        <v>5600</v>
      </c>
      <c r="Y21">
        <f>'Age by income band distribution'!N24+'Age by income band distribution'!O24+'Age by income band distribution'!P24</f>
        <v>3950</v>
      </c>
    </row>
    <row r="22" spans="1:25" x14ac:dyDescent="0.2">
      <c r="A22" s="50">
        <v>19000</v>
      </c>
      <c r="B22" s="1">
        <f>'Income tables 2001-24'!K28</f>
        <v>46180</v>
      </c>
      <c r="C22" s="1">
        <f>'Income tables 2001-24'!AP28</f>
        <v>45330</v>
      </c>
      <c r="D22" s="1">
        <f>'Income tables 2001-24'!BR28</f>
        <v>86650</v>
      </c>
      <c r="E22" s="1">
        <f>'Income tables 2001-24'!BU28</f>
        <v>31570</v>
      </c>
      <c r="F22" s="52">
        <f>'Income tables 2001-24'!L28</f>
        <v>853.6</v>
      </c>
      <c r="G22" s="52">
        <f>'Income tables 2001-24'!AQ28</f>
        <v>838.9</v>
      </c>
      <c r="H22" s="52">
        <f>'Income tables 2001-24'!BS28</f>
        <v>1607.8</v>
      </c>
      <c r="I22" s="52">
        <f>'Income tables 2001-24'!BV28</f>
        <v>584.05999999999995</v>
      </c>
      <c r="J22" s="52">
        <f>'Income tables 2001-24'!M28</f>
        <v>153.19999999999999</v>
      </c>
      <c r="K22" s="52">
        <f>'Income tables 2001-24'!AR28</f>
        <v>102.3</v>
      </c>
      <c r="L22" s="52">
        <f>'Income tables 2001-24'!BT28</f>
        <v>196.4442392</v>
      </c>
      <c r="M22" s="52">
        <f>'Income tables 2001-24'!BW28</f>
        <v>71.260567709999989</v>
      </c>
      <c r="Q22" t="s">
        <v>55</v>
      </c>
      <c r="R22">
        <f>'Age by income band distribution'!B25</f>
        <v>10</v>
      </c>
      <c r="S22">
        <f>'Age by income band distribution'!C25</f>
        <v>80</v>
      </c>
      <c r="T22">
        <f>'Age by income band distribution'!D25+'Age by income band distribution'!E25</f>
        <v>17450</v>
      </c>
      <c r="U22">
        <f>'Age by income band distribution'!F25+'Age by income band distribution'!G25</f>
        <v>8130</v>
      </c>
      <c r="V22">
        <f>'Age by income band distribution'!H25+'Age by income band distribution'!I25</f>
        <v>5880</v>
      </c>
      <c r="W22">
        <f>'Age by income band distribution'!J25+'Age by income band distribution'!K25</f>
        <v>4230</v>
      </c>
      <c r="X22">
        <f>'Age by income band distribution'!L25+'Age by income band distribution'!M25</f>
        <v>4210</v>
      </c>
      <c r="Y22">
        <f>'Age by income band distribution'!N25+'Age by income band distribution'!O25+'Age by income band distribution'!P25</f>
        <v>3080</v>
      </c>
    </row>
    <row r="23" spans="1:25" x14ac:dyDescent="0.2">
      <c r="A23" s="50">
        <v>20000</v>
      </c>
      <c r="B23" s="1">
        <f>'Income tables 2001-24'!K29</f>
        <v>45280</v>
      </c>
      <c r="C23" s="1">
        <f>'Income tables 2001-24'!AP29</f>
        <v>90330</v>
      </c>
      <c r="D23" s="1">
        <f>'Income tables 2001-24'!BR29</f>
        <v>35730</v>
      </c>
      <c r="E23" s="1">
        <f>'Income tables 2001-24'!BU29</f>
        <v>41680</v>
      </c>
      <c r="F23" s="52">
        <f>'Income tables 2001-24'!L29</f>
        <v>883.2</v>
      </c>
      <c r="G23" s="52">
        <f>'Income tables 2001-24'!AQ29</f>
        <v>1766</v>
      </c>
      <c r="H23" s="52">
        <f>'Income tables 2001-24'!BS29</f>
        <v>696.49</v>
      </c>
      <c r="I23" s="52">
        <f>'Income tables 2001-24'!BV29</f>
        <v>813.3</v>
      </c>
      <c r="J23" s="52">
        <f>'Income tables 2001-24'!M29</f>
        <v>159.9</v>
      </c>
      <c r="K23" s="52">
        <f>'Income tables 2001-24'!AR29</f>
        <v>220.4</v>
      </c>
      <c r="L23" s="52">
        <f>'Income tables 2001-24'!BT29</f>
        <v>86.865230569999994</v>
      </c>
      <c r="M23" s="52">
        <f>'Income tables 2001-24'!BW29</f>
        <v>101.47009829000001</v>
      </c>
      <c r="Q23" t="s">
        <v>56</v>
      </c>
      <c r="R23">
        <f>'Age by income band distribution'!B26</f>
        <v>20</v>
      </c>
      <c r="S23">
        <f>'Age by income band distribution'!C26</f>
        <v>60</v>
      </c>
      <c r="T23">
        <f>'Age by income band distribution'!D26+'Age by income band distribution'!E26</f>
        <v>9790</v>
      </c>
      <c r="U23">
        <f>'Age by income band distribution'!F26+'Age by income band distribution'!G26</f>
        <v>7100</v>
      </c>
      <c r="V23">
        <f>'Age by income band distribution'!H26+'Age by income band distribution'!I26</f>
        <v>4330</v>
      </c>
      <c r="W23">
        <f>'Age by income band distribution'!J26+'Age by income band distribution'!K26</f>
        <v>3100</v>
      </c>
      <c r="X23">
        <f>'Age by income band distribution'!L26+'Age by income band distribution'!M26</f>
        <v>3780</v>
      </c>
      <c r="Y23">
        <f>'Age by income band distribution'!N26+'Age by income band distribution'!O26+'Age by income band distribution'!P26</f>
        <v>3400</v>
      </c>
    </row>
    <row r="24" spans="1:25" x14ac:dyDescent="0.2">
      <c r="A24" s="50">
        <v>21000</v>
      </c>
      <c r="B24" s="1">
        <f>'Income tables 2001-24'!K30</f>
        <v>48560</v>
      </c>
      <c r="C24" s="1">
        <f>'Income tables 2001-24'!AP30</f>
        <v>48630</v>
      </c>
      <c r="D24" s="1">
        <f>'Income tables 2001-24'!BR30</f>
        <v>46560</v>
      </c>
      <c r="E24" s="1">
        <f>'Income tables 2001-24'!BU30</f>
        <v>82560</v>
      </c>
      <c r="F24" s="52">
        <f>'Income tables 2001-24'!L30</f>
        <v>995.6</v>
      </c>
      <c r="G24" s="52">
        <f>'Income tables 2001-24'!AQ30</f>
        <v>995.6</v>
      </c>
      <c r="H24" s="52">
        <f>'Income tables 2001-24'!BS30</f>
        <v>952.3</v>
      </c>
      <c r="I24" s="52">
        <f>'Income tables 2001-24'!BV30</f>
        <v>1673.44</v>
      </c>
      <c r="J24" s="52">
        <f>'Income tables 2001-24'!M30</f>
        <v>181.7</v>
      </c>
      <c r="K24" s="52">
        <f>'Income tables 2001-24'!AR30</f>
        <v>126.5</v>
      </c>
      <c r="L24" s="52">
        <f>'Income tables 2001-24'!BT30</f>
        <v>121.01592656</v>
      </c>
      <c r="M24" s="52">
        <f>'Income tables 2001-24'!BW30</f>
        <v>211.93844302000002</v>
      </c>
      <c r="Q24" t="s">
        <v>57</v>
      </c>
      <c r="R24">
        <f>'Age by income band distribution'!B27</f>
        <v>20</v>
      </c>
      <c r="S24">
        <f>'Age by income band distribution'!C27</f>
        <v>60</v>
      </c>
      <c r="T24">
        <f>'Age by income band distribution'!D27+'Age by income band distribution'!E27</f>
        <v>9540</v>
      </c>
      <c r="U24">
        <f>'Age by income band distribution'!F27+'Age by income band distribution'!G27</f>
        <v>8830</v>
      </c>
      <c r="V24">
        <f>'Age by income band distribution'!H27+'Age by income band distribution'!I27</f>
        <v>5640</v>
      </c>
      <c r="W24">
        <f>'Age by income band distribution'!J27+'Age by income band distribution'!K27</f>
        <v>5370</v>
      </c>
      <c r="X24">
        <f>'Age by income band distribution'!L27+'Age by income band distribution'!M27</f>
        <v>8220</v>
      </c>
      <c r="Y24">
        <f>'Age by income band distribution'!N27+'Age by income band distribution'!O27+'Age by income band distribution'!P27</f>
        <v>4010</v>
      </c>
    </row>
    <row r="25" spans="1:25" x14ac:dyDescent="0.2">
      <c r="A25" s="50">
        <v>22000</v>
      </c>
      <c r="B25" s="1">
        <f>'Income tables 2001-24'!K31</f>
        <v>44360</v>
      </c>
      <c r="C25" s="1">
        <f>'Income tables 2001-24'!AP31</f>
        <v>138760</v>
      </c>
      <c r="D25" s="1">
        <f>'Income tables 2001-24'!BR31</f>
        <v>218440</v>
      </c>
      <c r="E25" s="1">
        <f>'Income tables 2001-24'!BU31</f>
        <v>39460</v>
      </c>
      <c r="F25" s="52">
        <f>'Income tables 2001-24'!L31</f>
        <v>953.6</v>
      </c>
      <c r="G25" s="52">
        <f>'Income tables 2001-24'!AQ31</f>
        <v>2966.1</v>
      </c>
      <c r="H25" s="52">
        <f>'Income tables 2001-24'!BS31</f>
        <v>4678.3500000000004</v>
      </c>
      <c r="I25" s="52">
        <f>'Income tables 2001-24'!BV31</f>
        <v>849.62</v>
      </c>
      <c r="J25" s="52">
        <f>'Income tables 2001-24'!M31</f>
        <v>175.2</v>
      </c>
      <c r="K25" s="52">
        <f>'Income tables 2001-24'!AR31</f>
        <v>383</v>
      </c>
      <c r="L25" s="52">
        <f>'Income tables 2001-24'!BT31</f>
        <v>604.62073508000003</v>
      </c>
      <c r="M25" s="52">
        <f>'Income tables 2001-24'!BW31</f>
        <v>109.99699205</v>
      </c>
      <c r="Q25" t="s">
        <v>58</v>
      </c>
      <c r="R25">
        <f>'Age by income band distribution'!B28</f>
        <v>20</v>
      </c>
      <c r="S25">
        <f>'Age by income band distribution'!C28</f>
        <v>50</v>
      </c>
      <c r="T25">
        <f>'Age by income band distribution'!D28+'Age by income band distribution'!E28</f>
        <v>8780</v>
      </c>
      <c r="U25">
        <f>'Age by income band distribution'!F28+'Age by income band distribution'!G28</f>
        <v>17840</v>
      </c>
      <c r="V25">
        <f>'Age by income band distribution'!H28+'Age by income band distribution'!I28</f>
        <v>14460</v>
      </c>
      <c r="W25">
        <f>'Age by income band distribution'!J28+'Age by income band distribution'!K28</f>
        <v>16480</v>
      </c>
      <c r="X25">
        <f>'Age by income band distribution'!L28+'Age by income band distribution'!M28</f>
        <v>19760</v>
      </c>
      <c r="Y25">
        <f>'Age by income band distribution'!N28+'Age by income band distribution'!O28+'Age by income band distribution'!P28</f>
        <v>5170</v>
      </c>
    </row>
    <row r="26" spans="1:25" x14ac:dyDescent="0.2">
      <c r="A26" s="50">
        <v>23000</v>
      </c>
      <c r="B26" s="1">
        <f>'Income tables 2001-24'!K32</f>
        <v>41540</v>
      </c>
      <c r="C26" s="1">
        <f>'Income tables 2001-24'!AP32</f>
        <v>38570</v>
      </c>
      <c r="D26" s="1">
        <f>'Income tables 2001-24'!BR32</f>
        <v>64910</v>
      </c>
      <c r="E26" s="1">
        <f>'Income tables 2001-24'!BU32</f>
        <v>110190</v>
      </c>
      <c r="F26" s="52">
        <f>'Income tables 2001-24'!L32</f>
        <v>935.1</v>
      </c>
      <c r="G26" s="52">
        <f>'Income tables 2001-24'!AQ32</f>
        <v>868.4</v>
      </c>
      <c r="H26" s="52">
        <f>'Income tables 2001-24'!BS32</f>
        <v>1458.58</v>
      </c>
      <c r="I26" s="52">
        <f>'Income tables 2001-24'!BV32</f>
        <v>2506.9899999999998</v>
      </c>
      <c r="J26" s="52">
        <f>'Income tables 2001-24'!M32</f>
        <v>172.9</v>
      </c>
      <c r="K26" s="52">
        <f>'Income tables 2001-24'!AR32</f>
        <v>114</v>
      </c>
      <c r="L26" s="52">
        <f>'Income tables 2001-24'!BT32</f>
        <v>191.62568680999999</v>
      </c>
      <c r="M26" s="52">
        <f>'Income tables 2001-24'!BW32</f>
        <v>330.72563969999999</v>
      </c>
      <c r="Q26" t="s">
        <v>59</v>
      </c>
      <c r="R26">
        <f>'Age by income band distribution'!B29</f>
        <v>30</v>
      </c>
      <c r="S26">
        <f>'Age by income band distribution'!C29</f>
        <v>40</v>
      </c>
      <c r="T26">
        <f>'Age by income band distribution'!D29+'Age by income band distribution'!E29</f>
        <v>8660</v>
      </c>
      <c r="U26">
        <f>'Age by income band distribution'!F29+'Age by income band distribution'!G29</f>
        <v>6710</v>
      </c>
      <c r="V26">
        <f>'Age by income band distribution'!H29+'Age by income band distribution'!I29</f>
        <v>4530</v>
      </c>
      <c r="W26">
        <f>'Age by income band distribution'!J29+'Age by income band distribution'!K29</f>
        <v>3910</v>
      </c>
      <c r="X26">
        <f>'Age by income band distribution'!L29+'Age by income band distribution'!M29</f>
        <v>6830</v>
      </c>
      <c r="Y26">
        <f>'Age by income band distribution'!N29+'Age by income band distribution'!O29+'Age by income band distribution'!P29</f>
        <v>8770</v>
      </c>
    </row>
    <row r="27" spans="1:25" x14ac:dyDescent="0.2">
      <c r="A27" s="50">
        <v>24000</v>
      </c>
      <c r="B27" s="1">
        <f>'Income tables 2001-24'!K33</f>
        <v>43170</v>
      </c>
      <c r="C27" s="1">
        <f>'Income tables 2001-24'!AP33</f>
        <v>36050</v>
      </c>
      <c r="D27" s="1">
        <f>'Income tables 2001-24'!BR33</f>
        <v>49910</v>
      </c>
      <c r="E27" s="1">
        <f>'Income tables 2001-24'!BU33</f>
        <v>130830</v>
      </c>
      <c r="F27" s="52">
        <f>'Income tables 2001-24'!L33</f>
        <v>1014.6</v>
      </c>
      <c r="G27" s="52">
        <f>'Income tables 2001-24'!AQ33</f>
        <v>847.7</v>
      </c>
      <c r="H27" s="52">
        <f>'Income tables 2001-24'!BS33</f>
        <v>1172.3399999999999</v>
      </c>
      <c r="I27" s="52">
        <f>'Income tables 2001-24'!BV33</f>
        <v>3047.46</v>
      </c>
      <c r="J27" s="52">
        <f>'Income tables 2001-24'!M33</f>
        <v>188.6</v>
      </c>
      <c r="K27" s="52">
        <f>'Income tables 2001-24'!AR33</f>
        <v>112.7</v>
      </c>
      <c r="L27" s="52">
        <f>'Income tables 2001-24'!BT33</f>
        <v>156.18217591999999</v>
      </c>
      <c r="M27" s="52">
        <f>'Income tables 2001-24'!BW33</f>
        <v>405.011053</v>
      </c>
      <c r="Q27" t="s">
        <v>60</v>
      </c>
      <c r="R27">
        <f>'Age by income band distribution'!B30</f>
        <v>200</v>
      </c>
      <c r="S27">
        <f>'Age by income band distribution'!C30</f>
        <v>30</v>
      </c>
      <c r="T27">
        <f>'Age by income band distribution'!D30+'Age by income band distribution'!E30</f>
        <v>8630</v>
      </c>
      <c r="U27">
        <f>'Age by income band distribution'!F30+'Age by income band distribution'!G30</f>
        <v>6860</v>
      </c>
      <c r="V27">
        <f>'Age by income band distribution'!H30+'Age by income band distribution'!I30</f>
        <v>4530</v>
      </c>
      <c r="W27">
        <f>'Age by income band distribution'!J30+'Age by income band distribution'!K30</f>
        <v>3880</v>
      </c>
      <c r="X27">
        <f>'Age by income band distribution'!L30+'Age by income band distribution'!M30</f>
        <v>5140</v>
      </c>
      <c r="Y27">
        <f>'Age by income band distribution'!N30+'Age by income band distribution'!O30+'Age by income band distribution'!P30</f>
        <v>80920</v>
      </c>
    </row>
    <row r="28" spans="1:25" x14ac:dyDescent="0.2">
      <c r="A28" s="50">
        <v>25000</v>
      </c>
      <c r="B28" s="1">
        <f>'Income tables 2001-24'!K34</f>
        <v>44940</v>
      </c>
      <c r="C28" s="1">
        <f>'Income tables 2001-24'!AP34</f>
        <v>38760</v>
      </c>
      <c r="D28" s="1">
        <f>'Income tables 2001-24'!BR34</f>
        <v>45630</v>
      </c>
      <c r="E28" s="1">
        <f>'Income tables 2001-24'!BU34</f>
        <v>54760</v>
      </c>
      <c r="F28" s="52">
        <f>'Income tables 2001-24'!L34</f>
        <v>1100.9000000000001</v>
      </c>
      <c r="G28" s="52">
        <f>'Income tables 2001-24'!AQ34</f>
        <v>949.2</v>
      </c>
      <c r="H28" s="52">
        <f>'Income tables 2001-24'!BS34</f>
        <v>1117.58</v>
      </c>
      <c r="I28" s="52">
        <f>'Income tables 2001-24'!BV34</f>
        <v>1340.53</v>
      </c>
      <c r="J28" s="52">
        <f>'Income tables 2001-24'!M34</f>
        <v>205.7</v>
      </c>
      <c r="K28" s="52">
        <f>'Income tables 2001-24'!AR34</f>
        <v>120</v>
      </c>
      <c r="L28" s="52">
        <f>'Income tables 2001-24'!BT34</f>
        <v>143.40245752000001</v>
      </c>
      <c r="M28" s="52">
        <f>'Income tables 2001-24'!BW34</f>
        <v>172.99139405000003</v>
      </c>
      <c r="Q28" t="s">
        <v>61</v>
      </c>
      <c r="R28">
        <f>'Age by income band distribution'!B31</f>
        <v>100</v>
      </c>
      <c r="S28">
        <f>'Age by income band distribution'!C31</f>
        <v>50</v>
      </c>
      <c r="T28">
        <f>'Age by income band distribution'!D31+'Age by income band distribution'!E31</f>
        <v>12330</v>
      </c>
      <c r="U28">
        <f>'Age by income band distribution'!F31+'Age by income band distribution'!G31</f>
        <v>14020</v>
      </c>
      <c r="V28">
        <f>'Age by income band distribution'!H31+'Age by income band distribution'!I31</f>
        <v>11880</v>
      </c>
      <c r="W28">
        <f>'Age by income band distribution'!J31+'Age by income band distribution'!K31</f>
        <v>16260</v>
      </c>
      <c r="X28">
        <f>'Age by income band distribution'!L31+'Age by income band distribution'!M31</f>
        <v>27030</v>
      </c>
      <c r="Y28">
        <f>'Age by income band distribution'!N31+'Age by income band distribution'!O31+'Age by income band distribution'!P31</f>
        <v>49180</v>
      </c>
    </row>
    <row r="29" spans="1:25" x14ac:dyDescent="0.2">
      <c r="A29" s="50">
        <v>26000</v>
      </c>
      <c r="B29" s="1">
        <f>'Income tables 2001-24'!K35</f>
        <v>40620</v>
      </c>
      <c r="C29" s="1">
        <f>'Income tables 2001-24'!AP35</f>
        <v>35580</v>
      </c>
      <c r="D29" s="1">
        <f>'Income tables 2001-24'!BR35</f>
        <v>78530</v>
      </c>
      <c r="E29" s="1">
        <f>'Income tables 2001-24'!BU35</f>
        <v>47750</v>
      </c>
      <c r="F29" s="52">
        <f>'Income tables 2001-24'!L35</f>
        <v>1036</v>
      </c>
      <c r="G29" s="52">
        <f>'Income tables 2001-24'!AQ35</f>
        <v>907.5</v>
      </c>
      <c r="H29" s="52">
        <f>'Income tables 2001-24'!BS35</f>
        <v>2012.11</v>
      </c>
      <c r="I29" s="52">
        <f>'Income tables 2001-24'!BV35</f>
        <v>1217.25</v>
      </c>
      <c r="J29" s="52">
        <f>'Income tables 2001-24'!M35</f>
        <v>194.5</v>
      </c>
      <c r="K29" s="52">
        <f>'Income tables 2001-24'!AR35</f>
        <v>117</v>
      </c>
      <c r="L29" s="52">
        <f>'Income tables 2001-24'!BT35</f>
        <v>268.17219691999998</v>
      </c>
      <c r="M29" s="52">
        <f>'Income tables 2001-24'!BW35</f>
        <v>158.56572069000001</v>
      </c>
      <c r="Q29" t="s">
        <v>62</v>
      </c>
      <c r="R29">
        <f>'Age by income band distribution'!B32</f>
        <v>60</v>
      </c>
      <c r="S29">
        <f>'Age by income band distribution'!C32</f>
        <v>30</v>
      </c>
      <c r="T29">
        <f>'Age by income band distribution'!D32+'Age by income band distribution'!E32</f>
        <v>7550</v>
      </c>
      <c r="U29">
        <f>'Age by income band distribution'!F32+'Age by income band distribution'!G32</f>
        <v>6650</v>
      </c>
      <c r="V29">
        <f>'Age by income band distribution'!H32+'Age by income band distribution'!I32</f>
        <v>4640</v>
      </c>
      <c r="W29">
        <f>'Age by income band distribution'!J32+'Age by income band distribution'!K32</f>
        <v>3660</v>
      </c>
      <c r="X29">
        <f>'Age by income band distribution'!L32+'Age by income band distribution'!M32</f>
        <v>4620</v>
      </c>
      <c r="Y29">
        <f>'Age by income band distribution'!N32+'Age by income band distribution'!O32+'Age by income band distribution'!P32</f>
        <v>27540</v>
      </c>
    </row>
    <row r="30" spans="1:25" x14ac:dyDescent="0.2">
      <c r="A30" s="50">
        <v>27000</v>
      </c>
      <c r="B30" s="1">
        <f>'Income tables 2001-24'!K36</f>
        <v>40180</v>
      </c>
      <c r="C30" s="1">
        <f>'Income tables 2001-24'!AP36</f>
        <v>35030</v>
      </c>
      <c r="D30" s="1">
        <f>'Income tables 2001-24'!BR36</f>
        <v>87730</v>
      </c>
      <c r="E30" s="1">
        <f>'Income tables 2001-24'!BU36</f>
        <v>44010</v>
      </c>
      <c r="F30" s="52">
        <f>'Income tables 2001-24'!L36</f>
        <v>1064.5999999999999</v>
      </c>
      <c r="G30" s="52">
        <f>'Income tables 2001-24'!AQ36</f>
        <v>928</v>
      </c>
      <c r="H30" s="52">
        <f>'Income tables 2001-24'!BS36</f>
        <v>2327.44</v>
      </c>
      <c r="I30" s="52">
        <f>'Income tables 2001-24'!BV36</f>
        <v>1166.19</v>
      </c>
      <c r="J30" s="52">
        <f>'Income tables 2001-24'!M36</f>
        <v>200.8</v>
      </c>
      <c r="K30" s="52">
        <f>'Income tables 2001-24'!AR36</f>
        <v>119.8</v>
      </c>
      <c r="L30" s="52">
        <f>'Income tables 2001-24'!BT36</f>
        <v>314.26626812000001</v>
      </c>
      <c r="M30" s="52">
        <f>'Income tables 2001-24'!BW36</f>
        <v>153.48621978</v>
      </c>
      <c r="Q30" t="s">
        <v>63</v>
      </c>
      <c r="R30">
        <f>'Age by income band distribution'!B33</f>
        <v>60</v>
      </c>
      <c r="S30">
        <f>'Age by income band distribution'!C33</f>
        <v>30</v>
      </c>
      <c r="T30">
        <f>'Age by income band distribution'!D33+'Age by income band distribution'!E33</f>
        <v>7240</v>
      </c>
      <c r="U30">
        <f>'Age by income band distribution'!F33+'Age by income band distribution'!G33</f>
        <v>6550</v>
      </c>
      <c r="V30">
        <f>'Age by income band distribution'!H33+'Age by income band distribution'!I33</f>
        <v>4410</v>
      </c>
      <c r="W30">
        <f>'Age by income band distribution'!J33+'Age by income band distribution'!K33</f>
        <v>3470</v>
      </c>
      <c r="X30">
        <f>'Age by income band distribution'!L33+'Age by income band distribution'!M33</f>
        <v>4010</v>
      </c>
      <c r="Y30">
        <f>'Age by income band distribution'!N33+'Age by income band distribution'!O33+'Age by income band distribution'!P33</f>
        <v>21970</v>
      </c>
    </row>
    <row r="31" spans="1:25" x14ac:dyDescent="0.2">
      <c r="A31" s="50">
        <v>28000</v>
      </c>
      <c r="B31" s="1">
        <f>'Income tables 2001-24'!K37</f>
        <v>39670</v>
      </c>
      <c r="C31" s="1">
        <f>'Income tables 2001-24'!AP37</f>
        <v>34990</v>
      </c>
      <c r="D31" s="1">
        <f>'Income tables 2001-24'!BR37</f>
        <v>93760</v>
      </c>
      <c r="E31" s="1">
        <f>'Income tables 2001-24'!BU37</f>
        <v>78680</v>
      </c>
      <c r="F31" s="52">
        <f>'Income tables 2001-24'!L37</f>
        <v>1090.8</v>
      </c>
      <c r="G31" s="52">
        <f>'Income tables 2001-24'!AQ37</f>
        <v>962.4</v>
      </c>
      <c r="H31" s="52">
        <f>'Income tables 2001-24'!BS37</f>
        <v>2601.0100000000002</v>
      </c>
      <c r="I31" s="52">
        <f>'Income tables 2001-24'!BV37</f>
        <v>2170.83</v>
      </c>
      <c r="J31" s="52">
        <f>'Income tables 2001-24'!M37</f>
        <v>206.5</v>
      </c>
      <c r="K31" s="52">
        <f>'Income tables 2001-24'!AR37</f>
        <v>126.1</v>
      </c>
      <c r="L31" s="52">
        <f>'Income tables 2001-24'!BT37</f>
        <v>356.20505437000003</v>
      </c>
      <c r="M31" s="52">
        <f>'Income tables 2001-24'!BW37</f>
        <v>295.26048573000003</v>
      </c>
      <c r="Q31" t="s">
        <v>64</v>
      </c>
      <c r="R31">
        <f>'Age by income band distribution'!B34</f>
        <v>50</v>
      </c>
      <c r="S31">
        <f>'Age by income band distribution'!C34</f>
        <v>20</v>
      </c>
      <c r="T31">
        <f>'Age by income band distribution'!D34+'Age by income band distribution'!E34</f>
        <v>6790</v>
      </c>
      <c r="U31">
        <f>'Age by income band distribution'!F34+'Age by income band distribution'!G34</f>
        <v>6580</v>
      </c>
      <c r="V31">
        <f>'Age by income band distribution'!H34+'Age by income band distribution'!I34</f>
        <v>4770</v>
      </c>
      <c r="W31">
        <f>'Age by income band distribution'!J34+'Age by income band distribution'!K34</f>
        <v>3700</v>
      </c>
      <c r="X31">
        <f>'Age by income band distribution'!L34+'Age by income band distribution'!M34</f>
        <v>3840</v>
      </c>
      <c r="Y31">
        <f>'Age by income band distribution'!N34+'Age by income band distribution'!O34+'Age by income band distribution'!P34</f>
        <v>18270</v>
      </c>
    </row>
    <row r="32" spans="1:25" x14ac:dyDescent="0.2">
      <c r="A32" s="50">
        <v>29000</v>
      </c>
      <c r="B32" s="1">
        <f>'Income tables 2001-24'!K38</f>
        <v>39960</v>
      </c>
      <c r="C32" s="1">
        <f>'Income tables 2001-24'!AP38</f>
        <v>33900</v>
      </c>
      <c r="D32" s="1">
        <f>'Income tables 2001-24'!BR38</f>
        <v>81130</v>
      </c>
      <c r="E32" s="1">
        <f>'Income tables 2001-24'!BU38</f>
        <v>88270</v>
      </c>
      <c r="F32" s="52">
        <f>'Income tables 2001-24'!L38</f>
        <v>1138.9000000000001</v>
      </c>
      <c r="G32" s="52">
        <f>'Income tables 2001-24'!AQ38</f>
        <v>966.3</v>
      </c>
      <c r="H32" s="52">
        <f>'Income tables 2001-24'!BS38</f>
        <v>2304.66</v>
      </c>
      <c r="I32" s="52">
        <f>'Income tables 2001-24'!BV38</f>
        <v>2518.16</v>
      </c>
      <c r="J32" s="52">
        <f>'Income tables 2001-24'!M38</f>
        <v>216.5</v>
      </c>
      <c r="K32" s="52">
        <f>'Income tables 2001-24'!AR38</f>
        <v>127.7</v>
      </c>
      <c r="L32" s="52">
        <f>'Income tables 2001-24'!BT38</f>
        <v>316.67028031000001</v>
      </c>
      <c r="M32" s="52">
        <f>'Income tables 2001-24'!BW38</f>
        <v>346.70392261000001</v>
      </c>
      <c r="Q32" t="s">
        <v>65</v>
      </c>
      <c r="R32">
        <f>'Age by income band distribution'!B35</f>
        <v>100</v>
      </c>
      <c r="S32">
        <f>'Age by income band distribution'!C35</f>
        <v>20</v>
      </c>
      <c r="T32">
        <f>'Age by income band distribution'!D35+'Age by income band distribution'!E35</f>
        <v>6790</v>
      </c>
      <c r="U32">
        <f>'Age by income band distribution'!F35+'Age by income band distribution'!G35</f>
        <v>7250</v>
      </c>
      <c r="V32">
        <f>'Age by income band distribution'!H35+'Age by income band distribution'!I35</f>
        <v>5210</v>
      </c>
      <c r="W32">
        <f>'Age by income band distribution'!J35+'Age by income band distribution'!K35</f>
        <v>3660</v>
      </c>
      <c r="X32">
        <f>'Age by income band distribution'!L35+'Age by income band distribution'!M35</f>
        <v>3790</v>
      </c>
      <c r="Y32">
        <f>'Age by income band distribution'!N35+'Age by income band distribution'!O35+'Age by income band distribution'!P35</f>
        <v>51870</v>
      </c>
    </row>
    <row r="33" spans="1:25" x14ac:dyDescent="0.2">
      <c r="A33" s="50">
        <v>30000</v>
      </c>
      <c r="B33" s="1">
        <f>'Income tables 2001-24'!K39</f>
        <v>41680</v>
      </c>
      <c r="C33" s="1">
        <f>'Income tables 2001-24'!AP39</f>
        <v>35420</v>
      </c>
      <c r="D33" s="1">
        <f>'Income tables 2001-24'!BR39</f>
        <v>54310</v>
      </c>
      <c r="E33" s="1">
        <f>'Income tables 2001-24'!BU39</f>
        <v>46080</v>
      </c>
      <c r="F33" s="52">
        <f>'Income tables 2001-24'!L39</f>
        <v>1230.0999999999999</v>
      </c>
      <c r="G33" s="52">
        <f>'Income tables 2001-24'!AQ39</f>
        <v>1044.8</v>
      </c>
      <c r="H33" s="52">
        <f>'Income tables 2001-24'!BS39</f>
        <v>1602.65</v>
      </c>
      <c r="I33" s="52">
        <f>'Income tables 2001-24'!BV39</f>
        <v>1359.32</v>
      </c>
      <c r="J33" s="52">
        <f>'Income tables 2001-24'!M39</f>
        <v>234.6</v>
      </c>
      <c r="K33" s="52">
        <f>'Income tables 2001-24'!AR39</f>
        <v>139.30000000000001</v>
      </c>
      <c r="L33" s="52">
        <f>'Income tables 2001-24'!BT39</f>
        <v>220.04915094999998</v>
      </c>
      <c r="M33" s="52">
        <f>'Income tables 2001-24'!BW39</f>
        <v>185.18004065</v>
      </c>
      <c r="Q33" t="s">
        <v>66</v>
      </c>
      <c r="R33">
        <f>'Age by income band distribution'!B36</f>
        <v>50</v>
      </c>
      <c r="S33">
        <f>'Age by income band distribution'!C36</f>
        <v>10</v>
      </c>
      <c r="T33">
        <f>'Age by income band distribution'!D36+'Age by income band distribution'!E36</f>
        <v>11410</v>
      </c>
      <c r="U33">
        <f>'Age by income band distribution'!F36+'Age by income band distribution'!G36</f>
        <v>23970</v>
      </c>
      <c r="V33">
        <f>'Age by income band distribution'!H36+'Age by income band distribution'!I36</f>
        <v>16700</v>
      </c>
      <c r="W33">
        <f>'Age by income band distribution'!J36+'Age by income band distribution'!K36</f>
        <v>8780</v>
      </c>
      <c r="X33">
        <f>'Age by income band distribution'!L36+'Age by income band distribution'!M36</f>
        <v>5120</v>
      </c>
      <c r="Y33">
        <f>'Age by income band distribution'!N36+'Age by income band distribution'!O36+'Age by income band distribution'!P36</f>
        <v>22220</v>
      </c>
    </row>
    <row r="34" spans="1:25" x14ac:dyDescent="0.2">
      <c r="A34" s="50">
        <v>31000</v>
      </c>
      <c r="B34" s="1">
        <f>'Income tables 2001-24'!K40</f>
        <v>39800</v>
      </c>
      <c r="C34" s="1">
        <f>'Income tables 2001-24'!AP40</f>
        <v>35370</v>
      </c>
      <c r="D34" s="1">
        <f>'Income tables 2001-24'!BR40</f>
        <v>42780</v>
      </c>
      <c r="E34" s="1">
        <f>'Income tables 2001-24'!BU40</f>
        <v>115500</v>
      </c>
      <c r="F34" s="52">
        <f>'Income tables 2001-24'!L40</f>
        <v>1213.9000000000001</v>
      </c>
      <c r="G34" s="52">
        <f>'Income tables 2001-24'!AQ40</f>
        <v>1078.7</v>
      </c>
      <c r="H34" s="52">
        <f>'Income tables 2001-24'!BS40</f>
        <v>1304.07</v>
      </c>
      <c r="I34" s="52">
        <f>'Income tables 2001-24'!BV40</f>
        <v>3500.62</v>
      </c>
      <c r="J34" s="52">
        <f>'Income tables 2001-24'!M40</f>
        <v>232.3</v>
      </c>
      <c r="K34" s="52">
        <f>'Income tables 2001-24'!AR40</f>
        <v>145.4</v>
      </c>
      <c r="L34" s="52">
        <f>'Income tables 2001-24'!BT40</f>
        <v>179.13512064</v>
      </c>
      <c r="M34" s="52">
        <f>'Income tables 2001-24'!BW40</f>
        <v>491.87412875999996</v>
      </c>
      <c r="Q34" t="s">
        <v>67</v>
      </c>
      <c r="R34">
        <f>'Age by income band distribution'!B37</f>
        <v>50</v>
      </c>
      <c r="S34">
        <f>'Age by income band distribution'!C37</f>
        <v>20</v>
      </c>
      <c r="T34">
        <f>'Age by income band distribution'!D37+'Age by income band distribution'!E37</f>
        <v>6430</v>
      </c>
      <c r="U34">
        <f>'Age by income band distribution'!F37+'Age by income band distribution'!G37</f>
        <v>7790</v>
      </c>
      <c r="V34">
        <f>'Age by income band distribution'!H37+'Age by income band distribution'!I37</f>
        <v>5350</v>
      </c>
      <c r="W34">
        <f>'Age by income band distribution'!J37+'Age by income band distribution'!K37</f>
        <v>3970</v>
      </c>
      <c r="X34">
        <f>'Age by income band distribution'!L37+'Age by income band distribution'!M37</f>
        <v>4000</v>
      </c>
      <c r="Y34">
        <f>'Age by income band distribution'!N37+'Age by income band distribution'!O37+'Age by income band distribution'!P37</f>
        <v>18480</v>
      </c>
    </row>
    <row r="35" spans="1:25" x14ac:dyDescent="0.2">
      <c r="A35" s="50">
        <v>32000</v>
      </c>
      <c r="B35" s="1">
        <f>'Income tables 2001-24'!K41</f>
        <v>38230</v>
      </c>
      <c r="C35" s="1">
        <f>'Income tables 2001-24'!AP41</f>
        <v>34600</v>
      </c>
      <c r="D35" s="1">
        <f>'Income tables 2001-24'!BR41</f>
        <v>38330</v>
      </c>
      <c r="E35" s="1">
        <f>'Income tables 2001-24'!BU41</f>
        <v>49810</v>
      </c>
      <c r="F35" s="52">
        <f>'Income tables 2001-24'!L41</f>
        <v>1204.7</v>
      </c>
      <c r="G35" s="52">
        <f>'Income tables 2001-24'!AQ41</f>
        <v>1089.5</v>
      </c>
      <c r="H35" s="52">
        <f>'Income tables 2001-24'!BS41</f>
        <v>1207.26</v>
      </c>
      <c r="I35" s="52">
        <f>'Income tables 2001-24'!BV41</f>
        <v>1568.33</v>
      </c>
      <c r="J35" s="52">
        <f>'Income tables 2001-24'!M41</f>
        <v>231.3</v>
      </c>
      <c r="K35" s="52">
        <f>'Income tables 2001-24'!AR41</f>
        <v>147.4</v>
      </c>
      <c r="L35" s="52">
        <f>'Income tables 2001-24'!BT41</f>
        <v>166.54140107000001</v>
      </c>
      <c r="M35" s="52">
        <f>'Income tables 2001-24'!BW41</f>
        <v>218.13996327999999</v>
      </c>
      <c r="Q35" t="s">
        <v>68</v>
      </c>
      <c r="R35">
        <f>'Age by income band distribution'!B38</f>
        <v>140</v>
      </c>
      <c r="S35">
        <f>'Age by income band distribution'!C38</f>
        <v>20</v>
      </c>
      <c r="T35">
        <f>'Age by income band distribution'!D38+'Age by income band distribution'!E38</f>
        <v>5800</v>
      </c>
      <c r="U35">
        <f>'Age by income band distribution'!F38+'Age by income band distribution'!G38</f>
        <v>7160</v>
      </c>
      <c r="V35">
        <f>'Age by income band distribution'!H38+'Age by income band distribution'!I38</f>
        <v>5280</v>
      </c>
      <c r="W35">
        <f>'Age by income band distribution'!J38+'Age by income band distribution'!K38</f>
        <v>3630</v>
      </c>
      <c r="X35">
        <f>'Age by income band distribution'!L38+'Age by income band distribution'!M38</f>
        <v>3740</v>
      </c>
      <c r="Y35">
        <f>'Age by income band distribution'!N38+'Age by income band distribution'!O38+'Age by income band distribution'!P38</f>
        <v>89750</v>
      </c>
    </row>
    <row r="36" spans="1:25" x14ac:dyDescent="0.2">
      <c r="A36" s="50">
        <v>33000</v>
      </c>
      <c r="B36" s="1">
        <f>'Income tables 2001-24'!K42</f>
        <v>38510</v>
      </c>
      <c r="C36" s="1">
        <f>'Income tables 2001-24'!AP42</f>
        <v>35680</v>
      </c>
      <c r="D36" s="1">
        <f>'Income tables 2001-24'!BR42</f>
        <v>35740</v>
      </c>
      <c r="E36" s="1">
        <f>'Income tables 2001-24'!BU42</f>
        <v>47980</v>
      </c>
      <c r="F36" s="52">
        <f>'Income tables 2001-24'!L42</f>
        <v>1252</v>
      </c>
      <c r="G36" s="52">
        <f>'Income tables 2001-24'!AQ42</f>
        <v>1159.8</v>
      </c>
      <c r="H36" s="52">
        <f>'Income tables 2001-24'!BS42</f>
        <v>1161.3699999999999</v>
      </c>
      <c r="I36" s="52">
        <f>'Income tables 2001-24'!BV42</f>
        <v>1557.12</v>
      </c>
      <c r="J36" s="52">
        <f>'Income tables 2001-24'!M42</f>
        <v>241</v>
      </c>
      <c r="K36" s="52">
        <f>'Income tables 2001-24'!AR42</f>
        <v>158.1</v>
      </c>
      <c r="L36" s="52">
        <f>'Income tables 2001-24'!BT42</f>
        <v>160.9575983</v>
      </c>
      <c r="M36" s="52">
        <f>'Income tables 2001-24'!BW42</f>
        <v>217.84641299</v>
      </c>
      <c r="Q36" t="s">
        <v>69</v>
      </c>
      <c r="R36">
        <f>'Age by income band distribution'!B39</f>
        <v>40</v>
      </c>
      <c r="S36">
        <f>'Age by income band distribution'!C39</f>
        <v>20</v>
      </c>
      <c r="T36">
        <f>'Age by income band distribution'!D39+'Age by income band distribution'!E39</f>
        <v>5670</v>
      </c>
      <c r="U36">
        <f>'Age by income band distribution'!F39+'Age by income band distribution'!G39</f>
        <v>6930</v>
      </c>
      <c r="V36">
        <f>'Age by income band distribution'!H39+'Age by income band distribution'!I39</f>
        <v>5050</v>
      </c>
      <c r="W36">
        <f>'Age by income band distribution'!J39+'Age by income band distribution'!K39</f>
        <v>3720</v>
      </c>
      <c r="X36">
        <f>'Age by income band distribution'!L39+'Age by income band distribution'!M39</f>
        <v>3670</v>
      </c>
      <c r="Y36">
        <f>'Age by income band distribution'!N39+'Age by income band distribution'!O39+'Age by income band distribution'!P39</f>
        <v>24710</v>
      </c>
    </row>
    <row r="37" spans="1:25" x14ac:dyDescent="0.2">
      <c r="A37" s="50">
        <v>34000</v>
      </c>
      <c r="B37" s="1">
        <f>'Income tables 2001-24'!K43</f>
        <v>38380</v>
      </c>
      <c r="C37" s="1">
        <f>'Income tables 2001-24'!AP43</f>
        <v>34850</v>
      </c>
      <c r="D37" s="1">
        <f>'Income tables 2001-24'!BR43</f>
        <v>34550</v>
      </c>
      <c r="E37" s="1">
        <f>'Income tables 2001-24'!BU43</f>
        <v>41300</v>
      </c>
      <c r="F37" s="52">
        <f>'Income tables 2001-24'!L43</f>
        <v>1286.0999999999999</v>
      </c>
      <c r="G37" s="52">
        <f>'Income tables 2001-24'!AQ43</f>
        <v>1167.7</v>
      </c>
      <c r="H37" s="52">
        <f>'Income tables 2001-24'!BS43</f>
        <v>1157.3699999999999</v>
      </c>
      <c r="I37" s="52">
        <f>'Income tables 2001-24'!BV43</f>
        <v>1383.62</v>
      </c>
      <c r="J37" s="52">
        <f>'Income tables 2001-24'!M43</f>
        <v>248.2</v>
      </c>
      <c r="K37" s="52">
        <f>'Income tables 2001-24'!AR43</f>
        <v>160.4</v>
      </c>
      <c r="L37" s="52">
        <f>'Income tables 2001-24'!BT43</f>
        <v>161.25496615</v>
      </c>
      <c r="M37" s="52">
        <f>'Income tables 2001-24'!BW43</f>
        <v>193.84886674000001</v>
      </c>
      <c r="Q37" t="s">
        <v>70</v>
      </c>
      <c r="R37">
        <f>'Age by income band distribution'!B40</f>
        <v>40</v>
      </c>
      <c r="S37">
        <f>'Age by income band distribution'!C40</f>
        <v>10</v>
      </c>
      <c r="T37">
        <f>'Age by income band distribution'!D40+'Age by income band distribution'!E40</f>
        <v>5610</v>
      </c>
      <c r="U37">
        <f>'Age by income band distribution'!F40+'Age by income band distribution'!G40</f>
        <v>7500</v>
      </c>
      <c r="V37">
        <f>'Age by income band distribution'!H40+'Age by income band distribution'!I40</f>
        <v>6290</v>
      </c>
      <c r="W37">
        <f>'Age by income band distribution'!J40+'Age by income band distribution'!K40</f>
        <v>4940</v>
      </c>
      <c r="X37">
        <f>'Age by income band distribution'!L40+'Age by income band distribution'!M40</f>
        <v>4180</v>
      </c>
      <c r="Y37">
        <f>'Age by income band distribution'!N40+'Age by income band distribution'!O40+'Age by income band distribution'!P40</f>
        <v>19430</v>
      </c>
    </row>
    <row r="38" spans="1:25" x14ac:dyDescent="0.2">
      <c r="A38" s="50">
        <v>35000</v>
      </c>
      <c r="B38" s="1">
        <f>'Income tables 2001-24'!K44</f>
        <v>36760</v>
      </c>
      <c r="C38" s="1">
        <f>'Income tables 2001-24'!AP44</f>
        <v>35520</v>
      </c>
      <c r="D38" s="1">
        <f>'Income tables 2001-24'!BR44</f>
        <v>34590</v>
      </c>
      <c r="E38" s="1">
        <f>'Income tables 2001-24'!BU44</f>
        <v>38570</v>
      </c>
      <c r="F38" s="52">
        <f>'Income tables 2001-24'!L44</f>
        <v>1268.9000000000001</v>
      </c>
      <c r="G38" s="52">
        <f>'Income tables 2001-24'!AQ44</f>
        <v>1225.5999999999999</v>
      </c>
      <c r="H38" s="52">
        <f>'Income tables 2001-24'!BS44</f>
        <v>1193.45</v>
      </c>
      <c r="I38" s="52">
        <f>'Income tables 2001-24'!BV44</f>
        <v>1330.41</v>
      </c>
      <c r="J38" s="52">
        <f>'Income tables 2001-24'!M44</f>
        <v>245.5</v>
      </c>
      <c r="K38" s="52">
        <f>'Income tables 2001-24'!AR44</f>
        <v>169.1</v>
      </c>
      <c r="L38" s="52">
        <f>'Income tables 2001-24'!BT44</f>
        <v>166.77087381000001</v>
      </c>
      <c r="M38" s="52">
        <f>'Income tables 2001-24'!BW44</f>
        <v>187.19473268000002</v>
      </c>
      <c r="Q38" t="s">
        <v>71</v>
      </c>
      <c r="R38">
        <f>'Age by income band distribution'!B41</f>
        <v>50</v>
      </c>
      <c r="S38">
        <f>'Age by income band distribution'!C41</f>
        <v>10</v>
      </c>
      <c r="T38">
        <f>'Age by income band distribution'!D41+'Age by income band distribution'!E41</f>
        <v>5350</v>
      </c>
      <c r="U38">
        <f>'Age by income band distribution'!F41+'Age by income band distribution'!G41</f>
        <v>6730</v>
      </c>
      <c r="V38">
        <f>'Age by income band distribution'!H41+'Age by income band distribution'!I41</f>
        <v>4990</v>
      </c>
      <c r="W38">
        <f>'Age by income band distribution'!J41+'Age by income band distribution'!K41</f>
        <v>3660</v>
      </c>
      <c r="X38">
        <f>'Age by income band distribution'!L41+'Age by income band distribution'!M41</f>
        <v>3720</v>
      </c>
      <c r="Y38">
        <f>'Age by income band distribution'!N41+'Age by income band distribution'!O41+'Age by income band distribution'!P41</f>
        <v>16800</v>
      </c>
    </row>
    <row r="39" spans="1:25" x14ac:dyDescent="0.2">
      <c r="A39" s="50">
        <v>36000</v>
      </c>
      <c r="B39" s="1">
        <f>'Income tables 2001-24'!K45</f>
        <v>38920</v>
      </c>
      <c r="C39" s="1">
        <f>'Income tables 2001-24'!AP45</f>
        <v>34790</v>
      </c>
      <c r="D39" s="1">
        <f>'Income tables 2001-24'!BR45</f>
        <v>32730</v>
      </c>
      <c r="E39" s="1">
        <f>'Income tables 2001-24'!BU45</f>
        <v>36570</v>
      </c>
      <c r="F39" s="52">
        <f>'Income tables 2001-24'!L45</f>
        <v>1381.6</v>
      </c>
      <c r="G39" s="52">
        <f>'Income tables 2001-24'!AQ45</f>
        <v>1234.8</v>
      </c>
      <c r="H39" s="52">
        <f>'Income tables 2001-24'!BS45</f>
        <v>1161.94</v>
      </c>
      <c r="I39" s="52">
        <f>'Income tables 2001-24'!BV45</f>
        <v>1298.21</v>
      </c>
      <c r="J39" s="52">
        <f>'Income tables 2001-24'!M45</f>
        <v>268</v>
      </c>
      <c r="K39" s="52">
        <f>'Income tables 2001-24'!AR45</f>
        <v>172.5</v>
      </c>
      <c r="L39" s="52">
        <f>'Income tables 2001-24'!BT45</f>
        <v>163.26396762000002</v>
      </c>
      <c r="M39" s="52">
        <f>'Income tables 2001-24'!BW45</f>
        <v>183.49358430000001</v>
      </c>
      <c r="Q39" t="s">
        <v>72</v>
      </c>
      <c r="R39">
        <f>'Age by income band distribution'!B42</f>
        <v>40</v>
      </c>
      <c r="S39">
        <f>'Age by income band distribution'!C42</f>
        <v>10</v>
      </c>
      <c r="T39">
        <f>'Age by income band distribution'!D42+'Age by income band distribution'!E42</f>
        <v>5180</v>
      </c>
      <c r="U39">
        <f>'Age by income band distribution'!F42+'Age by income band distribution'!G42</f>
        <v>6680</v>
      </c>
      <c r="V39">
        <f>'Age by income band distribution'!H42+'Age by income band distribution'!I42</f>
        <v>4940</v>
      </c>
      <c r="W39">
        <f>'Age by income band distribution'!J42+'Age by income band distribution'!K42</f>
        <v>3660</v>
      </c>
      <c r="X39">
        <f>'Age by income band distribution'!L42+'Age by income band distribution'!M42</f>
        <v>3580</v>
      </c>
      <c r="Y39">
        <f>'Age by income band distribution'!N42+'Age by income band distribution'!O42+'Age by income band distribution'!P42</f>
        <v>14510</v>
      </c>
    </row>
    <row r="40" spans="1:25" x14ac:dyDescent="0.2">
      <c r="A40" s="50">
        <v>37000</v>
      </c>
      <c r="B40" s="1">
        <f>'Income tables 2001-24'!K46</f>
        <v>36300</v>
      </c>
      <c r="C40" s="1">
        <f>'Income tables 2001-24'!AP46</f>
        <v>35790</v>
      </c>
      <c r="D40" s="1">
        <f>'Income tables 2001-24'!BR46</f>
        <v>31260</v>
      </c>
      <c r="E40" s="1">
        <f>'Income tables 2001-24'!BU46</f>
        <v>35300</v>
      </c>
      <c r="F40" s="52">
        <f>'Income tables 2001-24'!L46</f>
        <v>1325.3</v>
      </c>
      <c r="G40" s="52">
        <f>'Income tables 2001-24'!AQ46</f>
        <v>1306.3</v>
      </c>
      <c r="H40" s="52">
        <f>'Income tables 2001-24'!BS46</f>
        <v>1141.07</v>
      </c>
      <c r="I40" s="52">
        <f>'Income tables 2001-24'!BV46</f>
        <v>1288.29</v>
      </c>
      <c r="J40" s="52">
        <f>'Income tables 2001-24'!M46</f>
        <v>257.60000000000002</v>
      </c>
      <c r="K40" s="52">
        <f>'Income tables 2001-24'!AR46</f>
        <v>182.7</v>
      </c>
      <c r="L40" s="52">
        <f>'Income tables 2001-24'!BT46</f>
        <v>161.21829596000001</v>
      </c>
      <c r="M40" s="52">
        <f>'Income tables 2001-24'!BW46</f>
        <v>182.80416828</v>
      </c>
      <c r="Q40" t="s">
        <v>73</v>
      </c>
      <c r="R40">
        <f>'Age by income band distribution'!B43</f>
        <v>50</v>
      </c>
      <c r="S40">
        <f>'Age by income band distribution'!C43</f>
        <v>10</v>
      </c>
      <c r="T40">
        <f>'Age by income band distribution'!D43+'Age by income band distribution'!E43</f>
        <v>5010</v>
      </c>
      <c r="U40">
        <f>'Age by income band distribution'!F43+'Age by income band distribution'!G43</f>
        <v>6460</v>
      </c>
      <c r="V40">
        <f>'Age by income band distribution'!H43+'Age by income band distribution'!I43</f>
        <v>4780</v>
      </c>
      <c r="W40">
        <f>'Age by income band distribution'!J43+'Age by income band distribution'!K43</f>
        <v>3520</v>
      </c>
      <c r="X40">
        <f>'Age by income band distribution'!L43+'Age by income band distribution'!M43</f>
        <v>3550</v>
      </c>
      <c r="Y40">
        <f>'Age by income band distribution'!N43+'Age by income band distribution'!O43+'Age by income band distribution'!P43</f>
        <v>13210</v>
      </c>
    </row>
    <row r="41" spans="1:25" x14ac:dyDescent="0.2">
      <c r="A41" s="50">
        <v>38000</v>
      </c>
      <c r="B41" s="1">
        <f>'Income tables 2001-24'!K47</f>
        <v>45670</v>
      </c>
      <c r="C41" s="1">
        <f>'Income tables 2001-24'!AP47</f>
        <v>37280</v>
      </c>
      <c r="D41" s="1">
        <f>'Income tables 2001-24'!BR47</f>
        <v>30670</v>
      </c>
      <c r="E41" s="1">
        <f>'Income tables 2001-24'!BU47</f>
        <v>35650</v>
      </c>
      <c r="F41" s="52">
        <f>'Income tables 2001-24'!L47</f>
        <v>1715.7</v>
      </c>
      <c r="G41" s="52">
        <f>'Income tables 2001-24'!AQ47</f>
        <v>1397.3</v>
      </c>
      <c r="H41" s="52">
        <f>'Income tables 2001-24'!BS47</f>
        <v>1150.1400000000001</v>
      </c>
      <c r="I41" s="52">
        <f>'Income tables 2001-24'!BV47</f>
        <v>1337.28</v>
      </c>
      <c r="J41" s="52">
        <f>'Income tables 2001-24'!M47</f>
        <v>334.3</v>
      </c>
      <c r="K41" s="52">
        <f>'Income tables 2001-24'!AR47</f>
        <v>197.1</v>
      </c>
      <c r="L41" s="52">
        <f>'Income tables 2001-24'!BT47</f>
        <v>163.23054446</v>
      </c>
      <c r="M41" s="52">
        <f>'Income tables 2001-24'!BW47</f>
        <v>190.26096305000002</v>
      </c>
      <c r="Q41" t="s">
        <v>74</v>
      </c>
      <c r="R41">
        <f>'Age by income band distribution'!B44</f>
        <v>40</v>
      </c>
      <c r="S41">
        <f>'Age by income band distribution'!C44</f>
        <v>10</v>
      </c>
      <c r="T41">
        <f>'Age by income band distribution'!D44+'Age by income band distribution'!E44</f>
        <v>4910</v>
      </c>
      <c r="U41">
        <f>'Age by income band distribution'!F44+'Age by income band distribution'!G44</f>
        <v>6440</v>
      </c>
      <c r="V41">
        <f>'Age by income band distribution'!H44+'Age by income band distribution'!I44</f>
        <v>4810</v>
      </c>
      <c r="W41">
        <f>'Age by income band distribution'!J44+'Age by income band distribution'!K44</f>
        <v>3640</v>
      </c>
      <c r="X41">
        <f>'Age by income band distribution'!L44+'Age by income band distribution'!M44</f>
        <v>3540</v>
      </c>
      <c r="Y41">
        <f>'Age by income band distribution'!N44+'Age by income band distribution'!O44+'Age by income band distribution'!P44</f>
        <v>11890</v>
      </c>
    </row>
    <row r="42" spans="1:25" x14ac:dyDescent="0.2">
      <c r="A42" s="50">
        <v>39000</v>
      </c>
      <c r="B42" s="1">
        <f>'Income tables 2001-24'!K48</f>
        <v>39420</v>
      </c>
      <c r="C42" s="1">
        <f>'Income tables 2001-24'!AP48</f>
        <v>36730</v>
      </c>
      <c r="D42" s="1">
        <f>'Income tables 2001-24'!BR48</f>
        <v>29900</v>
      </c>
      <c r="E42" s="1">
        <f>'Income tables 2001-24'!BU48</f>
        <v>33800</v>
      </c>
      <c r="F42" s="52">
        <f>'Income tables 2001-24'!L48</f>
        <v>1516.7</v>
      </c>
      <c r="G42" s="52">
        <f>'Income tables 2001-24'!AQ48</f>
        <v>1414.2</v>
      </c>
      <c r="H42" s="52">
        <f>'Income tables 2001-24'!BS48</f>
        <v>1151.1600000000001</v>
      </c>
      <c r="I42" s="52">
        <f>'Income tables 2001-24'!BV48</f>
        <v>1301.0899999999999</v>
      </c>
      <c r="J42" s="52">
        <f>'Income tables 2001-24'!M48</f>
        <v>298.3</v>
      </c>
      <c r="K42" s="52">
        <f>'Income tables 2001-24'!AR48</f>
        <v>200.8</v>
      </c>
      <c r="L42" s="52">
        <f>'Income tables 2001-24'!BT48</f>
        <v>164.18111789</v>
      </c>
      <c r="M42" s="52">
        <f>'Income tables 2001-24'!BW48</f>
        <v>186.12178887000002</v>
      </c>
      <c r="Q42" t="s">
        <v>75</v>
      </c>
      <c r="R42">
        <f>'Age by income band distribution'!B45</f>
        <v>40</v>
      </c>
      <c r="S42">
        <f>'Age by income band distribution'!C45</f>
        <v>0</v>
      </c>
      <c r="T42">
        <f>'Age by income band distribution'!D45+'Age by income band distribution'!E45</f>
        <v>4910</v>
      </c>
      <c r="U42">
        <f>'Age by income band distribution'!F45+'Age by income band distribution'!G45</f>
        <v>6790</v>
      </c>
      <c r="V42">
        <f>'Age by income band distribution'!H45+'Age by income band distribution'!I45</f>
        <v>5070</v>
      </c>
      <c r="W42">
        <f>'Age by income band distribution'!J45+'Age by income band distribution'!K45</f>
        <v>4020</v>
      </c>
      <c r="X42">
        <f>'Age by income band distribution'!L45+'Age by income band distribution'!M45</f>
        <v>4160</v>
      </c>
      <c r="Y42">
        <f>'Age by income band distribution'!N45+'Age by income band distribution'!O45+'Age by income band distribution'!P45</f>
        <v>10670</v>
      </c>
    </row>
    <row r="43" spans="1:25" x14ac:dyDescent="0.2">
      <c r="A43" s="50">
        <v>40000</v>
      </c>
      <c r="B43" s="1">
        <f>'Income tables 2001-24'!K49</f>
        <v>37440</v>
      </c>
      <c r="C43" s="1">
        <f>'Income tables 2001-24'!AP49</f>
        <v>36150</v>
      </c>
      <c r="D43" s="1">
        <f>'Income tables 2001-24'!BR49</f>
        <v>30370</v>
      </c>
      <c r="E43" s="1">
        <f>'Income tables 2001-24'!BU49</f>
        <v>32370</v>
      </c>
      <c r="F43" s="52">
        <f>'Income tables 2001-24'!L49</f>
        <v>1479.2</v>
      </c>
      <c r="G43" s="52">
        <f>'Income tables 2001-24'!AQ49</f>
        <v>1427.4</v>
      </c>
      <c r="H43" s="52">
        <f>'Income tables 2001-24'!BS49</f>
        <v>1199.57</v>
      </c>
      <c r="I43" s="52">
        <f>'Income tables 2001-24'!BV49</f>
        <v>1278.5</v>
      </c>
      <c r="J43" s="52">
        <f>'Income tables 2001-24'!M49</f>
        <v>296.10000000000002</v>
      </c>
      <c r="K43" s="52">
        <f>'Income tables 2001-24'!AR49</f>
        <v>204.2</v>
      </c>
      <c r="L43" s="52">
        <f>'Income tables 2001-24'!BT49</f>
        <v>171.80415099000001</v>
      </c>
      <c r="M43" s="52">
        <f>'Income tables 2001-24'!BW49</f>
        <v>183.81978175</v>
      </c>
      <c r="Q43" t="s">
        <v>76</v>
      </c>
      <c r="R43">
        <f>'Age by income band distribution'!B46</f>
        <v>30</v>
      </c>
      <c r="S43">
        <f>'Age by income band distribution'!C46</f>
        <v>10</v>
      </c>
      <c r="T43">
        <f>'Age by income band distribution'!D46+'Age by income band distribution'!E46</f>
        <v>4680</v>
      </c>
      <c r="U43">
        <f>'Age by income band distribution'!F46+'Age by income band distribution'!G46</f>
        <v>6550</v>
      </c>
      <c r="V43">
        <f>'Age by income band distribution'!H46+'Age by income band distribution'!I46</f>
        <v>4880</v>
      </c>
      <c r="W43">
        <f>'Age by income band distribution'!J46+'Age by income band distribution'!K46</f>
        <v>3760</v>
      </c>
      <c r="X43">
        <f>'Age by income band distribution'!L46+'Age by income band distribution'!M46</f>
        <v>3870</v>
      </c>
      <c r="Y43">
        <f>'Age by income band distribution'!N46+'Age by income band distribution'!O46+'Age by income band distribution'!P46</f>
        <v>10030</v>
      </c>
    </row>
    <row r="44" spans="1:25" x14ac:dyDescent="0.2">
      <c r="A44" s="50">
        <v>41000</v>
      </c>
      <c r="B44" s="1">
        <f>'Income tables 2001-24'!K50</f>
        <v>33180</v>
      </c>
      <c r="C44" s="1">
        <f>'Income tables 2001-24'!AP50</f>
        <v>34420</v>
      </c>
      <c r="D44" s="1">
        <f>'Income tables 2001-24'!BR50</f>
        <v>29850</v>
      </c>
      <c r="E44" s="1">
        <f>'Income tables 2001-24'!BU50</f>
        <v>32100</v>
      </c>
      <c r="F44" s="52">
        <f>'Income tables 2001-24'!L50</f>
        <v>1344</v>
      </c>
      <c r="G44" s="52">
        <f>'Income tables 2001-24'!AQ50</f>
        <v>1394.5</v>
      </c>
      <c r="H44" s="52">
        <f>'Income tables 2001-24'!BS50</f>
        <v>1208.78</v>
      </c>
      <c r="I44" s="52">
        <f>'Income tables 2001-24'!BV50</f>
        <v>1300.06</v>
      </c>
      <c r="J44" s="52">
        <f>'Income tables 2001-24'!M50</f>
        <v>273.3</v>
      </c>
      <c r="K44" s="52">
        <f>'Income tables 2001-24'!AR50</f>
        <v>200.4</v>
      </c>
      <c r="L44" s="52">
        <f>'Income tables 2001-24'!BT50</f>
        <v>173.92524159000001</v>
      </c>
      <c r="M44" s="52">
        <f>'Income tables 2001-24'!BW50</f>
        <v>187.50326472</v>
      </c>
      <c r="Q44" t="s">
        <v>77</v>
      </c>
      <c r="R44">
        <f>'Age by income band distribution'!B47</f>
        <v>40</v>
      </c>
      <c r="S44">
        <f>'Age by income band distribution'!C47</f>
        <v>10</v>
      </c>
      <c r="T44">
        <f>'Age by income band distribution'!D47+'Age by income band distribution'!E47</f>
        <v>4490</v>
      </c>
      <c r="U44">
        <f>'Age by income band distribution'!F47+'Age by income band distribution'!G47</f>
        <v>6530</v>
      </c>
      <c r="V44">
        <f>'Age by income band distribution'!H47+'Age by income band distribution'!I47</f>
        <v>4870</v>
      </c>
      <c r="W44">
        <f>'Age by income band distribution'!J47+'Age by income band distribution'!K47</f>
        <v>3630</v>
      </c>
      <c r="X44">
        <f>'Age by income band distribution'!L47+'Age by income band distribution'!M47</f>
        <v>3590</v>
      </c>
      <c r="Y44">
        <f>'Age by income band distribution'!N47+'Age by income band distribution'!O47+'Age by income band distribution'!P47</f>
        <v>9200</v>
      </c>
    </row>
    <row r="45" spans="1:25" x14ac:dyDescent="0.2">
      <c r="A45" s="50">
        <v>42000</v>
      </c>
      <c r="B45" s="1">
        <f>'Income tables 2001-24'!K51</f>
        <v>30200</v>
      </c>
      <c r="C45" s="1">
        <f>'Income tables 2001-24'!AP51</f>
        <v>34000</v>
      </c>
      <c r="D45" s="1">
        <f>'Income tables 2001-24'!BR51</f>
        <v>29360</v>
      </c>
      <c r="E45" s="1">
        <f>'Income tables 2001-24'!BU51</f>
        <v>31210</v>
      </c>
      <c r="F45" s="52">
        <f>'Income tables 2001-24'!L51</f>
        <v>1253.0999999999999</v>
      </c>
      <c r="G45" s="52">
        <f>'Income tables 2001-24'!AQ51</f>
        <v>1410.7</v>
      </c>
      <c r="H45" s="52">
        <f>'Income tables 2001-24'!BS51</f>
        <v>1218.6300000000001</v>
      </c>
      <c r="I45" s="52">
        <f>'Income tables 2001-24'!BV51</f>
        <v>1295.2</v>
      </c>
      <c r="J45" s="52">
        <f>'Income tables 2001-24'!M51</f>
        <v>258.60000000000002</v>
      </c>
      <c r="K45" s="52">
        <f>'Income tables 2001-24'!AR51</f>
        <v>203.7</v>
      </c>
      <c r="L45" s="52">
        <f>'Income tables 2001-24'!BT51</f>
        <v>176.01615819</v>
      </c>
      <c r="M45" s="52">
        <f>'Income tables 2001-24'!BW51</f>
        <v>187.57537189999999</v>
      </c>
      <c r="Q45" t="s">
        <v>78</v>
      </c>
      <c r="R45">
        <f>'Age by income band distribution'!B48</f>
        <v>40</v>
      </c>
      <c r="S45">
        <f>'Age by income band distribution'!C48</f>
        <v>0</v>
      </c>
      <c r="T45">
        <f>'Age by income band distribution'!D48+'Age by income band distribution'!E48</f>
        <v>4600</v>
      </c>
      <c r="U45">
        <f>'Age by income band distribution'!F48+'Age by income band distribution'!G48</f>
        <v>6570</v>
      </c>
      <c r="V45">
        <f>'Age by income band distribution'!H48+'Age by income band distribution'!I48</f>
        <v>4890</v>
      </c>
      <c r="W45">
        <f>'Age by income band distribution'!J48+'Age by income band distribution'!K48</f>
        <v>3730</v>
      </c>
      <c r="X45">
        <f>'Age by income band distribution'!L48+'Age by income band distribution'!M48</f>
        <v>3710</v>
      </c>
      <c r="Y45">
        <f>'Age by income band distribution'!N48+'Age by income band distribution'!O48+'Age by income band distribution'!P48</f>
        <v>8560</v>
      </c>
    </row>
    <row r="46" spans="1:25" x14ac:dyDescent="0.2">
      <c r="A46" s="50">
        <v>43000</v>
      </c>
      <c r="B46" s="1">
        <f>'Income tables 2001-24'!K52</f>
        <v>30160</v>
      </c>
      <c r="C46" s="1">
        <f>'Income tables 2001-24'!AP52</f>
        <v>35700</v>
      </c>
      <c r="D46" s="1">
        <f>'Income tables 2001-24'!BR52</f>
        <v>29390</v>
      </c>
      <c r="E46" s="1">
        <f>'Income tables 2001-24'!BU52</f>
        <v>30790</v>
      </c>
      <c r="F46" s="52">
        <f>'Income tables 2001-24'!L52</f>
        <v>1282.2</v>
      </c>
      <c r="G46" s="52">
        <f>'Income tables 2001-24'!AQ52</f>
        <v>1516.9</v>
      </c>
      <c r="H46" s="52">
        <f>'Income tables 2001-24'!BS52</f>
        <v>1249.17</v>
      </c>
      <c r="I46" s="52">
        <f>'Income tables 2001-24'!BV52</f>
        <v>1308.5899999999999</v>
      </c>
      <c r="J46" s="52">
        <f>'Income tables 2001-24'!M52</f>
        <v>268.39999999999998</v>
      </c>
      <c r="K46" s="52">
        <f>'Income tables 2001-24'!AR52</f>
        <v>219.8</v>
      </c>
      <c r="L46" s="52">
        <f>'Income tables 2001-24'!BT52</f>
        <v>181.07534902</v>
      </c>
      <c r="M46" s="52">
        <f>'Income tables 2001-24'!BW52</f>
        <v>190.22281584999999</v>
      </c>
      <c r="Q46" t="s">
        <v>79</v>
      </c>
      <c r="R46">
        <f>'Age by income band distribution'!B49</f>
        <v>30</v>
      </c>
      <c r="S46">
        <f>'Age by income band distribution'!C49</f>
        <v>0</v>
      </c>
      <c r="T46">
        <f>'Age by income band distribution'!D49+'Age by income band distribution'!E49</f>
        <v>4600</v>
      </c>
      <c r="U46">
        <f>'Age by income band distribution'!F49+'Age by income band distribution'!G49</f>
        <v>6400</v>
      </c>
      <c r="V46">
        <f>'Age by income band distribution'!H49+'Age by income band distribution'!I49</f>
        <v>4850</v>
      </c>
      <c r="W46">
        <f>'Age by income band distribution'!J49+'Age by income band distribution'!K49</f>
        <v>3740</v>
      </c>
      <c r="X46">
        <f>'Age by income band distribution'!L49+'Age by income band distribution'!M49</f>
        <v>3620</v>
      </c>
      <c r="Y46">
        <f>'Age by income band distribution'!N49+'Age by income band distribution'!O49+'Age by income band distribution'!P49</f>
        <v>7970</v>
      </c>
    </row>
    <row r="47" spans="1:25" x14ac:dyDescent="0.2">
      <c r="A47" s="50">
        <v>44000</v>
      </c>
      <c r="B47" s="1">
        <f>'Income tables 2001-24'!K53</f>
        <v>27490</v>
      </c>
      <c r="C47" s="1">
        <f>'Income tables 2001-24'!AP53</f>
        <v>35300</v>
      </c>
      <c r="D47" s="1">
        <f>'Income tables 2001-24'!BR53</f>
        <v>30330</v>
      </c>
      <c r="E47" s="1">
        <f>'Income tables 2001-24'!BU53</f>
        <v>31580</v>
      </c>
      <c r="F47" s="52">
        <f>'Income tables 2001-24'!L53</f>
        <v>1195.7</v>
      </c>
      <c r="G47" s="52">
        <f>'Income tables 2001-24'!AQ53</f>
        <v>1536</v>
      </c>
      <c r="H47" s="52">
        <f>'Income tables 2001-24'!BS53</f>
        <v>1319.61</v>
      </c>
      <c r="I47" s="52">
        <f>'Income tables 2001-24'!BV53</f>
        <v>1373.79</v>
      </c>
      <c r="J47" s="52">
        <f>'Income tables 2001-24'!M53</f>
        <v>253.6</v>
      </c>
      <c r="K47" s="52">
        <f>'Income tables 2001-24'!AR53</f>
        <v>223.6</v>
      </c>
      <c r="L47" s="52">
        <f>'Income tables 2001-24'!BT53</f>
        <v>191.76985669000001</v>
      </c>
      <c r="M47" s="52">
        <f>'Income tables 2001-24'!BW53</f>
        <v>200.29287421000001</v>
      </c>
      <c r="Q47" t="s">
        <v>80</v>
      </c>
      <c r="R47">
        <f>'Age by income band distribution'!B50</f>
        <v>20</v>
      </c>
      <c r="S47">
        <f>'Age by income band distribution'!C50</f>
        <v>10</v>
      </c>
      <c r="T47">
        <f>'Age by income band distribution'!D50+'Age by income band distribution'!E50</f>
        <v>4480</v>
      </c>
      <c r="U47">
        <f>'Age by income band distribution'!F50+'Age by income band distribution'!G50</f>
        <v>6350</v>
      </c>
      <c r="V47">
        <f>'Age by income band distribution'!H50+'Age by income band distribution'!I50</f>
        <v>4800</v>
      </c>
      <c r="W47">
        <f>'Age by income band distribution'!J50+'Age by income band distribution'!K50</f>
        <v>3750</v>
      </c>
      <c r="X47">
        <f>'Age by income band distribution'!L50+'Age by income band distribution'!M50</f>
        <v>3720</v>
      </c>
      <c r="Y47">
        <f>'Age by income band distribution'!N50+'Age by income band distribution'!O50+'Age by income band distribution'!P50</f>
        <v>7670</v>
      </c>
    </row>
    <row r="48" spans="1:25" x14ac:dyDescent="0.2">
      <c r="A48" s="50">
        <v>45000</v>
      </c>
      <c r="B48" s="1">
        <f>'Income tables 2001-24'!K54</f>
        <v>26010</v>
      </c>
      <c r="C48" s="1">
        <f>'Income tables 2001-24'!AP54</f>
        <v>34200</v>
      </c>
      <c r="D48" s="1">
        <f>'Income tables 2001-24'!BR54</f>
        <v>30880</v>
      </c>
      <c r="E48" s="1">
        <f>'Income tables 2001-24'!BU54</f>
        <v>30780</v>
      </c>
      <c r="F48" s="52">
        <f>'Income tables 2001-24'!L54</f>
        <v>1157.4000000000001</v>
      </c>
      <c r="G48" s="52">
        <f>'Income tables 2001-24'!AQ54</f>
        <v>1522</v>
      </c>
      <c r="H48" s="52">
        <f>'Income tables 2001-24'!BS54</f>
        <v>1374.3</v>
      </c>
      <c r="I48" s="52">
        <f>'Income tables 2001-24'!BV54</f>
        <v>1369.69</v>
      </c>
      <c r="J48" s="52">
        <f>'Income tables 2001-24'!M54</f>
        <v>248.5</v>
      </c>
      <c r="K48" s="52">
        <f>'Income tables 2001-24'!AR54</f>
        <v>223.6</v>
      </c>
      <c r="L48" s="52">
        <f>'Income tables 2001-24'!BT54</f>
        <v>201.69107334999998</v>
      </c>
      <c r="M48" s="52">
        <f>'Income tables 2001-24'!BW54</f>
        <v>201.54405974000002</v>
      </c>
      <c r="Q48" t="s">
        <v>81</v>
      </c>
      <c r="R48">
        <f>'Age by income band distribution'!B51</f>
        <v>30</v>
      </c>
      <c r="S48">
        <f>'Age by income band distribution'!C51</f>
        <v>0</v>
      </c>
      <c r="T48">
        <f>'Age by income band distribution'!D51+'Age by income band distribution'!E51</f>
        <v>4850</v>
      </c>
      <c r="U48">
        <f>'Age by income band distribution'!F51+'Age by income band distribution'!G51</f>
        <v>6600</v>
      </c>
      <c r="V48">
        <f>'Age by income band distribution'!H51+'Age by income band distribution'!I51</f>
        <v>4910</v>
      </c>
      <c r="W48">
        <f>'Age by income band distribution'!J51+'Age by income band distribution'!K51</f>
        <v>3890</v>
      </c>
      <c r="X48">
        <f>'Age by income band distribution'!L51+'Age by income band distribution'!M51</f>
        <v>3930</v>
      </c>
      <c r="Y48">
        <f>'Age by income band distribution'!N51+'Age by income band distribution'!O51+'Age by income band distribution'!P51</f>
        <v>7370</v>
      </c>
    </row>
    <row r="49" spans="1:25" x14ac:dyDescent="0.2">
      <c r="A49" s="50">
        <v>46000</v>
      </c>
      <c r="B49" s="1">
        <f>'Income tables 2001-24'!K55</f>
        <v>24960</v>
      </c>
      <c r="C49" s="1">
        <f>'Income tables 2001-24'!AP55</f>
        <v>33350</v>
      </c>
      <c r="D49" s="1">
        <f>'Income tables 2001-24'!BR55</f>
        <v>31200</v>
      </c>
      <c r="E49" s="1">
        <f>'Income tables 2001-24'!BU55</f>
        <v>30760</v>
      </c>
      <c r="F49" s="52">
        <f>'Income tables 2001-24'!L55</f>
        <v>1136.0999999999999</v>
      </c>
      <c r="G49" s="52">
        <f>'Income tables 2001-24'!AQ55</f>
        <v>1517.6</v>
      </c>
      <c r="H49" s="52">
        <f>'Income tables 2001-24'!BS55</f>
        <v>1419.52</v>
      </c>
      <c r="I49" s="52">
        <f>'Income tables 2001-24'!BV55</f>
        <v>1399.63</v>
      </c>
      <c r="J49" s="52">
        <f>'Income tables 2001-24'!M55</f>
        <v>246.9</v>
      </c>
      <c r="K49" s="52">
        <f>'Income tables 2001-24'!AR55</f>
        <v>226.5</v>
      </c>
      <c r="L49" s="52">
        <f>'Income tables 2001-24'!BT55</f>
        <v>211.59507105</v>
      </c>
      <c r="M49" s="52">
        <f>'Income tables 2001-24'!BW55</f>
        <v>208.96192311000001</v>
      </c>
      <c r="Q49" t="s">
        <v>82</v>
      </c>
      <c r="R49">
        <f>'Age by income band distribution'!B52</f>
        <v>30</v>
      </c>
      <c r="S49">
        <f>'Age by income band distribution'!C52</f>
        <v>0</v>
      </c>
      <c r="T49">
        <f>'Age by income band distribution'!D52+'Age by income band distribution'!E52</f>
        <v>4630</v>
      </c>
      <c r="U49">
        <f>'Age by income band distribution'!F52+'Age by income band distribution'!G52</f>
        <v>6690</v>
      </c>
      <c r="V49">
        <f>'Age by income band distribution'!H52+'Age by income band distribution'!I52</f>
        <v>4810</v>
      </c>
      <c r="W49">
        <f>'Age by income band distribution'!J52+'Age by income band distribution'!K52</f>
        <v>3900</v>
      </c>
      <c r="X49">
        <f>'Age by income band distribution'!L52+'Age by income band distribution'!M52</f>
        <v>3840</v>
      </c>
      <c r="Y49">
        <f>'Age by income band distribution'!N52+'Age by income band distribution'!O52+'Age by income band distribution'!P52</f>
        <v>6890</v>
      </c>
    </row>
    <row r="50" spans="1:25" x14ac:dyDescent="0.2">
      <c r="A50" s="50">
        <v>47000</v>
      </c>
      <c r="B50" s="1">
        <f>'Income tables 2001-24'!K56</f>
        <v>24540</v>
      </c>
      <c r="C50" s="1">
        <f>'Income tables 2001-24'!AP56</f>
        <v>31890</v>
      </c>
      <c r="D50" s="1">
        <f>'Income tables 2001-24'!BR56</f>
        <v>31540</v>
      </c>
      <c r="E50" s="1">
        <f>'Income tables 2001-24'!BU56</f>
        <v>31270</v>
      </c>
      <c r="F50" s="52">
        <f>'Income tables 2001-24'!L56</f>
        <v>1140.7</v>
      </c>
      <c r="G50" s="52">
        <f>'Income tables 2001-24'!AQ56</f>
        <v>1483</v>
      </c>
      <c r="H50" s="52">
        <f>'Income tables 2001-24'!BS56</f>
        <v>1466.61</v>
      </c>
      <c r="I50" s="52">
        <f>'Income tables 2001-24'!BV56</f>
        <v>1454.13</v>
      </c>
      <c r="J50" s="52">
        <f>'Income tables 2001-24'!M56</f>
        <v>250.6</v>
      </c>
      <c r="K50" s="52">
        <f>'Income tables 2001-24'!AR56</f>
        <v>224.2</v>
      </c>
      <c r="L50" s="52">
        <f>'Income tables 2001-24'!BT56</f>
        <v>221.84190871999999</v>
      </c>
      <c r="M50" s="52">
        <f>'Income tables 2001-24'!BW56</f>
        <v>220.17043108000001</v>
      </c>
      <c r="Q50" t="s">
        <v>83</v>
      </c>
      <c r="R50">
        <f>'Age by income band distribution'!B53</f>
        <v>30</v>
      </c>
      <c r="S50">
        <f>'Age by income band distribution'!C53</f>
        <v>0</v>
      </c>
      <c r="T50">
        <f>'Age by income band distribution'!D53+'Age by income band distribution'!E53</f>
        <v>4640</v>
      </c>
      <c r="U50">
        <f>'Age by income band distribution'!F53+'Age by income band distribution'!G53</f>
        <v>6610</v>
      </c>
      <c r="V50">
        <f>'Age by income band distribution'!H53+'Age by income band distribution'!I53</f>
        <v>4910</v>
      </c>
      <c r="W50">
        <f>'Age by income band distribution'!J53+'Age by income band distribution'!K53</f>
        <v>3940</v>
      </c>
      <c r="X50">
        <f>'Age by income band distribution'!L53+'Age by income band distribution'!M53</f>
        <v>3920</v>
      </c>
      <c r="Y50">
        <f>'Age by income band distribution'!N53+'Age by income band distribution'!O53+'Age by income band distribution'!P53</f>
        <v>6720</v>
      </c>
    </row>
    <row r="51" spans="1:25" x14ac:dyDescent="0.2">
      <c r="A51" s="50">
        <v>48000</v>
      </c>
      <c r="B51" s="1">
        <f>'Income tables 2001-24'!K57</f>
        <v>22470</v>
      </c>
      <c r="C51" s="1">
        <f>'Income tables 2001-24'!AP57</f>
        <v>39160</v>
      </c>
      <c r="D51" s="1">
        <f>'Income tables 2001-24'!BR57</f>
        <v>38040</v>
      </c>
      <c r="E51" s="1">
        <f>'Income tables 2001-24'!BU57</f>
        <v>36700</v>
      </c>
      <c r="F51" s="52">
        <f>'Income tables 2001-24'!L57</f>
        <v>1067.2</v>
      </c>
      <c r="G51" s="52">
        <f>'Income tables 2001-24'!AQ57</f>
        <v>1862.9</v>
      </c>
      <c r="H51" s="52">
        <f>'Income tables 2001-24'!BS57</f>
        <v>1809.05</v>
      </c>
      <c r="I51" s="52">
        <f>'Income tables 2001-24'!BV57</f>
        <v>1744.94</v>
      </c>
      <c r="J51" s="52">
        <f>'Income tables 2001-24'!M57</f>
        <v>236.9</v>
      </c>
      <c r="K51" s="52">
        <f>'Income tables 2001-24'!AR57</f>
        <v>285.60000000000002</v>
      </c>
      <c r="L51" s="52">
        <f>'Income tables 2001-24'!BT57</f>
        <v>277.90203851999996</v>
      </c>
      <c r="M51" s="52">
        <f>'Income tables 2001-24'!BW57</f>
        <v>268.05407651000002</v>
      </c>
      <c r="Q51" t="s">
        <v>84</v>
      </c>
      <c r="R51">
        <f>'Age by income band distribution'!B54</f>
        <v>40</v>
      </c>
      <c r="S51">
        <f>'Age by income band distribution'!C54</f>
        <v>10</v>
      </c>
      <c r="T51">
        <f>'Age by income band distribution'!D54+'Age by income band distribution'!E54</f>
        <v>4840</v>
      </c>
      <c r="U51">
        <f>'Age by income band distribution'!F54+'Age by income band distribution'!G54</f>
        <v>6940</v>
      </c>
      <c r="V51">
        <f>'Age by income band distribution'!H54+'Age by income band distribution'!I54</f>
        <v>5030</v>
      </c>
      <c r="W51">
        <f>'Age by income band distribution'!J54+'Age by income band distribution'!K54</f>
        <v>4010</v>
      </c>
      <c r="X51">
        <f>'Age by income band distribution'!L54+'Age by income band distribution'!M54</f>
        <v>3930</v>
      </c>
      <c r="Y51">
        <f>'Age by income band distribution'!N54+'Age by income band distribution'!O54+'Age by income band distribution'!P54</f>
        <v>6480</v>
      </c>
    </row>
    <row r="52" spans="1:25" x14ac:dyDescent="0.2">
      <c r="A52" s="50">
        <v>49000</v>
      </c>
      <c r="B52" s="1">
        <f>'Income tables 2001-24'!K58</f>
        <v>21670</v>
      </c>
      <c r="C52" s="1">
        <f>'Income tables 2001-24'!AP58</f>
        <v>32470</v>
      </c>
      <c r="D52" s="1">
        <f>'Income tables 2001-24'!BR58</f>
        <v>36100</v>
      </c>
      <c r="E52" s="1">
        <f>'Income tables 2001-24'!BU58</f>
        <v>34820</v>
      </c>
      <c r="F52" s="52">
        <f>'Income tables 2001-24'!L58</f>
        <v>1051</v>
      </c>
      <c r="G52" s="52">
        <f>'Income tables 2001-24'!AQ58</f>
        <v>1574.4</v>
      </c>
      <c r="H52" s="52">
        <f>'Income tables 2001-24'!BS58</f>
        <v>1750.11</v>
      </c>
      <c r="I52" s="52">
        <f>'Income tables 2001-24'!BV58</f>
        <v>1688.22</v>
      </c>
      <c r="J52" s="52">
        <f>'Income tables 2001-24'!M58</f>
        <v>235.7</v>
      </c>
      <c r="K52" s="52">
        <f>'Income tables 2001-24'!AR58</f>
        <v>244.9</v>
      </c>
      <c r="L52" s="52">
        <f>'Income tables 2001-24'!BT58</f>
        <v>273.00706495999998</v>
      </c>
      <c r="M52" s="52">
        <f>'Income tables 2001-24'!BW58</f>
        <v>263.38105759000001</v>
      </c>
      <c r="Q52" t="s">
        <v>85</v>
      </c>
      <c r="R52">
        <f>'Age by income band distribution'!B55</f>
        <v>40</v>
      </c>
      <c r="S52">
        <f>'Age by income band distribution'!C55</f>
        <v>10</v>
      </c>
      <c r="T52">
        <f>'Age by income band distribution'!D55+'Age by income band distribution'!E55</f>
        <v>5850</v>
      </c>
      <c r="U52">
        <f>'Age by income band distribution'!F55+'Age by income band distribution'!G55</f>
        <v>7570</v>
      </c>
      <c r="V52">
        <f>'Age by income band distribution'!H55+'Age by income band distribution'!I55</f>
        <v>6080</v>
      </c>
      <c r="W52">
        <f>'Age by income band distribution'!J55+'Age by income band distribution'!K55</f>
        <v>4980</v>
      </c>
      <c r="X52">
        <f>'Age by income band distribution'!L55+'Age by income band distribution'!M55</f>
        <v>5010</v>
      </c>
      <c r="Y52">
        <f>'Age by income band distribution'!N55+'Age by income band distribution'!O55+'Age by income band distribution'!P55</f>
        <v>7170</v>
      </c>
    </row>
    <row r="53" spans="1:25" x14ac:dyDescent="0.2">
      <c r="A53" s="50">
        <v>50000</v>
      </c>
      <c r="B53" s="1">
        <f>'Income tables 2001-24'!K59</f>
        <v>19610</v>
      </c>
      <c r="C53" s="1">
        <f>'Income tables 2001-24'!AP59</f>
        <v>34150</v>
      </c>
      <c r="D53" s="1">
        <f>'Income tables 2001-24'!BR59</f>
        <v>34190</v>
      </c>
      <c r="E53" s="1">
        <f>'Income tables 2001-24'!BU59</f>
        <v>32340</v>
      </c>
      <c r="F53" s="52">
        <f>'Income tables 2001-24'!L59</f>
        <v>970.9</v>
      </c>
      <c r="G53" s="52">
        <f>'Income tables 2001-24'!AQ59</f>
        <v>1690.6</v>
      </c>
      <c r="H53" s="52">
        <f>'Income tables 2001-24'!BS59</f>
        <v>1692.63</v>
      </c>
      <c r="I53" s="52">
        <f>'Income tables 2001-24'!BV59</f>
        <v>1601.19</v>
      </c>
      <c r="J53" s="52">
        <f>'Income tables 2001-24'!M59</f>
        <v>219.8</v>
      </c>
      <c r="K53" s="52">
        <f>'Income tables 2001-24'!AR59</f>
        <v>268.10000000000002</v>
      </c>
      <c r="L53" s="52">
        <f>'Income tables 2001-24'!BT59</f>
        <v>269.11071466999999</v>
      </c>
      <c r="M53" s="52">
        <f>'Income tables 2001-24'!BW59</f>
        <v>254.59846153000001</v>
      </c>
      <c r="Q53" t="s">
        <v>86</v>
      </c>
      <c r="R53">
        <f>'Age by income band distribution'!B56</f>
        <v>40</v>
      </c>
      <c r="S53">
        <f>'Age by income band distribution'!C56</f>
        <v>10</v>
      </c>
      <c r="T53">
        <f>'Age by income band distribution'!D56+'Age by income band distribution'!E56</f>
        <v>5350</v>
      </c>
      <c r="U53">
        <f>'Age by income band distribution'!F56+'Age by income band distribution'!G56</f>
        <v>7590</v>
      </c>
      <c r="V53">
        <f>'Age by income band distribution'!H56+'Age by income band distribution'!I56</f>
        <v>5930</v>
      </c>
      <c r="W53">
        <f>'Age by income band distribution'!J56+'Age by income band distribution'!K56</f>
        <v>4780</v>
      </c>
      <c r="X53">
        <f>'Age by income band distribution'!L56+'Age by income band distribution'!M56</f>
        <v>4590</v>
      </c>
      <c r="Y53">
        <f>'Age by income band distribution'!N56+'Age by income band distribution'!O56+'Age by income band distribution'!P56</f>
        <v>6540</v>
      </c>
    </row>
    <row r="54" spans="1:25" x14ac:dyDescent="0.2">
      <c r="A54" s="50">
        <v>51000</v>
      </c>
      <c r="B54" s="1">
        <f>'Income tables 2001-24'!K60</f>
        <v>20650</v>
      </c>
      <c r="C54" s="1">
        <f>'Income tables 2001-24'!AP60</f>
        <v>30440</v>
      </c>
      <c r="D54" s="1">
        <f>'Income tables 2001-24'!BR60</f>
        <v>34140</v>
      </c>
      <c r="E54" s="1">
        <f>'Income tables 2001-24'!BU60</f>
        <v>33030</v>
      </c>
      <c r="F54" s="52">
        <f>'Income tables 2001-24'!L60</f>
        <v>1042.9000000000001</v>
      </c>
      <c r="G54" s="52">
        <f>'Income tables 2001-24'!AQ60</f>
        <v>1537.3</v>
      </c>
      <c r="H54" s="52">
        <f>'Income tables 2001-24'!BS60</f>
        <v>1723.76</v>
      </c>
      <c r="I54" s="52">
        <f>'Income tables 2001-24'!BV60</f>
        <v>1667.66</v>
      </c>
      <c r="J54" s="52">
        <f>'Income tables 2001-24'!M60</f>
        <v>238.2</v>
      </c>
      <c r="K54" s="52">
        <f>'Income tables 2001-24'!AR60</f>
        <v>248.4</v>
      </c>
      <c r="L54" s="52">
        <f>'Income tables 2001-24'!BT60</f>
        <v>278.81797695999995</v>
      </c>
      <c r="M54" s="52">
        <f>'Income tables 2001-24'!BW60</f>
        <v>269.78038620000001</v>
      </c>
      <c r="Q54" t="s">
        <v>87</v>
      </c>
      <c r="R54">
        <f>'Age by income band distribution'!B57</f>
        <v>30</v>
      </c>
      <c r="S54">
        <f>'Age by income band distribution'!C57</f>
        <v>0</v>
      </c>
      <c r="T54">
        <f>'Age by income band distribution'!D57+'Age by income band distribution'!E57</f>
        <v>5260</v>
      </c>
      <c r="U54">
        <f>'Age by income band distribution'!F57+'Age by income band distribution'!G57</f>
        <v>7230</v>
      </c>
      <c r="V54">
        <f>'Age by income band distribution'!H57+'Age by income band distribution'!I57</f>
        <v>5290</v>
      </c>
      <c r="W54">
        <f>'Age by income band distribution'!J57+'Age by income band distribution'!K57</f>
        <v>4420</v>
      </c>
      <c r="X54">
        <f>'Age by income band distribution'!L57+'Age by income band distribution'!M57</f>
        <v>4380</v>
      </c>
      <c r="Y54">
        <f>'Age by income band distribution'!N57+'Age by income band distribution'!O57+'Age by income band distribution'!P57</f>
        <v>5730</v>
      </c>
    </row>
    <row r="55" spans="1:25" x14ac:dyDescent="0.2">
      <c r="A55" s="50">
        <v>52000</v>
      </c>
      <c r="B55" s="1">
        <f>'Income tables 2001-24'!K61</f>
        <v>18600</v>
      </c>
      <c r="C55" s="1">
        <f>'Income tables 2001-24'!AP61</f>
        <v>30770</v>
      </c>
      <c r="D55" s="1">
        <f>'Income tables 2001-24'!BR61</f>
        <v>34120</v>
      </c>
      <c r="E55" s="1">
        <f>'Income tables 2001-24'!BU61</f>
        <v>32770</v>
      </c>
      <c r="F55" s="52">
        <f>'Income tables 2001-24'!L61</f>
        <v>958.1</v>
      </c>
      <c r="G55" s="52">
        <f>'Income tables 2001-24'!AQ61</f>
        <v>1585.1</v>
      </c>
      <c r="H55" s="52">
        <f>'Income tables 2001-24'!BS61</f>
        <v>1757.24</v>
      </c>
      <c r="I55" s="52">
        <f>'Income tables 2001-24'!BV61</f>
        <v>1687.45</v>
      </c>
      <c r="J55" s="52">
        <f>'Income tables 2001-24'!M61</f>
        <v>220.8</v>
      </c>
      <c r="K55" s="52">
        <f>'Income tables 2001-24'!AR61</f>
        <v>260.5</v>
      </c>
      <c r="L55" s="52">
        <f>'Income tables 2001-24'!BT61</f>
        <v>289.01269417000003</v>
      </c>
      <c r="M55" s="52">
        <f>'Income tables 2001-24'!BW61</f>
        <v>277.52572793000002</v>
      </c>
      <c r="Q55" t="s">
        <v>88</v>
      </c>
      <c r="R55">
        <f>'Age by income band distribution'!B58</f>
        <v>40</v>
      </c>
      <c r="S55">
        <f>'Age by income band distribution'!C58</f>
        <v>10</v>
      </c>
      <c r="T55">
        <f>'Age by income band distribution'!D58+'Age by income band distribution'!E58</f>
        <v>5300</v>
      </c>
      <c r="U55">
        <f>'Age by income band distribution'!F58+'Age by income band distribution'!G58</f>
        <v>7560</v>
      </c>
      <c r="V55">
        <f>'Age by income band distribution'!H58+'Age by income band distribution'!I58</f>
        <v>5490</v>
      </c>
      <c r="W55">
        <f>'Age by income band distribution'!J58+'Age by income band distribution'!K58</f>
        <v>4530</v>
      </c>
      <c r="X55">
        <f>'Age by income band distribution'!L58+'Age by income band distribution'!M58</f>
        <v>4480</v>
      </c>
      <c r="Y55">
        <f>'Age by income band distribution'!N58+'Age by income band distribution'!O58+'Age by income band distribution'!P58</f>
        <v>5640</v>
      </c>
    </row>
    <row r="56" spans="1:25" x14ac:dyDescent="0.2">
      <c r="A56" s="50">
        <v>53000</v>
      </c>
      <c r="B56" s="1">
        <f>'Income tables 2001-24'!K62</f>
        <v>17730</v>
      </c>
      <c r="C56" s="1">
        <f>'Income tables 2001-24'!AP62</f>
        <v>25650</v>
      </c>
      <c r="D56" s="1">
        <f>'Income tables 2001-24'!BR62</f>
        <v>34560</v>
      </c>
      <c r="E56" s="1">
        <f>'Income tables 2001-24'!BU62</f>
        <v>33490</v>
      </c>
      <c r="F56" s="52">
        <f>'Income tables 2001-24'!L62</f>
        <v>930.9</v>
      </c>
      <c r="G56" s="52">
        <f>'Income tables 2001-24'!AQ62</f>
        <v>1347</v>
      </c>
      <c r="H56" s="52">
        <f>'Income tables 2001-24'!BS62</f>
        <v>1814.16</v>
      </c>
      <c r="I56" s="52">
        <f>'Income tables 2001-24'!BV62</f>
        <v>1758.08</v>
      </c>
      <c r="J56" s="52">
        <f>'Income tables 2001-24'!M62</f>
        <v>216.2</v>
      </c>
      <c r="K56" s="52">
        <f>'Income tables 2001-24'!AR62</f>
        <v>225</v>
      </c>
      <c r="L56" s="52">
        <f>'Income tables 2001-24'!BT62</f>
        <v>303.01019761999999</v>
      </c>
      <c r="M56" s="52">
        <f>'Income tables 2001-24'!BW62</f>
        <v>293.67639080000004</v>
      </c>
      <c r="Q56" t="s">
        <v>89</v>
      </c>
      <c r="R56">
        <f>'Age by income band distribution'!B59</f>
        <v>30</v>
      </c>
      <c r="S56">
        <f>'Age by income band distribution'!C59</f>
        <v>0</v>
      </c>
      <c r="T56">
        <f>'Age by income band distribution'!D59+'Age by income band distribution'!E59</f>
        <v>5310</v>
      </c>
      <c r="U56">
        <f>'Age by income band distribution'!F59+'Age by income band distribution'!G59</f>
        <v>7580</v>
      </c>
      <c r="V56">
        <f>'Age by income band distribution'!H59+'Age by income band distribution'!I59</f>
        <v>5450</v>
      </c>
      <c r="W56">
        <f>'Age by income band distribution'!J59+'Age by income band distribution'!K59</f>
        <v>4600</v>
      </c>
      <c r="X56">
        <f>'Age by income band distribution'!L59+'Age by income band distribution'!M59</f>
        <v>4520</v>
      </c>
      <c r="Y56">
        <f>'Age by income band distribution'!N59+'Age by income band distribution'!O59+'Age by income band distribution'!P59</f>
        <v>5280</v>
      </c>
    </row>
    <row r="57" spans="1:25" x14ac:dyDescent="0.2">
      <c r="A57" s="50">
        <v>54000</v>
      </c>
      <c r="B57" s="1">
        <f>'Income tables 2001-24'!K63</f>
        <v>16100</v>
      </c>
      <c r="C57" s="1">
        <f>'Income tables 2001-24'!AP63</f>
        <v>25190</v>
      </c>
      <c r="D57" s="1">
        <f>'Income tables 2001-24'!BR63</f>
        <v>34260</v>
      </c>
      <c r="E57" s="1">
        <f>'Income tables 2001-24'!BU63</f>
        <v>33510</v>
      </c>
      <c r="F57" s="52">
        <f>'Income tables 2001-24'!L63</f>
        <v>861.6</v>
      </c>
      <c r="G57" s="52">
        <f>'Income tables 2001-24'!AQ63</f>
        <v>1348</v>
      </c>
      <c r="H57" s="52">
        <f>'Income tables 2001-24'!BS63</f>
        <v>1832.88</v>
      </c>
      <c r="I57" s="52">
        <f>'Income tables 2001-24'!BV63</f>
        <v>1792.78</v>
      </c>
      <c r="J57" s="52">
        <f>'Income tables 2001-24'!M63</f>
        <v>201.7</v>
      </c>
      <c r="K57" s="52">
        <f>'Income tables 2001-24'!AR63</f>
        <v>228.5</v>
      </c>
      <c r="L57" s="52">
        <f>'Income tables 2001-24'!BT63</f>
        <v>310.71752670000001</v>
      </c>
      <c r="M57" s="52">
        <f>'Income tables 2001-24'!BW63</f>
        <v>303.92679249999998</v>
      </c>
      <c r="Q57" t="s">
        <v>90</v>
      </c>
      <c r="R57">
        <f>'Age by income band distribution'!B60</f>
        <v>40</v>
      </c>
      <c r="S57">
        <f>'Age by income band distribution'!C60</f>
        <v>0</v>
      </c>
      <c r="T57">
        <f>'Age by income band distribution'!D60+'Age by income band distribution'!E60</f>
        <v>5410</v>
      </c>
      <c r="U57">
        <f>'Age by income band distribution'!F60+'Age by income band distribution'!G60</f>
        <v>7870</v>
      </c>
      <c r="V57">
        <f>'Age by income band distribution'!H60+'Age by income band distribution'!I60</f>
        <v>5590</v>
      </c>
      <c r="W57">
        <f>'Age by income band distribution'!J60+'Age by income band distribution'!K60</f>
        <v>4770</v>
      </c>
      <c r="X57">
        <f>'Age by income band distribution'!L60+'Age by income band distribution'!M60</f>
        <v>4630</v>
      </c>
      <c r="Y57">
        <f>'Age by income band distribution'!N60+'Age by income band distribution'!O60+'Age by income band distribution'!P60</f>
        <v>5190</v>
      </c>
    </row>
    <row r="58" spans="1:25" x14ac:dyDescent="0.2">
      <c r="A58" s="50">
        <v>55000</v>
      </c>
      <c r="B58" s="1">
        <f>'Income tables 2001-24'!K64</f>
        <v>14970</v>
      </c>
      <c r="C58" s="1">
        <f>'Income tables 2001-24'!AP64</f>
        <v>28120</v>
      </c>
      <c r="D58" s="1">
        <f>'Income tables 2001-24'!BR64</f>
        <v>34010</v>
      </c>
      <c r="E58" s="1">
        <f>'Income tables 2001-24'!BU64</f>
        <v>33910</v>
      </c>
      <c r="F58" s="52">
        <f>'Income tables 2001-24'!L64</f>
        <v>816.1</v>
      </c>
      <c r="G58" s="52">
        <f>'Income tables 2001-24'!AQ64</f>
        <v>1533.1</v>
      </c>
      <c r="H58" s="52">
        <f>'Income tables 2001-24'!BS64</f>
        <v>1853.47</v>
      </c>
      <c r="I58" s="52">
        <f>'Income tables 2001-24'!BV64</f>
        <v>1848.21</v>
      </c>
      <c r="J58" s="52">
        <f>'Income tables 2001-24'!M64</f>
        <v>192.5</v>
      </c>
      <c r="K58" s="52">
        <f>'Income tables 2001-24'!AR64</f>
        <v>263.60000000000002</v>
      </c>
      <c r="L58" s="52">
        <f>'Income tables 2001-24'!BT64</f>
        <v>318.63556420999998</v>
      </c>
      <c r="M58" s="52">
        <f>'Income tables 2001-24'!BW64</f>
        <v>317.74964385000004</v>
      </c>
      <c r="Q58" t="s">
        <v>91</v>
      </c>
      <c r="R58">
        <f>'Age by income band distribution'!B61</f>
        <v>20</v>
      </c>
      <c r="S58">
        <f>'Age by income band distribution'!C61</f>
        <v>0</v>
      </c>
      <c r="T58">
        <f>'Age by income band distribution'!D61+'Age by income band distribution'!E61</f>
        <v>5240</v>
      </c>
      <c r="U58">
        <f>'Age by income band distribution'!F61+'Age by income band distribution'!G61</f>
        <v>8190</v>
      </c>
      <c r="V58">
        <f>'Age by income band distribution'!H61+'Age by income band distribution'!I61</f>
        <v>5690</v>
      </c>
      <c r="W58">
        <f>'Age by income band distribution'!J61+'Age by income band distribution'!K61</f>
        <v>4850</v>
      </c>
      <c r="X58">
        <f>'Age by income band distribution'!L61+'Age by income band distribution'!M61</f>
        <v>4660</v>
      </c>
      <c r="Y58">
        <f>'Age by income band distribution'!N61+'Age by income band distribution'!O61+'Age by income band distribution'!P61</f>
        <v>4850</v>
      </c>
    </row>
    <row r="59" spans="1:25" x14ac:dyDescent="0.2">
      <c r="A59" s="50">
        <v>56000</v>
      </c>
      <c r="B59" s="1">
        <f>'Income tables 2001-24'!K65</f>
        <v>15110</v>
      </c>
      <c r="C59" s="1">
        <f>'Income tables 2001-24'!AP65</f>
        <v>26990</v>
      </c>
      <c r="D59" s="1">
        <f>'Income tables 2001-24'!BR65</f>
        <v>34610</v>
      </c>
      <c r="E59" s="1">
        <f>'Income tables 2001-24'!BU65</f>
        <v>33700</v>
      </c>
      <c r="F59" s="52">
        <f>'Income tables 2001-24'!L65</f>
        <v>838.6</v>
      </c>
      <c r="G59" s="52">
        <f>'Income tables 2001-24'!AQ65</f>
        <v>1498.5</v>
      </c>
      <c r="H59" s="52">
        <f>'Income tables 2001-24'!BS65</f>
        <v>1920.47</v>
      </c>
      <c r="I59" s="52">
        <f>'Income tables 2001-24'!BV65</f>
        <v>1870.17</v>
      </c>
      <c r="J59" s="52">
        <f>'Income tables 2001-24'!M65</f>
        <v>199.2</v>
      </c>
      <c r="K59" s="52">
        <f>'Income tables 2001-24'!AR65</f>
        <v>261.10000000000002</v>
      </c>
      <c r="L59" s="52">
        <f>'Income tables 2001-24'!BT65</f>
        <v>334.58796187000002</v>
      </c>
      <c r="M59" s="52">
        <f>'Income tables 2001-24'!BW65</f>
        <v>325.82104560000005</v>
      </c>
      <c r="Q59" t="s">
        <v>92</v>
      </c>
      <c r="R59">
        <f>'Age by income band distribution'!B62</f>
        <v>30</v>
      </c>
      <c r="S59">
        <f>'Age by income band distribution'!C62</f>
        <v>0</v>
      </c>
      <c r="T59">
        <f>'Age by income band distribution'!D62+'Age by income band distribution'!E62</f>
        <v>5220</v>
      </c>
      <c r="U59">
        <f>'Age by income band distribution'!F62+'Age by income band distribution'!G62</f>
        <v>8370</v>
      </c>
      <c r="V59">
        <f>'Age by income band distribution'!H62+'Age by income band distribution'!I62</f>
        <v>5810</v>
      </c>
      <c r="W59">
        <f>'Age by income band distribution'!J62+'Age by income band distribution'!K62</f>
        <v>4990</v>
      </c>
      <c r="X59">
        <f>'Age by income band distribution'!L62+'Age by income band distribution'!M62</f>
        <v>4820</v>
      </c>
      <c r="Y59">
        <f>'Age by income band distribution'!N62+'Age by income band distribution'!O62+'Age by income band distribution'!P62</f>
        <v>4670</v>
      </c>
    </row>
    <row r="60" spans="1:25" x14ac:dyDescent="0.2">
      <c r="A60" s="50">
        <v>57000</v>
      </c>
      <c r="B60" s="1">
        <f>'Income tables 2001-24'!K66</f>
        <v>14950</v>
      </c>
      <c r="C60" s="1">
        <f>'Income tables 2001-24'!AP66</f>
        <v>26050</v>
      </c>
      <c r="D60" s="1">
        <f>'Income tables 2001-24'!BR66</f>
        <v>34570</v>
      </c>
      <c r="E60" s="1">
        <f>'Income tables 2001-24'!BU66</f>
        <v>33660</v>
      </c>
      <c r="F60" s="52">
        <f>'Income tables 2001-24'!L66</f>
        <v>844.6</v>
      </c>
      <c r="G60" s="52">
        <f>'Income tables 2001-24'!AQ66</f>
        <v>1471.5</v>
      </c>
      <c r="H60" s="52">
        <f>'Income tables 2001-24'!BS66</f>
        <v>1952.98</v>
      </c>
      <c r="I60" s="52">
        <f>'Income tables 2001-24'!BV66</f>
        <v>1901.64</v>
      </c>
      <c r="J60" s="52">
        <f>'Income tables 2001-24'!M66</f>
        <v>202</v>
      </c>
      <c r="K60" s="52">
        <f>'Income tables 2001-24'!AR66</f>
        <v>259.60000000000002</v>
      </c>
      <c r="L60" s="52">
        <f>'Income tables 2001-24'!BT66</f>
        <v>344.60727667000003</v>
      </c>
      <c r="M60" s="52">
        <f>'Income tables 2001-24'!BW66</f>
        <v>335.55573743999997</v>
      </c>
      <c r="Q60" t="s">
        <v>93</v>
      </c>
      <c r="R60">
        <f>'Age by income band distribution'!B63</f>
        <v>20</v>
      </c>
      <c r="S60">
        <f>'Age by income band distribution'!C63</f>
        <v>0</v>
      </c>
      <c r="T60">
        <f>'Age by income band distribution'!D63+'Age by income band distribution'!E63</f>
        <v>5180</v>
      </c>
      <c r="U60">
        <f>'Age by income band distribution'!F63+'Age by income band distribution'!G63</f>
        <v>8250</v>
      </c>
      <c r="V60">
        <f>'Age by income band distribution'!H63+'Age by income band distribution'!I63</f>
        <v>5960</v>
      </c>
      <c r="W60">
        <f>'Age by income band distribution'!J63+'Age by income band distribution'!K63</f>
        <v>4930</v>
      </c>
      <c r="X60">
        <f>'Age by income band distribution'!L63+'Age by income band distribution'!M63</f>
        <v>4820</v>
      </c>
      <c r="Y60">
        <f>'Age by income band distribution'!N63+'Age by income band distribution'!O63+'Age by income band distribution'!P63</f>
        <v>4530</v>
      </c>
    </row>
    <row r="61" spans="1:25" x14ac:dyDescent="0.2">
      <c r="A61" s="50">
        <v>58000</v>
      </c>
      <c r="B61" s="1">
        <f>'Income tables 2001-24'!K67</f>
        <v>15400</v>
      </c>
      <c r="C61" s="1">
        <f>'Income tables 2001-24'!AP67</f>
        <v>24510</v>
      </c>
      <c r="D61" s="1">
        <f>'Income tables 2001-24'!BR67</f>
        <v>34060</v>
      </c>
      <c r="E61" s="1">
        <f>'Income tables 2001-24'!BU67</f>
        <v>33890</v>
      </c>
      <c r="F61" s="52">
        <f>'Income tables 2001-24'!L67</f>
        <v>885.4</v>
      </c>
      <c r="G61" s="52">
        <f>'Income tables 2001-24'!AQ67</f>
        <v>1409.8</v>
      </c>
      <c r="H61" s="52">
        <f>'Income tables 2001-24'!BS67</f>
        <v>1958.22</v>
      </c>
      <c r="I61" s="52">
        <f>'Income tables 2001-24'!BV67</f>
        <v>1948.46</v>
      </c>
      <c r="J61" s="52">
        <f>'Income tables 2001-24'!M67</f>
        <v>213.2</v>
      </c>
      <c r="K61" s="52">
        <f>'Income tables 2001-24'!AR67</f>
        <v>251.8</v>
      </c>
      <c r="L61" s="52">
        <f>'Income tables 2001-24'!BT67</f>
        <v>349.73171360000003</v>
      </c>
      <c r="M61" s="52">
        <f>'Income tables 2001-24'!BW67</f>
        <v>348.00278298000001</v>
      </c>
      <c r="Q61" t="s">
        <v>94</v>
      </c>
      <c r="R61">
        <f>'Age by income band distribution'!B64</f>
        <v>20</v>
      </c>
      <c r="S61">
        <f>'Age by income band distribution'!C64</f>
        <v>0</v>
      </c>
      <c r="T61">
        <f>'Age by income band distribution'!D64+'Age by income band distribution'!E64</f>
        <v>4910</v>
      </c>
      <c r="U61">
        <f>'Age by income band distribution'!F64+'Age by income band distribution'!G64</f>
        <v>8410</v>
      </c>
      <c r="V61">
        <f>'Age by income band distribution'!H64+'Age by income band distribution'!I64</f>
        <v>6050</v>
      </c>
      <c r="W61">
        <f>'Age by income band distribution'!J64+'Age by income band distribution'!K64</f>
        <v>5080</v>
      </c>
      <c r="X61">
        <f>'Age by income band distribution'!L64+'Age by income band distribution'!M64</f>
        <v>4800</v>
      </c>
      <c r="Y61">
        <f>'Age by income band distribution'!N64+'Age by income band distribution'!O64+'Age by income band distribution'!P64</f>
        <v>4400</v>
      </c>
    </row>
    <row r="62" spans="1:25" x14ac:dyDescent="0.2">
      <c r="A62" s="50">
        <v>59000</v>
      </c>
      <c r="B62" s="1">
        <f>'Income tables 2001-24'!K68</f>
        <v>14460</v>
      </c>
      <c r="C62" s="1">
        <f>'Income tables 2001-24'!AP68</f>
        <v>23650</v>
      </c>
      <c r="D62" s="1">
        <f>'Income tables 2001-24'!BR68</f>
        <v>34060</v>
      </c>
      <c r="E62" s="1">
        <f>'Income tables 2001-24'!BU68</f>
        <v>33810</v>
      </c>
      <c r="F62" s="52">
        <f>'Income tables 2001-24'!L68</f>
        <v>845.7</v>
      </c>
      <c r="G62" s="52">
        <f>'Income tables 2001-24'!AQ68</f>
        <v>1383.1</v>
      </c>
      <c r="H62" s="52">
        <f>'Income tables 2001-24'!BS68</f>
        <v>1992.36</v>
      </c>
      <c r="I62" s="52">
        <f>'Income tables 2001-24'!BV68</f>
        <v>1977.75</v>
      </c>
      <c r="J62" s="52">
        <f>'Income tables 2001-24'!M68</f>
        <v>204.9</v>
      </c>
      <c r="K62" s="52">
        <f>'Income tables 2001-24'!AR68</f>
        <v>249.8</v>
      </c>
      <c r="L62" s="52">
        <f>'Income tables 2001-24'!BT68</f>
        <v>359.96913311999998</v>
      </c>
      <c r="M62" s="52">
        <f>'Income tables 2001-24'!BW68</f>
        <v>357.32689017000001</v>
      </c>
      <c r="Q62" t="s">
        <v>95</v>
      </c>
      <c r="R62">
        <f>'Age by income band distribution'!B65</f>
        <v>30</v>
      </c>
      <c r="S62">
        <f>'Age by income band distribution'!C65</f>
        <v>0</v>
      </c>
      <c r="T62">
        <f>'Age by income band distribution'!D65+'Age by income band distribution'!E65</f>
        <v>4660</v>
      </c>
      <c r="U62">
        <f>'Age by income band distribution'!F65+'Age by income band distribution'!G65</f>
        <v>8620</v>
      </c>
      <c r="V62">
        <f>'Age by income band distribution'!H65+'Age by income band distribution'!I65</f>
        <v>6170</v>
      </c>
      <c r="W62">
        <f>'Age by income band distribution'!J65+'Age by income band distribution'!K65</f>
        <v>5230</v>
      </c>
      <c r="X62">
        <f>'Age by income band distribution'!L65+'Age by income band distribution'!M65</f>
        <v>4940</v>
      </c>
      <c r="Y62">
        <f>'Age by income band distribution'!N65+'Age by income band distribution'!O65+'Age by income band distribution'!P65</f>
        <v>4260</v>
      </c>
    </row>
    <row r="63" spans="1:25" x14ac:dyDescent="0.2">
      <c r="A63" s="50">
        <v>60000</v>
      </c>
      <c r="B63" s="1">
        <f>'Income tables 2001-24'!K69</f>
        <v>24660</v>
      </c>
      <c r="C63" s="1">
        <f>'Income tables 2001-24'!AP69</f>
        <v>21880</v>
      </c>
      <c r="D63" s="1">
        <f>'Income tables 2001-24'!BR69</f>
        <v>34030</v>
      </c>
      <c r="E63" s="1">
        <f>'Income tables 2001-24'!BU69</f>
        <v>33690</v>
      </c>
      <c r="F63" s="52">
        <f>'Income tables 2001-24'!L69</f>
        <v>1471.3</v>
      </c>
      <c r="G63" s="52">
        <f>'Income tables 2001-24'!AQ69</f>
        <v>1302.5</v>
      </c>
      <c r="H63" s="52">
        <f>'Income tables 2001-24'!BS69</f>
        <v>2024.78</v>
      </c>
      <c r="I63" s="52">
        <f>'Income tables 2001-24'!BV69</f>
        <v>2004.94</v>
      </c>
      <c r="J63" s="52">
        <f>'Income tables 2001-24'!M69</f>
        <v>359</v>
      </c>
      <c r="K63" s="52">
        <f>'Income tables 2001-24'!AR69</f>
        <v>238</v>
      </c>
      <c r="L63" s="52">
        <f>'Income tables 2001-24'!BT69</f>
        <v>369.90576349999998</v>
      </c>
      <c r="M63" s="52">
        <f>'Income tables 2001-24'!BW69</f>
        <v>366.29646981000002</v>
      </c>
      <c r="Q63" t="s">
        <v>96</v>
      </c>
      <c r="R63">
        <f>'Age by income band distribution'!B66</f>
        <v>20</v>
      </c>
      <c r="S63">
        <f>'Age by income band distribution'!C66</f>
        <v>0</v>
      </c>
      <c r="T63">
        <f>'Age by income band distribution'!D66+'Age by income band distribution'!E66</f>
        <v>4460</v>
      </c>
      <c r="U63">
        <f>'Age by income band distribution'!F66+'Age by income band distribution'!G66</f>
        <v>8800</v>
      </c>
      <c r="V63">
        <f>'Age by income band distribution'!H66+'Age by income band distribution'!I66</f>
        <v>6270</v>
      </c>
      <c r="W63">
        <f>'Age by income band distribution'!J66+'Age by income band distribution'!K66</f>
        <v>5230</v>
      </c>
      <c r="X63">
        <f>'Age by income band distribution'!L66+'Age by income band distribution'!M66</f>
        <v>4950</v>
      </c>
      <c r="Y63">
        <f>'Age by income band distribution'!N66+'Age by income band distribution'!O66+'Age by income band distribution'!P66</f>
        <v>4070</v>
      </c>
    </row>
    <row r="64" spans="1:25" x14ac:dyDescent="0.2">
      <c r="A64" s="50">
        <v>61000</v>
      </c>
      <c r="B64" s="1">
        <f>'Income tables 2001-24'!K70</f>
        <v>18280</v>
      </c>
      <c r="C64" s="1">
        <f>'Income tables 2001-24'!AP70</f>
        <v>22090</v>
      </c>
      <c r="D64" s="1">
        <f>'Income tables 2001-24'!BR70</f>
        <v>34080</v>
      </c>
      <c r="E64" s="1">
        <f>'Income tables 2001-24'!BU70</f>
        <v>34310</v>
      </c>
      <c r="F64" s="52">
        <f>'Income tables 2001-24'!L70</f>
        <v>1104.5</v>
      </c>
      <c r="G64" s="52">
        <f>'Income tables 2001-24'!AQ70</f>
        <v>1336.5</v>
      </c>
      <c r="H64" s="52">
        <f>'Income tables 2001-24'!BS70</f>
        <v>2061.2399999999998</v>
      </c>
      <c r="I64" s="52">
        <f>'Income tables 2001-24'!BV70</f>
        <v>2075.5100000000002</v>
      </c>
      <c r="J64" s="52">
        <f>'Income tables 2001-24'!M70</f>
        <v>271.2</v>
      </c>
      <c r="K64" s="52">
        <f>'Income tables 2001-24'!AR70</f>
        <v>246.8</v>
      </c>
      <c r="L64" s="52">
        <f>'Income tables 2001-24'!BT70</f>
        <v>380.51087665</v>
      </c>
      <c r="M64" s="52">
        <f>'Income tables 2001-24'!BW70</f>
        <v>383.15186158</v>
      </c>
      <c r="Q64" t="s">
        <v>97</v>
      </c>
      <c r="R64">
        <f>'Age by income band distribution'!B67</f>
        <v>30</v>
      </c>
      <c r="S64">
        <f>'Age by income band distribution'!C67</f>
        <v>0</v>
      </c>
      <c r="T64">
        <f>'Age by income band distribution'!D67+'Age by income band distribution'!E67</f>
        <v>4410</v>
      </c>
      <c r="U64">
        <f>'Age by income band distribution'!F67+'Age by income band distribution'!G67</f>
        <v>8740</v>
      </c>
      <c r="V64">
        <f>'Age by income band distribution'!H67+'Age by income band distribution'!I67</f>
        <v>6390</v>
      </c>
      <c r="W64">
        <f>'Age by income band distribution'!J67+'Age by income band distribution'!K67</f>
        <v>5230</v>
      </c>
      <c r="X64">
        <f>'Age by income band distribution'!L67+'Age by income band distribution'!M67</f>
        <v>5000</v>
      </c>
      <c r="Y64">
        <f>'Age by income band distribution'!N67+'Age by income band distribution'!O67+'Age by income band distribution'!P67</f>
        <v>3880</v>
      </c>
    </row>
    <row r="65" spans="1:25" x14ac:dyDescent="0.2">
      <c r="A65" s="50">
        <v>62000</v>
      </c>
      <c r="B65" s="1">
        <f>'Income tables 2001-24'!K71</f>
        <v>14390</v>
      </c>
      <c r="C65" s="1">
        <f>'Income tables 2001-24'!AP71</f>
        <v>22130</v>
      </c>
      <c r="D65" s="1">
        <f>'Income tables 2001-24'!BR71</f>
        <v>33010</v>
      </c>
      <c r="E65" s="1">
        <f>'Income tables 2001-24'!BU71</f>
        <v>32910</v>
      </c>
      <c r="F65" s="52">
        <f>'Income tables 2001-24'!L71</f>
        <v>884.8</v>
      </c>
      <c r="G65" s="52">
        <f>'Income tables 2001-24'!AQ71</f>
        <v>1360.8</v>
      </c>
      <c r="H65" s="52">
        <f>'Income tables 2001-24'!BS71</f>
        <v>2029.8</v>
      </c>
      <c r="I65" s="52">
        <f>'Income tables 2001-24'!BV71</f>
        <v>2024.18</v>
      </c>
      <c r="J65" s="52">
        <f>'Income tables 2001-24'!M71</f>
        <v>219.5</v>
      </c>
      <c r="K65" s="52">
        <f>'Income tables 2001-24'!AR71</f>
        <v>253.8</v>
      </c>
      <c r="L65" s="52">
        <f>'Income tables 2001-24'!BT71</f>
        <v>378.54916844000002</v>
      </c>
      <c r="M65" s="52">
        <f>'Income tables 2001-24'!BW71</f>
        <v>377.51240471</v>
      </c>
      <c r="Q65" t="s">
        <v>98</v>
      </c>
      <c r="R65">
        <f>'Age by income band distribution'!B68</f>
        <v>30</v>
      </c>
      <c r="S65">
        <f>'Age by income band distribution'!C68</f>
        <v>0</v>
      </c>
      <c r="T65">
        <f>'Age by income band distribution'!D68+'Age by income band distribution'!E68</f>
        <v>4170</v>
      </c>
      <c r="U65">
        <f>'Age by income band distribution'!F68+'Age by income band distribution'!G68</f>
        <v>9060</v>
      </c>
      <c r="V65">
        <f>'Age by income band distribution'!H68+'Age by income band distribution'!I68</f>
        <v>6480</v>
      </c>
      <c r="W65">
        <f>'Age by income band distribution'!J68+'Age by income band distribution'!K68</f>
        <v>5570</v>
      </c>
      <c r="X65">
        <f>'Age by income band distribution'!L68+'Age by income band distribution'!M68</f>
        <v>5170</v>
      </c>
      <c r="Y65">
        <f>'Age by income band distribution'!N68+'Age by income band distribution'!O68+'Age by income band distribution'!P68</f>
        <v>3830</v>
      </c>
    </row>
    <row r="66" spans="1:25" x14ac:dyDescent="0.2">
      <c r="A66" s="50">
        <v>63000</v>
      </c>
      <c r="B66" s="1">
        <f>'Income tables 2001-24'!K72</f>
        <v>12260</v>
      </c>
      <c r="C66" s="1">
        <f>'Income tables 2001-24'!AP72</f>
        <v>20220</v>
      </c>
      <c r="D66" s="1">
        <f>'Income tables 2001-24'!BR72</f>
        <v>32510</v>
      </c>
      <c r="E66" s="1">
        <f>'Income tables 2001-24'!BU72</f>
        <v>33490</v>
      </c>
      <c r="F66" s="52">
        <f>'Income tables 2001-24'!L72</f>
        <v>766.1</v>
      </c>
      <c r="G66" s="52">
        <f>'Income tables 2001-24'!AQ72</f>
        <v>1263.4000000000001</v>
      </c>
      <c r="H66" s="52">
        <f>'Income tables 2001-24'!BS72</f>
        <v>2031.79</v>
      </c>
      <c r="I66" s="52">
        <f>'Income tables 2001-24'!BV72</f>
        <v>2093.16</v>
      </c>
      <c r="J66" s="52">
        <f>'Income tables 2001-24'!M72</f>
        <v>191.8</v>
      </c>
      <c r="K66" s="52">
        <f>'Income tables 2001-24'!AR72</f>
        <v>237.9</v>
      </c>
      <c r="L66" s="52">
        <f>'Income tables 2001-24'!BT72</f>
        <v>382.61299387000003</v>
      </c>
      <c r="M66" s="52">
        <f>'Income tables 2001-24'!BW72</f>
        <v>394.17148333999995</v>
      </c>
      <c r="Q66" t="s">
        <v>99</v>
      </c>
      <c r="R66">
        <f>'Age by income band distribution'!B69</f>
        <v>30</v>
      </c>
      <c r="S66">
        <f>'Age by income band distribution'!C69</f>
        <v>0</v>
      </c>
      <c r="T66">
        <f>'Age by income band distribution'!D69+'Age by income band distribution'!E69</f>
        <v>3940</v>
      </c>
      <c r="U66">
        <f>'Age by income band distribution'!F69+'Age by income band distribution'!G69</f>
        <v>8800</v>
      </c>
      <c r="V66">
        <f>'Age by income band distribution'!H69+'Age by income band distribution'!I69</f>
        <v>6180</v>
      </c>
      <c r="W66">
        <f>'Age by income band distribution'!J69+'Age by income band distribution'!K69</f>
        <v>5350</v>
      </c>
      <c r="X66">
        <f>'Age by income band distribution'!L69+'Age by income band distribution'!M69</f>
        <v>4980</v>
      </c>
      <c r="Y66">
        <f>'Age by income band distribution'!N69+'Age by income band distribution'!O69+'Age by income band distribution'!P69</f>
        <v>3640</v>
      </c>
    </row>
    <row r="67" spans="1:25" x14ac:dyDescent="0.2">
      <c r="A67" s="50">
        <v>64000</v>
      </c>
      <c r="B67" s="1">
        <f>'Income tables 2001-24'!K73</f>
        <v>10700</v>
      </c>
      <c r="C67" s="1">
        <f>'Income tables 2001-24'!AP73</f>
        <v>20440</v>
      </c>
      <c r="D67" s="1">
        <f>'Income tables 2001-24'!BR73</f>
        <v>32130</v>
      </c>
      <c r="E67" s="1">
        <f>'Income tables 2001-24'!BU73</f>
        <v>32400</v>
      </c>
      <c r="F67" s="52">
        <f>'Income tables 2001-24'!L73</f>
        <v>679.5</v>
      </c>
      <c r="G67" s="52">
        <f>'Income tables 2001-24'!AQ73</f>
        <v>1297.8</v>
      </c>
      <c r="H67" s="52">
        <f>'Income tables 2001-24'!BS73</f>
        <v>2040.3</v>
      </c>
      <c r="I67" s="52">
        <f>'Income tables 2001-24'!BV73</f>
        <v>2057.3200000000002</v>
      </c>
      <c r="J67" s="52">
        <f>'Income tables 2001-24'!M73</f>
        <v>171.6</v>
      </c>
      <c r="K67" s="52">
        <f>'Income tables 2001-24'!AR73</f>
        <v>246.7</v>
      </c>
      <c r="L67" s="52">
        <f>'Income tables 2001-24'!BT73</f>
        <v>387.79715845999999</v>
      </c>
      <c r="M67" s="52">
        <f>'Income tables 2001-24'!BW73</f>
        <v>391.03442818000002</v>
      </c>
      <c r="Q67" t="s">
        <v>100</v>
      </c>
      <c r="R67">
        <f>'Age by income band distribution'!B70</f>
        <v>30</v>
      </c>
      <c r="S67">
        <f>'Age by income band distribution'!C70</f>
        <v>0</v>
      </c>
      <c r="T67">
        <f>'Age by income band distribution'!D70+'Age by income band distribution'!E70</f>
        <v>3660</v>
      </c>
      <c r="U67">
        <f>'Age by income band distribution'!F70+'Age by income band distribution'!G70</f>
        <v>8960</v>
      </c>
      <c r="V67">
        <f>'Age by income band distribution'!H70+'Age by income band distribution'!I70</f>
        <v>6500</v>
      </c>
      <c r="W67">
        <f>'Age by income band distribution'!J70+'Age by income band distribution'!K70</f>
        <v>5470</v>
      </c>
      <c r="X67">
        <f>'Age by income band distribution'!L70+'Age by income band distribution'!M70</f>
        <v>5270</v>
      </c>
      <c r="Y67">
        <f>'Age by income band distribution'!N70+'Age by income band distribution'!O70+'Age by income band distribution'!P70</f>
        <v>3610</v>
      </c>
    </row>
    <row r="68" spans="1:25" x14ac:dyDescent="0.2">
      <c r="A68" s="50">
        <v>65000</v>
      </c>
      <c r="B68" s="1">
        <f>'Income tables 2001-24'!K74</f>
        <v>9730</v>
      </c>
      <c r="C68" s="1">
        <f>'Income tables 2001-24'!AP74</f>
        <v>20650</v>
      </c>
      <c r="D68" s="1">
        <f>'Income tables 2001-24'!BR74</f>
        <v>31480</v>
      </c>
      <c r="E68" s="1">
        <f>'Income tables 2001-24'!BU74</f>
        <v>32620</v>
      </c>
      <c r="F68" s="52">
        <f>'Income tables 2001-24'!L74</f>
        <v>627.6</v>
      </c>
      <c r="G68" s="52">
        <f>'Income tables 2001-24'!AQ74</f>
        <v>1332</v>
      </c>
      <c r="H68" s="52">
        <f>'Income tables 2001-24'!BS74</f>
        <v>2030.78</v>
      </c>
      <c r="I68" s="52">
        <f>'Income tables 2001-24'!BV74</f>
        <v>2103.81</v>
      </c>
      <c r="J68" s="52">
        <f>'Income tables 2001-24'!M74</f>
        <v>159.80000000000001</v>
      </c>
      <c r="K68" s="52">
        <f>'Income tables 2001-24'!AR74</f>
        <v>255.5</v>
      </c>
      <c r="L68" s="52">
        <f>'Income tables 2001-24'!BT74</f>
        <v>389.47000801000002</v>
      </c>
      <c r="M68" s="52">
        <f>'Income tables 2001-24'!BW74</f>
        <v>403.48042758999998</v>
      </c>
      <c r="Q68" t="s">
        <v>101</v>
      </c>
      <c r="R68">
        <f>'Age by income band distribution'!B71</f>
        <v>20</v>
      </c>
      <c r="S68">
        <f>'Age by income band distribution'!C71</f>
        <v>0</v>
      </c>
      <c r="T68">
        <f>'Age by income band distribution'!D71+'Age by income band distribution'!E71</f>
        <v>3570</v>
      </c>
      <c r="U68">
        <f>'Age by income band distribution'!F71+'Age by income band distribution'!G71</f>
        <v>8530</v>
      </c>
      <c r="V68">
        <f>'Age by income band distribution'!H71+'Age by income band distribution'!I71</f>
        <v>6290</v>
      </c>
      <c r="W68">
        <f>'Age by income band distribution'!J71+'Age by income band distribution'!K71</f>
        <v>5400</v>
      </c>
      <c r="X68">
        <f>'Age by income band distribution'!L71+'Age by income band distribution'!M71</f>
        <v>5130</v>
      </c>
      <c r="Y68">
        <f>'Age by income band distribution'!N71+'Age by income band distribution'!O71+'Age by income band distribution'!P71</f>
        <v>3480</v>
      </c>
    </row>
    <row r="69" spans="1:25" x14ac:dyDescent="0.2">
      <c r="A69" s="50">
        <v>66000</v>
      </c>
      <c r="B69" s="1">
        <f>'Income tables 2001-24'!K75</f>
        <v>8610</v>
      </c>
      <c r="C69" s="1">
        <f>'Income tables 2001-24'!AP75</f>
        <v>21000</v>
      </c>
      <c r="D69" s="1">
        <f>'Income tables 2001-24'!BR75</f>
        <v>31470</v>
      </c>
      <c r="E69" s="1">
        <f>'Income tables 2001-24'!BU75</f>
        <v>31980</v>
      </c>
      <c r="F69" s="52">
        <f>'Income tables 2001-24'!L75</f>
        <v>564</v>
      </c>
      <c r="G69" s="52">
        <f>'Income tables 2001-24'!AQ75</f>
        <v>1375.4</v>
      </c>
      <c r="H69" s="52">
        <f>'Income tables 2001-24'!BS75</f>
        <v>2061.16</v>
      </c>
      <c r="I69" s="52">
        <f>'Income tables 2001-24'!BV75</f>
        <v>2094.83</v>
      </c>
      <c r="J69" s="52">
        <f>'Income tables 2001-24'!M75</f>
        <v>144.80000000000001</v>
      </c>
      <c r="K69" s="52">
        <f>'Income tables 2001-24'!AR75</f>
        <v>266</v>
      </c>
      <c r="L69" s="52">
        <f>'Income tables 2001-24'!BT75</f>
        <v>398.67558843</v>
      </c>
      <c r="M69" s="52">
        <f>'Income tables 2001-24'!BW75</f>
        <v>405.19769004</v>
      </c>
      <c r="Q69" t="s">
        <v>102</v>
      </c>
      <c r="R69">
        <f>'Age by income band distribution'!B72</f>
        <v>30</v>
      </c>
      <c r="S69">
        <f>'Age by income band distribution'!C72</f>
        <v>0</v>
      </c>
      <c r="T69">
        <f>'Age by income band distribution'!D72+'Age by income band distribution'!E72</f>
        <v>3480</v>
      </c>
      <c r="U69">
        <f>'Age by income band distribution'!F72+'Age by income band distribution'!G72</f>
        <v>8790</v>
      </c>
      <c r="V69">
        <f>'Age by income band distribution'!H72+'Age by income band distribution'!I72</f>
        <v>6350</v>
      </c>
      <c r="W69">
        <f>'Age by income band distribution'!J72+'Age by income band distribution'!K72</f>
        <v>5350</v>
      </c>
      <c r="X69">
        <f>'Age by income band distribution'!L72+'Age by income band distribution'!M72</f>
        <v>5100</v>
      </c>
      <c r="Y69">
        <f>'Age by income band distribution'!N72+'Age by income band distribution'!O72+'Age by income band distribution'!P72</f>
        <v>3530</v>
      </c>
    </row>
    <row r="70" spans="1:25" x14ac:dyDescent="0.2">
      <c r="A70" s="50">
        <v>67000</v>
      </c>
      <c r="B70" s="1">
        <f>'Income tables 2001-24'!K76</f>
        <v>8240</v>
      </c>
      <c r="C70" s="1">
        <f>'Income tables 2001-24'!AP76</f>
        <v>18940</v>
      </c>
      <c r="D70" s="1">
        <f>'Income tables 2001-24'!BR76</f>
        <v>30700</v>
      </c>
      <c r="E70" s="1">
        <f>'Income tables 2001-24'!BU76</f>
        <v>31780</v>
      </c>
      <c r="F70" s="52">
        <f>'Income tables 2001-24'!L76</f>
        <v>547.9</v>
      </c>
      <c r="G70" s="52">
        <f>'Income tables 2001-24'!AQ76</f>
        <v>1259.4000000000001</v>
      </c>
      <c r="H70" s="52">
        <f>'Income tables 2001-24'!BS76</f>
        <v>2041.1</v>
      </c>
      <c r="I70" s="52">
        <f>'Income tables 2001-24'!BV76</f>
        <v>2113.4699999999998</v>
      </c>
      <c r="J70" s="52">
        <f>'Income tables 2001-24'!M76</f>
        <v>141.69999999999999</v>
      </c>
      <c r="K70" s="52">
        <f>'Income tables 2001-24'!AR76</f>
        <v>245.6</v>
      </c>
      <c r="L70" s="52">
        <f>'Income tables 2001-24'!BT76</f>
        <v>398.07620717000003</v>
      </c>
      <c r="M70" s="52">
        <f>'Income tables 2001-24'!BW76</f>
        <v>412.19521435000001</v>
      </c>
      <c r="Q70" t="s">
        <v>103</v>
      </c>
      <c r="R70">
        <f>'Age by income band distribution'!B73</f>
        <v>20</v>
      </c>
      <c r="S70">
        <f>'Age by income band distribution'!C73</f>
        <v>0</v>
      </c>
      <c r="T70">
        <f>'Age by income band distribution'!D73+'Age by income band distribution'!E73</f>
        <v>3280</v>
      </c>
      <c r="U70">
        <f>'Age by income band distribution'!F73+'Age by income band distribution'!G73</f>
        <v>8530</v>
      </c>
      <c r="V70">
        <f>'Age by income band distribution'!H73+'Age by income band distribution'!I73</f>
        <v>6370</v>
      </c>
      <c r="W70">
        <f>'Age by income band distribution'!J73+'Age by income band distribution'!K73</f>
        <v>5470</v>
      </c>
      <c r="X70">
        <f>'Age by income band distribution'!L73+'Age by income band distribution'!M73</f>
        <v>4950</v>
      </c>
      <c r="Y70">
        <f>'Age by income band distribution'!N73+'Age by income band distribution'!O73+'Age by income band distribution'!P73</f>
        <v>3380</v>
      </c>
    </row>
    <row r="71" spans="1:25" x14ac:dyDescent="0.2">
      <c r="A71" s="50">
        <v>68000</v>
      </c>
      <c r="B71" s="1">
        <f>'Income tables 2001-24'!K77</f>
        <v>8080</v>
      </c>
      <c r="C71" s="1">
        <f>'Income tables 2001-24'!AP77</f>
        <v>18460</v>
      </c>
      <c r="D71" s="1">
        <f>'Income tables 2001-24'!BR77</f>
        <v>29990</v>
      </c>
      <c r="E71" s="1">
        <f>'Income tables 2001-24'!BU77</f>
        <v>31500</v>
      </c>
      <c r="F71" s="52">
        <f>'Income tables 2001-24'!L77</f>
        <v>545.4</v>
      </c>
      <c r="G71" s="52">
        <f>'Income tables 2001-24'!AQ77</f>
        <v>1245.9000000000001</v>
      </c>
      <c r="H71" s="52">
        <f>'Income tables 2001-24'!BS77</f>
        <v>2023.89</v>
      </c>
      <c r="I71" s="52">
        <f>'Income tables 2001-24'!BV77</f>
        <v>2126.52</v>
      </c>
      <c r="J71" s="52">
        <f>'Income tables 2001-24'!M77</f>
        <v>142.19999999999999</v>
      </c>
      <c r="K71" s="52">
        <f>'Income tables 2001-24'!AR77</f>
        <v>244.9</v>
      </c>
      <c r="L71" s="52">
        <f>'Income tables 2001-24'!BT77</f>
        <v>397.86829438000001</v>
      </c>
      <c r="M71" s="52">
        <f>'Income tables 2001-24'!BW77</f>
        <v>418.05709105</v>
      </c>
      <c r="Q71" t="s">
        <v>104</v>
      </c>
      <c r="R71">
        <f>'Age by income band distribution'!B74</f>
        <v>30</v>
      </c>
      <c r="S71">
        <f>'Age by income band distribution'!C74</f>
        <v>0</v>
      </c>
      <c r="T71">
        <f>'Age by income band distribution'!D74+'Age by income band distribution'!E74</f>
        <v>3140</v>
      </c>
      <c r="U71">
        <f>'Age by income band distribution'!F74+'Age by income band distribution'!G74</f>
        <v>8380</v>
      </c>
      <c r="V71">
        <f>'Age by income band distribution'!H74+'Age by income band distribution'!I74</f>
        <v>6410</v>
      </c>
      <c r="W71">
        <f>'Age by income band distribution'!J74+'Age by income band distribution'!K74</f>
        <v>5300</v>
      </c>
      <c r="X71">
        <f>'Age by income band distribution'!L74+'Age by income band distribution'!M74</f>
        <v>5130</v>
      </c>
      <c r="Y71">
        <f>'Age by income band distribution'!N74+'Age by income band distribution'!O74+'Age by income band distribution'!P74</f>
        <v>3390</v>
      </c>
    </row>
    <row r="72" spans="1:25" x14ac:dyDescent="0.2">
      <c r="A72" s="50">
        <v>69000</v>
      </c>
      <c r="B72" s="1">
        <f>'Income tables 2001-24'!K78</f>
        <v>7190</v>
      </c>
      <c r="C72" s="1">
        <f>'Income tables 2001-24'!AP78</f>
        <v>19490</v>
      </c>
      <c r="D72" s="1">
        <f>'Income tables 2001-24'!BR78</f>
        <v>29980</v>
      </c>
      <c r="E72" s="1">
        <f>'Income tables 2001-24'!BU78</f>
        <v>31640</v>
      </c>
      <c r="F72" s="52">
        <f>'Income tables 2001-24'!L78</f>
        <v>492.3</v>
      </c>
      <c r="G72" s="52">
        <f>'Income tables 2001-24'!AQ78</f>
        <v>1335.3</v>
      </c>
      <c r="H72" s="52">
        <f>'Income tables 2001-24'!BS78</f>
        <v>2053.7800000000002</v>
      </c>
      <c r="I72" s="52">
        <f>'Income tables 2001-24'!BV78</f>
        <v>2167.5700000000002</v>
      </c>
      <c r="J72" s="52">
        <f>'Income tables 2001-24'!M78</f>
        <v>129.19999999999999</v>
      </c>
      <c r="K72" s="52">
        <f>'Income tables 2001-24'!AR78</f>
        <v>264.5</v>
      </c>
      <c r="L72" s="52">
        <f>'Income tables 2001-24'!BT78</f>
        <v>406.8514467</v>
      </c>
      <c r="M72" s="52">
        <f>'Income tables 2001-24'!BW78</f>
        <v>429.39567624</v>
      </c>
      <c r="Q72" t="s">
        <v>105</v>
      </c>
      <c r="R72">
        <f>'Age by income band distribution'!B75</f>
        <v>20</v>
      </c>
      <c r="S72">
        <f>'Age by income band distribution'!C75</f>
        <v>0</v>
      </c>
      <c r="T72">
        <f>'Age by income band distribution'!D75+'Age by income band distribution'!E75</f>
        <v>2820</v>
      </c>
      <c r="U72">
        <f>'Age by income band distribution'!F75+'Age by income band distribution'!G75</f>
        <v>8390</v>
      </c>
      <c r="V72">
        <f>'Age by income band distribution'!H75+'Age by income band distribution'!I75</f>
        <v>6460</v>
      </c>
      <c r="W72">
        <f>'Age by income band distribution'!J75+'Age by income band distribution'!K75</f>
        <v>5400</v>
      </c>
      <c r="X72">
        <f>'Age by income band distribution'!L75+'Age by income band distribution'!M75</f>
        <v>5060</v>
      </c>
      <c r="Y72">
        <f>'Age by income band distribution'!N75+'Age by income band distribution'!O75+'Age by income band distribution'!P75</f>
        <v>3350</v>
      </c>
    </row>
    <row r="73" spans="1:25" x14ac:dyDescent="0.2">
      <c r="A73" s="50">
        <v>70000</v>
      </c>
      <c r="B73" s="1">
        <f>'Income tables 2001-24'!K79</f>
        <v>7250</v>
      </c>
      <c r="C73" s="1">
        <f>'Income tables 2001-24'!AP79</f>
        <v>28480</v>
      </c>
      <c r="D73" s="1">
        <f>'Income tables 2001-24'!BR79</f>
        <v>40170</v>
      </c>
      <c r="E73" s="1">
        <f>'Income tables 2001-24'!BU79</f>
        <v>40910</v>
      </c>
      <c r="F73" s="52">
        <f>'Income tables 2001-24'!L79</f>
        <v>504</v>
      </c>
      <c r="G73" s="52">
        <f>'Income tables 2001-24'!AQ79</f>
        <v>1983.7</v>
      </c>
      <c r="H73" s="52">
        <f>'Income tables 2001-24'!BS79</f>
        <v>2795.64</v>
      </c>
      <c r="I73" s="52">
        <f>'Income tables 2001-24'!BV79</f>
        <v>2847.12</v>
      </c>
      <c r="J73" s="52">
        <f>'Income tables 2001-24'!M79</f>
        <v>133.30000000000001</v>
      </c>
      <c r="K73" s="52">
        <f>'Income tables 2001-24'!AR79</f>
        <v>396.3</v>
      </c>
      <c r="L73" s="52">
        <f>'Income tables 2001-24'!BT79</f>
        <v>558.33405708999999</v>
      </c>
      <c r="M73" s="52">
        <f>'Income tables 2001-24'!BW79</f>
        <v>568.58135317999995</v>
      </c>
      <c r="Q73" t="s">
        <v>106</v>
      </c>
      <c r="R73">
        <f>'Age by income band distribution'!B76</f>
        <v>30</v>
      </c>
      <c r="S73">
        <f>'Age by income band distribution'!C76</f>
        <v>0</v>
      </c>
      <c r="T73">
        <f>'Age by income band distribution'!D76+'Age by income band distribution'!E76</f>
        <v>2730</v>
      </c>
      <c r="U73">
        <f>'Age by income band distribution'!F76+'Age by income band distribution'!G76</f>
        <v>8360</v>
      </c>
      <c r="V73">
        <f>'Age by income band distribution'!H76+'Age by income band distribution'!I76</f>
        <v>6570</v>
      </c>
      <c r="W73">
        <f>'Age by income band distribution'!J76+'Age by income band distribution'!K76</f>
        <v>5520</v>
      </c>
      <c r="X73">
        <f>'Age by income band distribution'!L76+'Age by income band distribution'!M76</f>
        <v>5130</v>
      </c>
      <c r="Y73">
        <f>'Age by income band distribution'!N76+'Age by income band distribution'!O76+'Age by income band distribution'!P76</f>
        <v>3320</v>
      </c>
    </row>
    <row r="74" spans="1:25" x14ac:dyDescent="0.2">
      <c r="A74" s="50">
        <v>71000</v>
      </c>
      <c r="B74" s="1">
        <f>'Income tables 2001-24'!K80</f>
        <v>5940</v>
      </c>
      <c r="C74" s="1">
        <f>'Income tables 2001-24'!AP80</f>
        <v>20870</v>
      </c>
      <c r="D74" s="1">
        <f>'Income tables 2001-24'!BR80</f>
        <v>35390</v>
      </c>
      <c r="E74" s="1">
        <f>'Income tables 2001-24'!BU80</f>
        <v>36660</v>
      </c>
      <c r="F74" s="52">
        <f>'Income tables 2001-24'!L80</f>
        <v>418.5</v>
      </c>
      <c r="G74" s="52">
        <f>'Income tables 2001-24'!AQ80</f>
        <v>1470.6</v>
      </c>
      <c r="H74" s="52">
        <f>'Income tables 2001-24'!BS80</f>
        <v>2492.9899999999998</v>
      </c>
      <c r="I74" s="52">
        <f>'Income tables 2001-24'!BV80</f>
        <v>2582.69</v>
      </c>
      <c r="J74" s="52">
        <f>'Income tables 2001-24'!M80</f>
        <v>111.3</v>
      </c>
      <c r="K74" s="52">
        <f>'Income tables 2001-24'!AR80</f>
        <v>295.8</v>
      </c>
      <c r="L74" s="52">
        <f>'Income tables 2001-24'!BT80</f>
        <v>501.34692527999999</v>
      </c>
      <c r="M74" s="52">
        <f>'Income tables 2001-24'!BW80</f>
        <v>519.43072643999994</v>
      </c>
      <c r="Q74" t="s">
        <v>107</v>
      </c>
      <c r="R74">
        <f>'Age by income band distribution'!B77</f>
        <v>100</v>
      </c>
      <c r="S74">
        <f>'Age by income band distribution'!C77</f>
        <v>10</v>
      </c>
      <c r="T74">
        <f>'Age by income band distribution'!D77+'Age by income band distribution'!E77</f>
        <v>3860</v>
      </c>
      <c r="U74">
        <f>'Age by income band distribution'!F77+'Age by income band distribution'!G77</f>
        <v>9000</v>
      </c>
      <c r="V74">
        <f>'Age by income band distribution'!H77+'Age by income band distribution'!I77</f>
        <v>7850</v>
      </c>
      <c r="W74">
        <f>'Age by income band distribution'!J77+'Age by income band distribution'!K77</f>
        <v>7140</v>
      </c>
      <c r="X74">
        <f>'Age by income band distribution'!L77+'Age by income band distribution'!M77</f>
        <v>7000</v>
      </c>
      <c r="Y74">
        <f>'Age by income band distribution'!N77+'Age by income band distribution'!O77+'Age by income band distribution'!P77</f>
        <v>5950</v>
      </c>
    </row>
    <row r="75" spans="1:25" x14ac:dyDescent="0.2">
      <c r="A75" s="50">
        <v>72000</v>
      </c>
      <c r="B75" s="1">
        <f>'Income tables 2001-24'!K81</f>
        <v>5950</v>
      </c>
      <c r="C75" s="1">
        <f>'Income tables 2001-24'!AP81</f>
        <v>18770</v>
      </c>
      <c r="D75" s="1">
        <f>'Income tables 2001-24'!BR81</f>
        <v>29070</v>
      </c>
      <c r="E75" s="1">
        <f>'Income tables 2001-24'!BU81</f>
        <v>30230</v>
      </c>
      <c r="F75" s="52">
        <f>'Income tables 2001-24'!L81</f>
        <v>425.5</v>
      </c>
      <c r="G75" s="52">
        <f>'Income tables 2001-24'!AQ81</f>
        <v>1342</v>
      </c>
      <c r="H75" s="52">
        <f>'Income tables 2001-24'!BS81</f>
        <v>2077.92</v>
      </c>
      <c r="I75" s="52">
        <f>'Income tables 2001-24'!BV81</f>
        <v>2161.37</v>
      </c>
      <c r="J75" s="52">
        <f>'Income tables 2001-24'!M81</f>
        <v>114</v>
      </c>
      <c r="K75" s="52">
        <f>'Income tables 2001-24'!AR81</f>
        <v>272.39999999999998</v>
      </c>
      <c r="L75" s="52">
        <f>'Income tables 2001-24'!BT81</f>
        <v>421.79976161000002</v>
      </c>
      <c r="M75" s="52">
        <f>'Income tables 2001-24'!BW81</f>
        <v>438.76010749</v>
      </c>
      <c r="Q75" t="s">
        <v>108</v>
      </c>
      <c r="R75">
        <f>'Age by income band distribution'!B78</f>
        <v>70</v>
      </c>
      <c r="S75">
        <f>'Age by income band distribution'!C78</f>
        <v>0</v>
      </c>
      <c r="T75">
        <f>'Age by income band distribution'!D78+'Age by income band distribution'!E78</f>
        <v>2940</v>
      </c>
      <c r="U75">
        <f>'Age by income band distribution'!F78+'Age by income band distribution'!G78</f>
        <v>8820</v>
      </c>
      <c r="V75">
        <f>'Age by income band distribution'!H78+'Age by income band distribution'!I78</f>
        <v>7660</v>
      </c>
      <c r="W75">
        <f>'Age by income band distribution'!J78+'Age by income band distribution'!K78</f>
        <v>6640</v>
      </c>
      <c r="X75">
        <f>'Age by income band distribution'!L78+'Age by income band distribution'!M78</f>
        <v>6120</v>
      </c>
      <c r="Y75">
        <f>'Age by income band distribution'!N78+'Age by income band distribution'!O78+'Age by income band distribution'!P78</f>
        <v>4410</v>
      </c>
    </row>
    <row r="76" spans="1:25" x14ac:dyDescent="0.2">
      <c r="A76" s="50">
        <v>73000</v>
      </c>
      <c r="B76" s="1">
        <f>'Income tables 2001-24'!K82</f>
        <v>5430</v>
      </c>
      <c r="C76" s="1">
        <f>'Income tables 2001-24'!AP82</f>
        <v>17740</v>
      </c>
      <c r="D76" s="1">
        <f>'Income tables 2001-24'!BR82</f>
        <v>27620</v>
      </c>
      <c r="E76" s="1">
        <f>'Income tables 2001-24'!BU82</f>
        <v>29510</v>
      </c>
      <c r="F76" s="52">
        <f>'Income tables 2001-24'!L82</f>
        <v>393.5</v>
      </c>
      <c r="G76" s="52">
        <f>'Income tables 2001-24'!AQ82</f>
        <v>1285.8</v>
      </c>
      <c r="H76" s="52">
        <f>'Income tables 2001-24'!BS82</f>
        <v>2002.18</v>
      </c>
      <c r="I76" s="52">
        <f>'Income tables 2001-24'!BV82</f>
        <v>2139.1999999999998</v>
      </c>
      <c r="J76" s="52">
        <f>'Income tables 2001-24'!M82</f>
        <v>106.1</v>
      </c>
      <c r="K76" s="52">
        <f>'Income tables 2001-24'!AR82</f>
        <v>263.2</v>
      </c>
      <c r="L76" s="52">
        <f>'Income tables 2001-24'!BT82</f>
        <v>409.95468105999998</v>
      </c>
      <c r="M76" s="52">
        <f>'Income tables 2001-24'!BW82</f>
        <v>438.02108289999995</v>
      </c>
      <c r="Q76" t="s">
        <v>109</v>
      </c>
      <c r="R76">
        <f>'Age by income band distribution'!B79</f>
        <v>30</v>
      </c>
      <c r="S76">
        <f>'Age by income band distribution'!C79</f>
        <v>0</v>
      </c>
      <c r="T76">
        <f>'Age by income band distribution'!D79+'Age by income band distribution'!E79</f>
        <v>2210</v>
      </c>
      <c r="U76">
        <f>'Age by income band distribution'!F79+'Age by income band distribution'!G79</f>
        <v>7930</v>
      </c>
      <c r="V76">
        <f>'Age by income band distribution'!H79+'Age by income band distribution'!I79</f>
        <v>6360</v>
      </c>
      <c r="W76">
        <f>'Age by income band distribution'!J79+'Age by income band distribution'!K79</f>
        <v>5370</v>
      </c>
      <c r="X76">
        <f>'Age by income band distribution'!L79+'Age by income band distribution'!M79</f>
        <v>4920</v>
      </c>
      <c r="Y76">
        <f>'Age by income band distribution'!N79+'Age by income band distribution'!O79+'Age by income band distribution'!P79</f>
        <v>3410</v>
      </c>
    </row>
    <row r="77" spans="1:25" x14ac:dyDescent="0.2">
      <c r="A77" s="50">
        <v>74000</v>
      </c>
      <c r="B77" s="1">
        <f>'Income tables 2001-24'!K83</f>
        <v>5580</v>
      </c>
      <c r="C77" s="1">
        <f>'Income tables 2001-24'!AP83</f>
        <v>16320</v>
      </c>
      <c r="D77" s="1">
        <f>'Income tables 2001-24'!BR83</f>
        <v>26560</v>
      </c>
      <c r="E77" s="1">
        <f>'Income tables 2001-24'!BU83</f>
        <v>28300</v>
      </c>
      <c r="F77" s="52">
        <f>'Income tables 2001-24'!L83</f>
        <v>410.1</v>
      </c>
      <c r="G77" s="52">
        <f>'Income tables 2001-24'!AQ83</f>
        <v>1199.9000000000001</v>
      </c>
      <c r="H77" s="52">
        <f>'Income tables 2001-24'!BS83</f>
        <v>1952.35</v>
      </c>
      <c r="I77" s="52">
        <f>'Income tables 2001-24'!BV83</f>
        <v>2080.34</v>
      </c>
      <c r="J77" s="52">
        <f>'Income tables 2001-24'!M83</f>
        <v>111.2</v>
      </c>
      <c r="K77" s="52">
        <f>'Income tables 2001-24'!AR83</f>
        <v>247.8</v>
      </c>
      <c r="L77" s="52">
        <f>'Income tables 2001-24'!BT83</f>
        <v>403.07376008</v>
      </c>
      <c r="M77" s="52">
        <f>'Income tables 2001-24'!BW83</f>
        <v>429.50939944999999</v>
      </c>
      <c r="Q77" t="s">
        <v>110</v>
      </c>
      <c r="R77">
        <f>'Age by income band distribution'!B80</f>
        <v>30</v>
      </c>
      <c r="S77">
        <f>'Age by income band distribution'!C80</f>
        <v>0</v>
      </c>
      <c r="T77">
        <f>'Age by income band distribution'!D80+'Age by income band distribution'!E80</f>
        <v>2050</v>
      </c>
      <c r="U77">
        <f>'Age by income band distribution'!F80+'Age by income band distribution'!G80</f>
        <v>7760</v>
      </c>
      <c r="V77">
        <f>'Age by income band distribution'!H80+'Age by income band distribution'!I80</f>
        <v>6260</v>
      </c>
      <c r="W77">
        <f>'Age by income band distribution'!J80+'Age by income band distribution'!K80</f>
        <v>5300</v>
      </c>
      <c r="X77">
        <f>'Age by income band distribution'!L80+'Age by income band distribution'!M80</f>
        <v>4770</v>
      </c>
      <c r="Y77">
        <f>'Age by income band distribution'!N80+'Age by income band distribution'!O80+'Age by income band distribution'!P80</f>
        <v>3350</v>
      </c>
    </row>
    <row r="78" spans="1:25" x14ac:dyDescent="0.2">
      <c r="A78" s="50">
        <v>75000</v>
      </c>
      <c r="B78" s="1">
        <f>'Income tables 2001-24'!K84</f>
        <v>5180</v>
      </c>
      <c r="C78" s="1">
        <f>'Income tables 2001-24'!AP84</f>
        <v>13710</v>
      </c>
      <c r="D78" s="1">
        <f>'Income tables 2001-24'!BR84</f>
        <v>25890</v>
      </c>
      <c r="E78" s="1">
        <f>'Income tables 2001-24'!BU84</f>
        <v>28030</v>
      </c>
      <c r="F78" s="52">
        <f>'Income tables 2001-24'!L84</f>
        <v>386</v>
      </c>
      <c r="G78" s="52">
        <f>'Income tables 2001-24'!AQ84</f>
        <v>1021.6</v>
      </c>
      <c r="H78" s="52">
        <f>'Income tables 2001-24'!BS84</f>
        <v>1929.24</v>
      </c>
      <c r="I78" s="52">
        <f>'Income tables 2001-24'!BV84</f>
        <v>2088.41</v>
      </c>
      <c r="J78" s="52">
        <f>'Income tables 2001-24'!M84</f>
        <v>105.3</v>
      </c>
      <c r="K78" s="52">
        <f>'Income tables 2001-24'!AR84</f>
        <v>212.6</v>
      </c>
      <c r="L78" s="52">
        <f>'Income tables 2001-24'!BT84</f>
        <v>401.53971641999999</v>
      </c>
      <c r="M78" s="52">
        <f>'Income tables 2001-24'!BW84</f>
        <v>434.63582514999996</v>
      </c>
      <c r="Q78" t="s">
        <v>111</v>
      </c>
      <c r="R78">
        <f>'Age by income band distribution'!B81</f>
        <v>40</v>
      </c>
      <c r="S78">
        <f>'Age by income band distribution'!C81</f>
        <v>0</v>
      </c>
      <c r="T78">
        <f>'Age by income band distribution'!D81+'Age by income band distribution'!E81</f>
        <v>1880</v>
      </c>
      <c r="U78">
        <f>'Age by income band distribution'!F81+'Age by income band distribution'!G81</f>
        <v>7390</v>
      </c>
      <c r="V78">
        <f>'Age by income band distribution'!H81+'Age by income band distribution'!I81</f>
        <v>6100</v>
      </c>
      <c r="W78">
        <f>'Age by income band distribution'!J81+'Age by income band distribution'!K81</f>
        <v>5170</v>
      </c>
      <c r="X78">
        <f>'Age by income band distribution'!L81+'Age by income band distribution'!M81</f>
        <v>4580</v>
      </c>
      <c r="Y78">
        <f>'Age by income band distribution'!N81+'Age by income band distribution'!O81+'Age by income band distribution'!P81</f>
        <v>3150</v>
      </c>
    </row>
    <row r="79" spans="1:25" x14ac:dyDescent="0.2">
      <c r="A79" s="50">
        <v>76000</v>
      </c>
      <c r="B79" s="1">
        <f>'Income tables 2001-24'!K85</f>
        <v>5660</v>
      </c>
      <c r="C79" s="1">
        <f>'Income tables 2001-24'!AP85</f>
        <v>15070</v>
      </c>
      <c r="D79" s="1">
        <f>'Income tables 2001-24'!BR85</f>
        <v>25910</v>
      </c>
      <c r="E79" s="1">
        <f>'Income tables 2001-24'!BU85</f>
        <v>28020</v>
      </c>
      <c r="F79" s="52">
        <f>'Income tables 2001-24'!L85</f>
        <v>427.4</v>
      </c>
      <c r="G79" s="52">
        <f>'Income tables 2001-24'!AQ85</f>
        <v>1138.2</v>
      </c>
      <c r="H79" s="52">
        <f>'Income tables 2001-24'!BS85</f>
        <v>1955.86</v>
      </c>
      <c r="I79" s="52">
        <f>'Income tables 2001-24'!BV85</f>
        <v>2114.9699999999998</v>
      </c>
      <c r="J79" s="52">
        <f>'Income tables 2001-24'!M85</f>
        <v>117.3</v>
      </c>
      <c r="K79" s="52">
        <f>'Income tables 2001-24'!AR85</f>
        <v>238.8</v>
      </c>
      <c r="L79" s="52">
        <f>'Income tables 2001-24'!BT85</f>
        <v>410.17021158</v>
      </c>
      <c r="M79" s="52">
        <f>'Income tables 2001-24'!BW85</f>
        <v>443.54387731000003</v>
      </c>
      <c r="Q79" t="s">
        <v>112</v>
      </c>
      <c r="R79">
        <f>'Age by income band distribution'!B82</f>
        <v>30</v>
      </c>
      <c r="S79">
        <f>'Age by income band distribution'!C82</f>
        <v>0</v>
      </c>
      <c r="T79">
        <f>'Age by income band distribution'!D82+'Age by income band distribution'!E82</f>
        <v>1740</v>
      </c>
      <c r="U79">
        <f>'Age by income band distribution'!F82+'Age by income band distribution'!G82</f>
        <v>7400</v>
      </c>
      <c r="V79">
        <f>'Age by income band distribution'!H82+'Age by income band distribution'!I82</f>
        <v>6140</v>
      </c>
      <c r="W79">
        <f>'Age by income band distribution'!J82+'Age by income band distribution'!K82</f>
        <v>5240</v>
      </c>
      <c r="X79">
        <f>'Age by income band distribution'!L82+'Age by income band distribution'!M82</f>
        <v>4510</v>
      </c>
      <c r="Y79">
        <f>'Age by income band distribution'!N82+'Age by income band distribution'!O82+'Age by income band distribution'!P82</f>
        <v>2970</v>
      </c>
    </row>
    <row r="80" spans="1:25" x14ac:dyDescent="0.2">
      <c r="A80" s="50">
        <v>77000</v>
      </c>
      <c r="B80" s="1">
        <f>'Income tables 2001-24'!K86</f>
        <v>4690</v>
      </c>
      <c r="C80" s="1">
        <f>'Income tables 2001-24'!AP86</f>
        <v>13820</v>
      </c>
      <c r="D80" s="1">
        <f>'Income tables 2001-24'!BR86</f>
        <v>24540</v>
      </c>
      <c r="E80" s="1">
        <f>'Income tables 2001-24'!BU86</f>
        <v>26560</v>
      </c>
      <c r="F80" s="52">
        <f>'Income tables 2001-24'!L86</f>
        <v>358.7</v>
      </c>
      <c r="G80" s="52">
        <f>'Income tables 2001-24'!AQ86</f>
        <v>1057.3</v>
      </c>
      <c r="H80" s="52">
        <f>'Income tables 2001-24'!BS86</f>
        <v>1876.84</v>
      </c>
      <c r="I80" s="52">
        <f>'Income tables 2001-24'!BV86</f>
        <v>2031.77</v>
      </c>
      <c r="J80" s="52">
        <f>'Income tables 2001-24'!M86</f>
        <v>99</v>
      </c>
      <c r="K80" s="52">
        <f>'Income tables 2001-24'!AR86</f>
        <v>223.4</v>
      </c>
      <c r="L80" s="52">
        <f>'Income tables 2001-24'!BT86</f>
        <v>396.57797648000002</v>
      </c>
      <c r="M80" s="52">
        <f>'Income tables 2001-24'!BW86</f>
        <v>429.32655101</v>
      </c>
      <c r="Q80" t="s">
        <v>113</v>
      </c>
      <c r="R80">
        <f>'Age by income band distribution'!B83</f>
        <v>20</v>
      </c>
      <c r="S80">
        <f>'Age by income band distribution'!C83</f>
        <v>0</v>
      </c>
      <c r="T80">
        <f>'Age by income band distribution'!D83+'Age by income band distribution'!E83</f>
        <v>1630</v>
      </c>
      <c r="U80">
        <f>'Age by income band distribution'!F83+'Age by income band distribution'!G83</f>
        <v>7290</v>
      </c>
      <c r="V80">
        <f>'Age by income band distribution'!H83+'Age by income band distribution'!I83</f>
        <v>6280</v>
      </c>
      <c r="W80">
        <f>'Age by income band distribution'!J83+'Age by income band distribution'!K83</f>
        <v>5190</v>
      </c>
      <c r="X80">
        <f>'Age by income band distribution'!L83+'Age by income band distribution'!M83</f>
        <v>4680</v>
      </c>
      <c r="Y80">
        <f>'Age by income band distribution'!N83+'Age by income band distribution'!O83+'Age by income band distribution'!P83</f>
        <v>2950</v>
      </c>
    </row>
    <row r="81" spans="1:25" x14ac:dyDescent="0.2">
      <c r="A81" s="50">
        <v>78000</v>
      </c>
      <c r="B81" s="1">
        <f>'Income tables 2001-24'!K87</f>
        <v>4000</v>
      </c>
      <c r="C81" s="1">
        <f>'Income tables 2001-24'!AP87</f>
        <v>13030</v>
      </c>
      <c r="D81" s="1">
        <f>'Income tables 2001-24'!BR87</f>
        <v>24090</v>
      </c>
      <c r="E81" s="1">
        <f>'Income tables 2001-24'!BU87</f>
        <v>25660</v>
      </c>
      <c r="F81" s="52">
        <f>'Income tables 2001-24'!L87</f>
        <v>309.89999999999998</v>
      </c>
      <c r="G81" s="52">
        <f>'Income tables 2001-24'!AQ87</f>
        <v>1010.2</v>
      </c>
      <c r="H81" s="52">
        <f>'Income tables 2001-24'!BS87</f>
        <v>1866.84</v>
      </c>
      <c r="I81" s="52">
        <f>'Income tables 2001-24'!BV87</f>
        <v>1988.78</v>
      </c>
      <c r="J81" s="52">
        <f>'Income tables 2001-24'!M87</f>
        <v>85.9</v>
      </c>
      <c r="K81" s="52">
        <f>'Income tables 2001-24'!AR87</f>
        <v>215</v>
      </c>
      <c r="L81" s="52">
        <f>'Income tables 2001-24'!BT87</f>
        <v>397.33617433999996</v>
      </c>
      <c r="M81" s="52">
        <f>'Income tables 2001-24'!BW87</f>
        <v>423.29347264999996</v>
      </c>
      <c r="Q81" t="s">
        <v>114</v>
      </c>
      <c r="R81">
        <f>'Age by income band distribution'!B84</f>
        <v>20</v>
      </c>
      <c r="S81">
        <f>'Age by income band distribution'!C84</f>
        <v>0</v>
      </c>
      <c r="T81">
        <f>'Age by income band distribution'!D84+'Age by income band distribution'!E84</f>
        <v>1420</v>
      </c>
      <c r="U81">
        <f>'Age by income band distribution'!F84+'Age by income band distribution'!G84</f>
        <v>7050</v>
      </c>
      <c r="V81">
        <f>'Age by income band distribution'!H84+'Age by income band distribution'!I84</f>
        <v>5820</v>
      </c>
      <c r="W81">
        <f>'Age by income band distribution'!J84+'Age by income band distribution'!K84</f>
        <v>4910</v>
      </c>
      <c r="X81">
        <f>'Age by income band distribution'!L84+'Age by income band distribution'!M84</f>
        <v>4450</v>
      </c>
      <c r="Y81">
        <f>'Age by income band distribution'!N84+'Age by income band distribution'!O84+'Age by income band distribution'!P84</f>
        <v>2890</v>
      </c>
    </row>
    <row r="82" spans="1:25" x14ac:dyDescent="0.2">
      <c r="A82" s="50">
        <v>79000</v>
      </c>
      <c r="B82" s="1">
        <f>'Income tables 2001-24'!K88</f>
        <v>3940</v>
      </c>
      <c r="C82" s="1">
        <f>'Income tables 2001-24'!AP88</f>
        <v>11960</v>
      </c>
      <c r="D82" s="1">
        <f>'Income tables 2001-24'!BR88</f>
        <v>23310</v>
      </c>
      <c r="E82" s="1">
        <f>'Income tables 2001-24'!BU88</f>
        <v>25390</v>
      </c>
      <c r="F82" s="52">
        <f>'Income tables 2001-24'!L88</f>
        <v>309.10000000000002</v>
      </c>
      <c r="G82" s="52">
        <f>'Income tables 2001-24'!AQ88</f>
        <v>938.6</v>
      </c>
      <c r="H82" s="52">
        <f>'Income tables 2001-24'!BS88</f>
        <v>1830.11</v>
      </c>
      <c r="I82" s="52">
        <f>'Income tables 2001-24'!BV88</f>
        <v>1993.02</v>
      </c>
      <c r="J82" s="52">
        <f>'Income tables 2001-24'!M88</f>
        <v>86.2</v>
      </c>
      <c r="K82" s="52">
        <f>'Income tables 2001-24'!AR88</f>
        <v>201.1</v>
      </c>
      <c r="L82" s="52">
        <f>'Income tables 2001-24'!BT88</f>
        <v>392.24511172000001</v>
      </c>
      <c r="M82" s="52">
        <f>'Income tables 2001-24'!BW88</f>
        <v>427.15326754</v>
      </c>
      <c r="Q82" t="s">
        <v>115</v>
      </c>
      <c r="R82">
        <f>'Age by income band distribution'!B85</f>
        <v>30</v>
      </c>
      <c r="S82">
        <f>'Age by income band distribution'!C85</f>
        <v>0</v>
      </c>
      <c r="T82">
        <f>'Age by income band distribution'!D85+'Age by income band distribution'!E85</f>
        <v>1400</v>
      </c>
      <c r="U82">
        <f>'Age by income band distribution'!F85+'Age by income band distribution'!G85</f>
        <v>6670</v>
      </c>
      <c r="V82">
        <f>'Age by income band distribution'!H85+'Age by income band distribution'!I85</f>
        <v>5850</v>
      </c>
      <c r="W82">
        <f>'Age by income band distribution'!J85+'Age by income band distribution'!K85</f>
        <v>4810</v>
      </c>
      <c r="X82">
        <f>'Age by income band distribution'!L85+'Age by income band distribution'!M85</f>
        <v>4210</v>
      </c>
      <c r="Y82">
        <f>'Age by income band distribution'!N85+'Age by income band distribution'!O85+'Age by income band distribution'!P85</f>
        <v>2720</v>
      </c>
    </row>
    <row r="83" spans="1:25" x14ac:dyDescent="0.2">
      <c r="A83" s="50">
        <v>80000</v>
      </c>
      <c r="B83" s="1">
        <f>'Income tables 2001-24'!K89</f>
        <v>4510</v>
      </c>
      <c r="C83" s="1">
        <f>'Income tables 2001-24'!AP89</f>
        <v>13770</v>
      </c>
      <c r="D83" s="1">
        <f>'Income tables 2001-24'!BR89</f>
        <v>23290</v>
      </c>
      <c r="E83" s="1">
        <f>'Income tables 2001-24'!BU89</f>
        <v>24690</v>
      </c>
      <c r="F83" s="52">
        <f>'Income tables 2001-24'!L89</f>
        <v>358.6</v>
      </c>
      <c r="G83" s="52">
        <f>'Income tables 2001-24'!AQ89</f>
        <v>1094.5999999999999</v>
      </c>
      <c r="H83" s="52">
        <f>'Income tables 2001-24'!BS89</f>
        <v>1851.8</v>
      </c>
      <c r="I83" s="52">
        <f>'Income tables 2001-24'!BV89</f>
        <v>1962.71</v>
      </c>
      <c r="J83" s="52">
        <f>'Income tables 2001-24'!M89</f>
        <v>100.5</v>
      </c>
      <c r="K83" s="52">
        <f>'Income tables 2001-24'!AR89</f>
        <v>236.2</v>
      </c>
      <c r="L83" s="52">
        <f>'Income tables 2001-24'!BT89</f>
        <v>399.61166043000003</v>
      </c>
      <c r="M83" s="52">
        <f>'Income tables 2001-24'!BW89</f>
        <v>423.54473417000003</v>
      </c>
      <c r="Q83" t="s">
        <v>116</v>
      </c>
      <c r="R83">
        <f>'Age by income band distribution'!B86</f>
        <v>20</v>
      </c>
      <c r="S83">
        <f>'Age by income band distribution'!C86</f>
        <v>0</v>
      </c>
      <c r="T83">
        <f>'Age by income band distribution'!D86+'Age by income band distribution'!E86</f>
        <v>1310</v>
      </c>
      <c r="U83">
        <f>'Age by income band distribution'!F86+'Age by income band distribution'!G86</f>
        <v>6560</v>
      </c>
      <c r="V83">
        <f>'Age by income band distribution'!H86+'Age by income band distribution'!I86</f>
        <v>5650</v>
      </c>
      <c r="W83">
        <f>'Age by income band distribution'!J86+'Age by income band distribution'!K86</f>
        <v>4860</v>
      </c>
      <c r="X83">
        <f>'Age by income band distribution'!L86+'Age by income band distribution'!M86</f>
        <v>4240</v>
      </c>
      <c r="Y83">
        <f>'Age by income band distribution'!N86+'Age by income band distribution'!O86+'Age by income band distribution'!P86</f>
        <v>2770</v>
      </c>
    </row>
    <row r="84" spans="1:25" x14ac:dyDescent="0.2">
      <c r="A84" s="50">
        <v>81000</v>
      </c>
      <c r="B84" s="1">
        <f>'Income tables 2001-24'!K90</f>
        <v>3820</v>
      </c>
      <c r="C84" s="1">
        <f>'Income tables 2001-24'!AP90</f>
        <v>12860</v>
      </c>
      <c r="D84" s="1">
        <f>'Income tables 2001-24'!BR90</f>
        <v>23390</v>
      </c>
      <c r="E84" s="1">
        <f>'Income tables 2001-24'!BU90</f>
        <v>25230</v>
      </c>
      <c r="F84" s="52">
        <f>'Income tables 2001-24'!L90</f>
        <v>307.5</v>
      </c>
      <c r="G84" s="52">
        <f>'Income tables 2001-24'!AQ90</f>
        <v>1035.5</v>
      </c>
      <c r="H84" s="52">
        <f>'Income tables 2001-24'!BS90</f>
        <v>1882.04</v>
      </c>
      <c r="I84" s="52">
        <f>'Income tables 2001-24'!BV90</f>
        <v>2030.28</v>
      </c>
      <c r="J84" s="52">
        <f>'Income tables 2001-24'!M90</f>
        <v>86.6</v>
      </c>
      <c r="K84" s="52">
        <f>'Income tables 2001-24'!AR90</f>
        <v>224.9</v>
      </c>
      <c r="L84" s="52">
        <f>'Income tables 2001-24'!BT90</f>
        <v>408.73521933999996</v>
      </c>
      <c r="M84" s="52">
        <f>'Income tables 2001-24'!BW90</f>
        <v>440.94870062000001</v>
      </c>
      <c r="Q84" t="s">
        <v>117</v>
      </c>
      <c r="R84">
        <f>'Age by income band distribution'!B87</f>
        <v>30</v>
      </c>
      <c r="S84">
        <f>'Age by income band distribution'!C87</f>
        <v>0</v>
      </c>
      <c r="T84">
        <f>'Age by income band distribution'!D87+'Age by income band distribution'!E87</f>
        <v>1150</v>
      </c>
      <c r="U84">
        <f>'Age by income band distribution'!F87+'Age by income band distribution'!G87</f>
        <v>6490</v>
      </c>
      <c r="V84">
        <f>'Age by income band distribution'!H87+'Age by income band distribution'!I87</f>
        <v>5550</v>
      </c>
      <c r="W84">
        <f>'Age by income band distribution'!J87+'Age by income band distribution'!K87</f>
        <v>4670</v>
      </c>
      <c r="X84">
        <f>'Age by income band distribution'!L87+'Age by income band distribution'!M87</f>
        <v>4150</v>
      </c>
      <c r="Y84">
        <f>'Age by income band distribution'!N87+'Age by income band distribution'!O87+'Age by income band distribution'!P87</f>
        <v>2670</v>
      </c>
    </row>
    <row r="85" spans="1:25" x14ac:dyDescent="0.2">
      <c r="A85" s="50">
        <v>82000</v>
      </c>
      <c r="B85" s="1">
        <f>'Income tables 2001-24'!K91</f>
        <v>3730</v>
      </c>
      <c r="C85" s="1">
        <f>'Income tables 2001-24'!AP91</f>
        <v>10550</v>
      </c>
      <c r="D85" s="1">
        <f>'Income tables 2001-24'!BR91</f>
        <v>21970</v>
      </c>
      <c r="E85" s="1">
        <f>'Income tables 2001-24'!BU91</f>
        <v>23390</v>
      </c>
      <c r="F85" s="52">
        <f>'Income tables 2001-24'!L91</f>
        <v>304.2</v>
      </c>
      <c r="G85" s="52">
        <f>'Income tables 2001-24'!AQ91</f>
        <v>860.1</v>
      </c>
      <c r="H85" s="52">
        <f>'Income tables 2001-24'!BS91</f>
        <v>1790.82</v>
      </c>
      <c r="I85" s="52">
        <f>'Income tables 2001-24'!BV91</f>
        <v>1906.44</v>
      </c>
      <c r="J85" s="52">
        <f>'Income tables 2001-24'!M91</f>
        <v>86.1</v>
      </c>
      <c r="K85" s="52">
        <f>'Income tables 2001-24'!AR91</f>
        <v>188.1</v>
      </c>
      <c r="L85" s="52">
        <f>'Income tables 2001-24'!BT91</f>
        <v>391.44591327000001</v>
      </c>
      <c r="M85" s="52">
        <f>'Income tables 2001-24'!BW91</f>
        <v>416.72355027999998</v>
      </c>
      <c r="Q85" t="s">
        <v>118</v>
      </c>
      <c r="R85">
        <f>'Age by income band distribution'!B88</f>
        <v>30</v>
      </c>
      <c r="S85">
        <f>'Age by income band distribution'!C88</f>
        <v>0</v>
      </c>
      <c r="T85">
        <f>'Age by income band distribution'!D88+'Age by income band distribution'!E88</f>
        <v>1090</v>
      </c>
      <c r="U85">
        <f>'Age by income band distribution'!F88+'Age by income band distribution'!G88</f>
        <v>6390</v>
      </c>
      <c r="V85">
        <f>'Age by income band distribution'!H88+'Age by income band distribution'!I88</f>
        <v>5870</v>
      </c>
      <c r="W85">
        <f>'Age by income band distribution'!J88+'Age by income band distribution'!K88</f>
        <v>4990</v>
      </c>
      <c r="X85">
        <f>'Age by income band distribution'!L88+'Age by income band distribution'!M88</f>
        <v>4210</v>
      </c>
      <c r="Y85">
        <f>'Age by income band distribution'!N88+'Age by income band distribution'!O88+'Age by income band distribution'!P88</f>
        <v>2660</v>
      </c>
    </row>
    <row r="86" spans="1:25" x14ac:dyDescent="0.2">
      <c r="A86" s="50">
        <v>83000</v>
      </c>
      <c r="B86" s="1">
        <f>'Income tables 2001-24'!K92</f>
        <v>3330</v>
      </c>
      <c r="C86" s="1">
        <f>'Income tables 2001-24'!AP92</f>
        <v>9690</v>
      </c>
      <c r="D86" s="1">
        <f>'Income tables 2001-24'!BR92</f>
        <v>21140</v>
      </c>
      <c r="E86" s="1">
        <f>'Income tables 2001-24'!BU92</f>
        <v>22500</v>
      </c>
      <c r="F86" s="52">
        <f>'Income tables 2001-24'!L92</f>
        <v>274.7</v>
      </c>
      <c r="G86" s="52">
        <f>'Income tables 2001-24'!AQ92</f>
        <v>799.6</v>
      </c>
      <c r="H86" s="52">
        <f>'Income tables 2001-24'!BS92</f>
        <v>1743.69</v>
      </c>
      <c r="I86" s="52">
        <f>'Income tables 2001-24'!BV92</f>
        <v>1856.21</v>
      </c>
      <c r="J86" s="52">
        <f>'Income tables 2001-24'!M92</f>
        <v>78.099999999999994</v>
      </c>
      <c r="K86" s="52">
        <f>'Income tables 2001-24'!AR92</f>
        <v>175.9</v>
      </c>
      <c r="L86" s="52">
        <f>'Income tables 2001-24'!BT92</f>
        <v>383.50221956000001</v>
      </c>
      <c r="M86" s="52">
        <f>'Income tables 2001-24'!BW92</f>
        <v>408.24051060000005</v>
      </c>
      <c r="Q86" t="s">
        <v>119</v>
      </c>
      <c r="R86">
        <f>'Age by income band distribution'!B89</f>
        <v>30</v>
      </c>
      <c r="S86">
        <f>'Age by income band distribution'!C89</f>
        <v>0</v>
      </c>
      <c r="T86">
        <f>'Age by income band distribution'!D89+'Age by income band distribution'!E89</f>
        <v>1000</v>
      </c>
      <c r="U86">
        <f>'Age by income band distribution'!F89+'Age by income band distribution'!G89</f>
        <v>6010</v>
      </c>
      <c r="V86">
        <f>'Age by income band distribution'!H89+'Age by income band distribution'!I89</f>
        <v>5180</v>
      </c>
      <c r="W86">
        <f>'Age by income band distribution'!J89+'Age by income band distribution'!K89</f>
        <v>4680</v>
      </c>
      <c r="X86">
        <f>'Age by income band distribution'!L89+'Age by income band distribution'!M89</f>
        <v>3940</v>
      </c>
      <c r="Y86">
        <f>'Age by income band distribution'!N89+'Age by income band distribution'!O89+'Age by income band distribution'!P89</f>
        <v>2570</v>
      </c>
    </row>
    <row r="87" spans="1:25" x14ac:dyDescent="0.2">
      <c r="A87" s="50">
        <v>84000</v>
      </c>
      <c r="B87" s="1">
        <f>'Income tables 2001-24'!K93</f>
        <v>3450</v>
      </c>
      <c r="C87" s="1">
        <f>'Income tables 2001-24'!AP93</f>
        <v>8460</v>
      </c>
      <c r="D87" s="1">
        <f>'Income tables 2001-24'!BR93</f>
        <v>20580</v>
      </c>
      <c r="E87" s="1">
        <f>'Income tables 2001-24'!BU93</f>
        <v>22450</v>
      </c>
      <c r="F87" s="52">
        <f>'Income tables 2001-24'!L93</f>
        <v>288</v>
      </c>
      <c r="G87" s="52">
        <f>'Income tables 2001-24'!AQ93</f>
        <v>706.2</v>
      </c>
      <c r="H87" s="52">
        <f>'Income tables 2001-24'!BS93</f>
        <v>1718.43</v>
      </c>
      <c r="I87" s="52">
        <f>'Income tables 2001-24'!BV93</f>
        <v>1874.73</v>
      </c>
      <c r="J87" s="52">
        <f>'Income tables 2001-24'!M93</f>
        <v>82.2</v>
      </c>
      <c r="K87" s="52">
        <f>'Income tables 2001-24'!AR93</f>
        <v>156.19999999999999</v>
      </c>
      <c r="L87" s="52">
        <f>'Income tables 2001-24'!BT93</f>
        <v>380.20651850999997</v>
      </c>
      <c r="M87" s="52">
        <f>'Income tables 2001-24'!BW93</f>
        <v>414.79576539999999</v>
      </c>
      <c r="Q87" t="s">
        <v>120</v>
      </c>
      <c r="R87">
        <f>'Age by income band distribution'!B90</f>
        <v>20</v>
      </c>
      <c r="S87">
        <f>'Age by income band distribution'!C90</f>
        <v>0</v>
      </c>
      <c r="T87">
        <f>'Age by income band distribution'!D90+'Age by income band distribution'!E90</f>
        <v>900</v>
      </c>
      <c r="U87">
        <f>'Age by income band distribution'!F90+'Age by income band distribution'!G90</f>
        <v>5610</v>
      </c>
      <c r="V87">
        <f>'Age by income band distribution'!H90+'Age by income band distribution'!I90</f>
        <v>5220</v>
      </c>
      <c r="W87">
        <f>'Age by income band distribution'!J90+'Age by income band distribution'!K90</f>
        <v>4420</v>
      </c>
      <c r="X87">
        <f>'Age by income band distribution'!L90+'Age by income band distribution'!M90</f>
        <v>3800</v>
      </c>
      <c r="Y87">
        <f>'Age by income band distribution'!N90+'Age by income band distribution'!O90+'Age by income band distribution'!P90</f>
        <v>2520</v>
      </c>
    </row>
    <row r="88" spans="1:25" x14ac:dyDescent="0.2">
      <c r="A88" s="50">
        <v>85000</v>
      </c>
      <c r="B88" s="1">
        <f>'Income tables 2001-24'!K94</f>
        <v>3300</v>
      </c>
      <c r="C88" s="1">
        <f>'Income tables 2001-24'!AP94</f>
        <v>9280</v>
      </c>
      <c r="D88" s="1">
        <f>'Income tables 2001-24'!BR94</f>
        <v>20070</v>
      </c>
      <c r="E88" s="1">
        <f>'Income tables 2001-24'!BU94</f>
        <v>21750</v>
      </c>
      <c r="F88" s="52">
        <f>'Income tables 2001-24'!L94</f>
        <v>278.8</v>
      </c>
      <c r="G88" s="52">
        <f>'Income tables 2001-24'!AQ94</f>
        <v>784.3</v>
      </c>
      <c r="H88" s="52">
        <f>'Income tables 2001-24'!BS94</f>
        <v>1696.35</v>
      </c>
      <c r="I88" s="52">
        <f>'Income tables 2001-24'!BV94</f>
        <v>1837.88</v>
      </c>
      <c r="J88" s="52">
        <f>'Income tables 2001-24'!M94</f>
        <v>79.900000000000006</v>
      </c>
      <c r="K88" s="52">
        <f>'Income tables 2001-24'!AR94</f>
        <v>174.6</v>
      </c>
      <c r="L88" s="52">
        <f>'Income tables 2001-24'!BT94</f>
        <v>377.52358380000004</v>
      </c>
      <c r="M88" s="52">
        <f>'Income tables 2001-24'!BW94</f>
        <v>409.02007760000004</v>
      </c>
      <c r="Q88" t="s">
        <v>121</v>
      </c>
      <c r="R88">
        <f>'Age by income band distribution'!B91</f>
        <v>20</v>
      </c>
      <c r="S88">
        <f>'Age by income band distribution'!C91</f>
        <v>0</v>
      </c>
      <c r="T88">
        <f>'Age by income band distribution'!D91+'Age by income band distribution'!E91</f>
        <v>850</v>
      </c>
      <c r="U88">
        <f>'Age by income band distribution'!F91+'Age by income band distribution'!G91</f>
        <v>5550</v>
      </c>
      <c r="V88">
        <f>'Age by income band distribution'!H91+'Age by income band distribution'!I91</f>
        <v>5160</v>
      </c>
      <c r="W88">
        <f>'Age by income band distribution'!J91+'Age by income band distribution'!K91</f>
        <v>4480</v>
      </c>
      <c r="X88">
        <f>'Age by income band distribution'!L91+'Age by income band distribution'!M91</f>
        <v>3840</v>
      </c>
      <c r="Y88">
        <f>'Age by income band distribution'!N91+'Age by income band distribution'!O91+'Age by income band distribution'!P91</f>
        <v>2550</v>
      </c>
    </row>
    <row r="89" spans="1:25" x14ac:dyDescent="0.2">
      <c r="A89" s="50">
        <v>86000</v>
      </c>
      <c r="B89" s="1">
        <f>'Income tables 2001-24'!K95</f>
        <v>3200</v>
      </c>
      <c r="C89" s="1">
        <f>'Income tables 2001-24'!AP95</f>
        <v>9160</v>
      </c>
      <c r="D89" s="1">
        <f>'Income tables 2001-24'!BR95</f>
        <v>20390</v>
      </c>
      <c r="E89" s="1">
        <f>'Income tables 2001-24'!BU95</f>
        <v>21920</v>
      </c>
      <c r="F89" s="52">
        <f>'Income tables 2001-24'!L95</f>
        <v>273.7</v>
      </c>
      <c r="G89" s="52">
        <f>'Income tables 2001-24'!AQ95</f>
        <v>783</v>
      </c>
      <c r="H89" s="52">
        <f>'Income tables 2001-24'!BS95</f>
        <v>1742.73</v>
      </c>
      <c r="I89" s="52">
        <f>'Income tables 2001-24'!BV95</f>
        <v>1873.89</v>
      </c>
      <c r="J89" s="52">
        <f>'Income tables 2001-24'!M95</f>
        <v>78.8</v>
      </c>
      <c r="K89" s="52">
        <f>'Income tables 2001-24'!AR95</f>
        <v>175.2</v>
      </c>
      <c r="L89" s="52">
        <f>'Income tables 2001-24'!BT95</f>
        <v>389.99545462000003</v>
      </c>
      <c r="M89" s="52">
        <f>'Income tables 2001-24'!BW95</f>
        <v>419.35022504</v>
      </c>
      <c r="Q89" t="s">
        <v>122</v>
      </c>
      <c r="R89">
        <f>'Age by income band distribution'!B92</f>
        <v>30</v>
      </c>
      <c r="S89">
        <f>'Age by income band distribution'!C92</f>
        <v>0</v>
      </c>
      <c r="T89">
        <f>'Age by income band distribution'!D92+'Age by income band distribution'!E92</f>
        <v>730</v>
      </c>
      <c r="U89">
        <f>'Age by income band distribution'!F92+'Age by income band distribution'!G92</f>
        <v>5550</v>
      </c>
      <c r="V89">
        <f>'Age by income band distribution'!H92+'Age by income band distribution'!I92</f>
        <v>4980</v>
      </c>
      <c r="W89">
        <f>'Age by income band distribution'!J92+'Age by income band distribution'!K92</f>
        <v>4330</v>
      </c>
      <c r="X89">
        <f>'Age by income band distribution'!L92+'Age by income band distribution'!M92</f>
        <v>3790</v>
      </c>
      <c r="Y89">
        <f>'Age by income band distribution'!N92+'Age by income band distribution'!O92+'Age by income band distribution'!P92</f>
        <v>2340</v>
      </c>
    </row>
    <row r="90" spans="1:25" x14ac:dyDescent="0.2">
      <c r="A90" s="50">
        <v>87000</v>
      </c>
      <c r="B90" s="1">
        <f>'Income tables 2001-24'!K96</f>
        <v>3500</v>
      </c>
      <c r="C90" s="1">
        <f>'Income tables 2001-24'!AP96</f>
        <v>9570</v>
      </c>
      <c r="D90" s="1">
        <f>'Income tables 2001-24'!BR96</f>
        <v>19340</v>
      </c>
      <c r="E90" s="1">
        <f>'Income tables 2001-24'!BU96</f>
        <v>20630</v>
      </c>
      <c r="F90" s="52">
        <f>'Income tables 2001-24'!L96</f>
        <v>302.8</v>
      </c>
      <c r="G90" s="52">
        <f>'Income tables 2001-24'!AQ96</f>
        <v>827.8</v>
      </c>
      <c r="H90" s="52">
        <f>'Income tables 2001-24'!BS96</f>
        <v>1672.77</v>
      </c>
      <c r="I90" s="52">
        <f>'Income tables 2001-24'!BV96</f>
        <v>1784.61</v>
      </c>
      <c r="J90" s="52">
        <f>'Income tables 2001-24'!M96</f>
        <v>87.5</v>
      </c>
      <c r="K90" s="52">
        <f>'Income tables 2001-24'!AR96</f>
        <v>186.3</v>
      </c>
      <c r="L90" s="52">
        <f>'Income tables 2001-24'!BT96</f>
        <v>376.41567724999999</v>
      </c>
      <c r="M90" s="52">
        <f>'Income tables 2001-24'!BW96</f>
        <v>401.59052527</v>
      </c>
      <c r="Q90" t="s">
        <v>123</v>
      </c>
      <c r="R90">
        <f>'Age by income band distribution'!B93</f>
        <v>30</v>
      </c>
      <c r="S90">
        <f>'Age by income band distribution'!C93</f>
        <v>0</v>
      </c>
      <c r="T90">
        <f>'Age by income band distribution'!D93+'Age by income band distribution'!E93</f>
        <v>730</v>
      </c>
      <c r="U90">
        <f>'Age by income band distribution'!F93+'Age by income band distribution'!G93</f>
        <v>5450</v>
      </c>
      <c r="V90">
        <f>'Age by income band distribution'!H93+'Age by income band distribution'!I93</f>
        <v>5160</v>
      </c>
      <c r="W90">
        <f>'Age by income band distribution'!J93+'Age by income band distribution'!K93</f>
        <v>4480</v>
      </c>
      <c r="X90">
        <f>'Age by income band distribution'!L93+'Age by income band distribution'!M93</f>
        <v>3690</v>
      </c>
      <c r="Y90">
        <f>'Age by income band distribution'!N93+'Age by income band distribution'!O93+'Age by income band distribution'!P93</f>
        <v>2390</v>
      </c>
    </row>
    <row r="91" spans="1:25" x14ac:dyDescent="0.2">
      <c r="A91" s="50">
        <v>88000</v>
      </c>
      <c r="B91" s="1">
        <f>'Income tables 2001-24'!K97</f>
        <v>2470</v>
      </c>
      <c r="C91" s="1">
        <f>'Income tables 2001-24'!AP97</f>
        <v>7810</v>
      </c>
      <c r="D91" s="1">
        <f>'Income tables 2001-24'!BR97</f>
        <v>18580</v>
      </c>
      <c r="E91" s="1">
        <f>'Income tables 2001-24'!BU97</f>
        <v>20110</v>
      </c>
      <c r="F91" s="52">
        <f>'Income tables 2001-24'!L97</f>
        <v>216.3</v>
      </c>
      <c r="G91" s="52">
        <f>'Income tables 2001-24'!AQ97</f>
        <v>683.4</v>
      </c>
      <c r="H91" s="52">
        <f>'Income tables 2001-24'!BS97</f>
        <v>1625.65</v>
      </c>
      <c r="I91" s="52">
        <f>'Income tables 2001-24'!BV97</f>
        <v>1759.57</v>
      </c>
      <c r="J91" s="52">
        <f>'Income tables 2001-24'!M97</f>
        <v>62.8</v>
      </c>
      <c r="K91" s="52">
        <f>'Income tables 2001-24'!AR97</f>
        <v>154.6</v>
      </c>
      <c r="L91" s="52">
        <f>'Income tables 2001-24'!BT97</f>
        <v>367.76556735000003</v>
      </c>
      <c r="M91" s="52">
        <f>'Income tables 2001-24'!BW97</f>
        <v>398.05742583999995</v>
      </c>
      <c r="Q91" t="s">
        <v>124</v>
      </c>
      <c r="R91">
        <f>'Age by income band distribution'!B94</f>
        <v>20</v>
      </c>
      <c r="S91">
        <f>'Age by income band distribution'!C94</f>
        <v>0</v>
      </c>
      <c r="T91">
        <f>'Age by income band distribution'!D94+'Age by income band distribution'!E94</f>
        <v>650</v>
      </c>
      <c r="U91">
        <f>'Age by income band distribution'!F94+'Age by income band distribution'!G94</f>
        <v>5150</v>
      </c>
      <c r="V91">
        <f>'Age by income band distribution'!H94+'Age by income band distribution'!I94</f>
        <v>4800</v>
      </c>
      <c r="W91">
        <f>'Age by income band distribution'!J94+'Age by income band distribution'!K94</f>
        <v>4170</v>
      </c>
      <c r="X91">
        <f>'Age by income band distribution'!L94+'Age by income band distribution'!M94</f>
        <v>3570</v>
      </c>
      <c r="Y91">
        <f>'Age by income band distribution'!N94+'Age by income band distribution'!O94+'Age by income band distribution'!P94</f>
        <v>2250</v>
      </c>
    </row>
    <row r="92" spans="1:25" x14ac:dyDescent="0.2">
      <c r="A92" s="50">
        <v>89000</v>
      </c>
      <c r="B92" s="1">
        <f>'Income tables 2001-24'!K98</f>
        <v>2560</v>
      </c>
      <c r="C92" s="1">
        <f>'Income tables 2001-24'!AP98</f>
        <v>8550</v>
      </c>
      <c r="D92" s="1">
        <f>'Income tables 2001-24'!BR98</f>
        <v>17910</v>
      </c>
      <c r="E92" s="1">
        <f>'Income tables 2001-24'!BU98</f>
        <v>19440</v>
      </c>
      <c r="F92" s="52">
        <f>'Income tables 2001-24'!L98</f>
        <v>226.5</v>
      </c>
      <c r="G92" s="52">
        <f>'Income tables 2001-24'!AQ98</f>
        <v>756.9</v>
      </c>
      <c r="H92" s="52">
        <f>'Income tables 2001-24'!BS98</f>
        <v>1584.68</v>
      </c>
      <c r="I92" s="52">
        <f>'Income tables 2001-24'!BV98</f>
        <v>1720.37</v>
      </c>
      <c r="J92" s="52">
        <f>'Income tables 2001-24'!M98</f>
        <v>66</v>
      </c>
      <c r="K92" s="52">
        <f>'Income tables 2001-24'!AR98</f>
        <v>172.1</v>
      </c>
      <c r="L92" s="52">
        <f>'Income tables 2001-24'!BT98</f>
        <v>360.34865133</v>
      </c>
      <c r="M92" s="52">
        <f>'Income tables 2001-24'!BW98</f>
        <v>391.19573666000002</v>
      </c>
      <c r="Q92" t="s">
        <v>125</v>
      </c>
      <c r="R92">
        <f>'Age by income band distribution'!B95</f>
        <v>20</v>
      </c>
      <c r="S92">
        <f>'Age by income band distribution'!C95</f>
        <v>0</v>
      </c>
      <c r="T92">
        <f>'Age by income band distribution'!D95+'Age by income band distribution'!E95</f>
        <v>620</v>
      </c>
      <c r="U92">
        <f>'Age by income band distribution'!F95+'Age by income band distribution'!G95</f>
        <v>5010</v>
      </c>
      <c r="V92">
        <f>'Age by income band distribution'!H95+'Age by income band distribution'!I95</f>
        <v>4700</v>
      </c>
      <c r="W92">
        <f>'Age by income band distribution'!J95+'Age by income band distribution'!K95</f>
        <v>4080</v>
      </c>
      <c r="X92">
        <f>'Age by income band distribution'!L95+'Age by income band distribution'!M95</f>
        <v>3420</v>
      </c>
      <c r="Y92">
        <f>'Age by income band distribution'!N95+'Age by income band distribution'!O95+'Age by income band distribution'!P95</f>
        <v>2280</v>
      </c>
    </row>
    <row r="93" spans="1:25" x14ac:dyDescent="0.2">
      <c r="A93" s="50">
        <v>90000</v>
      </c>
      <c r="B93" s="1">
        <f>'Income tables 2001-24'!K99</f>
        <v>2340</v>
      </c>
      <c r="C93" s="1">
        <f>'Income tables 2001-24'!AP99</f>
        <v>7470</v>
      </c>
      <c r="D93" s="1">
        <f>'Income tables 2001-24'!BR99</f>
        <v>19210</v>
      </c>
      <c r="E93" s="1">
        <f>'Income tables 2001-24'!BU99</f>
        <v>19070</v>
      </c>
      <c r="F93" s="52">
        <f>'Income tables 2001-24'!L99</f>
        <v>209.5</v>
      </c>
      <c r="G93" s="52">
        <f>'Income tables 2001-24'!AQ99</f>
        <v>668.9</v>
      </c>
      <c r="H93" s="52">
        <f>'Income tables 2001-24'!BS99</f>
        <v>1719.58</v>
      </c>
      <c r="I93" s="52">
        <f>'Income tables 2001-24'!BV99</f>
        <v>1706.85</v>
      </c>
      <c r="J93" s="52">
        <f>'Income tables 2001-24'!M99</f>
        <v>61.3</v>
      </c>
      <c r="K93" s="52">
        <f>'Income tables 2001-24'!AR99</f>
        <v>152.9</v>
      </c>
      <c r="L93" s="52">
        <f>'Income tables 2001-24'!BT99</f>
        <v>393.03249999000002</v>
      </c>
      <c r="M93" s="52">
        <f>'Income tables 2001-24'!BW99</f>
        <v>390.11455228</v>
      </c>
      <c r="Q93" t="s">
        <v>126</v>
      </c>
      <c r="R93">
        <f>'Age by income band distribution'!B96</f>
        <v>10</v>
      </c>
      <c r="S93">
        <f>'Age by income band distribution'!C96</f>
        <v>0</v>
      </c>
      <c r="T93">
        <f>'Age by income band distribution'!D96+'Age by income band distribution'!E96</f>
        <v>560</v>
      </c>
      <c r="U93">
        <f>'Age by income band distribution'!F96+'Age by income band distribution'!G96</f>
        <v>4750</v>
      </c>
      <c r="V93">
        <f>'Age by income band distribution'!H96+'Age by income band distribution'!I96</f>
        <v>4580</v>
      </c>
      <c r="W93">
        <f>'Age by income band distribution'!J96+'Age by income band distribution'!K96</f>
        <v>3980</v>
      </c>
      <c r="X93">
        <f>'Age by income band distribution'!L96+'Age by income band distribution'!M96</f>
        <v>3410</v>
      </c>
      <c r="Y93">
        <f>'Age by income band distribution'!N96+'Age by income band distribution'!O96+'Age by income band distribution'!P96</f>
        <v>2160</v>
      </c>
    </row>
    <row r="94" spans="1:25" x14ac:dyDescent="0.2">
      <c r="A94" s="50">
        <v>91000</v>
      </c>
      <c r="B94" s="1">
        <f>'Income tables 2001-24'!K100</f>
        <v>2570</v>
      </c>
      <c r="C94" s="1">
        <f>'Income tables 2001-24'!AP100</f>
        <v>7380</v>
      </c>
      <c r="D94" s="1">
        <f>'Income tables 2001-24'!BR100</f>
        <v>18810</v>
      </c>
      <c r="E94" s="1">
        <f>'Income tables 2001-24'!BU100</f>
        <v>19220</v>
      </c>
      <c r="F94" s="52">
        <f>'Income tables 2001-24'!L100</f>
        <v>232.6</v>
      </c>
      <c r="G94" s="52">
        <f>'Income tables 2001-24'!AQ100</f>
        <v>667.8</v>
      </c>
      <c r="H94" s="52">
        <f>'Income tables 2001-24'!BS100</f>
        <v>1701.97</v>
      </c>
      <c r="I94" s="52">
        <f>'Income tables 2001-24'!BV100</f>
        <v>1739.02</v>
      </c>
      <c r="J94" s="52">
        <f>'Income tables 2001-24'!M100</f>
        <v>68.3</v>
      </c>
      <c r="K94" s="52">
        <f>'Income tables 2001-24'!AR100</f>
        <v>153.4</v>
      </c>
      <c r="L94" s="52">
        <f>'Income tables 2001-24'!BT100</f>
        <v>390.86198012</v>
      </c>
      <c r="M94" s="52">
        <f>'Income tables 2001-24'!BW100</f>
        <v>399.36650691</v>
      </c>
      <c r="Q94" t="s">
        <v>127</v>
      </c>
      <c r="R94">
        <f>'Age by income band distribution'!B97</f>
        <v>30</v>
      </c>
      <c r="S94">
        <f>'Age by income band distribution'!C97</f>
        <v>0</v>
      </c>
      <c r="T94">
        <f>'Age by income band distribution'!D97+'Age by income band distribution'!E97</f>
        <v>520</v>
      </c>
      <c r="U94">
        <f>'Age by income band distribution'!F97+'Age by income band distribution'!G97</f>
        <v>4450</v>
      </c>
      <c r="V94">
        <f>'Age by income band distribution'!H97+'Age by income band distribution'!I97</f>
        <v>4690</v>
      </c>
      <c r="W94">
        <f>'Age by income band distribution'!J97+'Age by income band distribution'!K97</f>
        <v>3950</v>
      </c>
      <c r="X94">
        <f>'Age by income band distribution'!L97+'Age by income band distribution'!M97</f>
        <v>3330</v>
      </c>
      <c r="Y94">
        <f>'Age by income band distribution'!N97+'Age by income band distribution'!O97+'Age by income band distribution'!P97</f>
        <v>2120</v>
      </c>
    </row>
    <row r="95" spans="1:25" x14ac:dyDescent="0.2">
      <c r="A95" s="50">
        <v>92000</v>
      </c>
      <c r="B95" s="1">
        <f>'Income tables 2001-24'!K101</f>
        <v>2700</v>
      </c>
      <c r="C95" s="1">
        <f>'Income tables 2001-24'!AP101</f>
        <v>6680</v>
      </c>
      <c r="D95" s="1">
        <f>'Income tables 2001-24'!BR101</f>
        <v>17640</v>
      </c>
      <c r="E95" s="1">
        <f>'Income tables 2001-24'!BU101</f>
        <v>18230</v>
      </c>
      <c r="F95" s="52">
        <f>'Income tables 2001-24'!L101</f>
        <v>247</v>
      </c>
      <c r="G95" s="52">
        <f>'Income tables 2001-24'!AQ101</f>
        <v>611.4</v>
      </c>
      <c r="H95" s="52">
        <f>'Income tables 2001-24'!BS101</f>
        <v>1614.22</v>
      </c>
      <c r="I95" s="52">
        <f>'Income tables 2001-24'!BV101</f>
        <v>1668.08</v>
      </c>
      <c r="J95" s="52">
        <f>'Income tables 2001-24'!M101</f>
        <v>72.8</v>
      </c>
      <c r="K95" s="52">
        <f>'Income tables 2001-24'!AR101</f>
        <v>141.1</v>
      </c>
      <c r="L95" s="52">
        <f>'Income tables 2001-24'!BT101</f>
        <v>372.49330686000002</v>
      </c>
      <c r="M95" s="52">
        <f>'Income tables 2001-24'!BW101</f>
        <v>384.92872063999999</v>
      </c>
      <c r="Q95" t="s">
        <v>128</v>
      </c>
      <c r="R95">
        <f>'Age by income band distribution'!B98</f>
        <v>20</v>
      </c>
      <c r="S95">
        <f>'Age by income band distribution'!C98</f>
        <v>0</v>
      </c>
      <c r="T95">
        <f>'Age by income band distribution'!D98+'Age by income band distribution'!E98</f>
        <v>510</v>
      </c>
      <c r="U95">
        <f>'Age by income band distribution'!F98+'Age by income band distribution'!G98</f>
        <v>4590</v>
      </c>
      <c r="V95">
        <f>'Age by income band distribution'!H98+'Age by income band distribution'!I98</f>
        <v>4670</v>
      </c>
      <c r="W95">
        <f>'Age by income band distribution'!J98+'Age by income band distribution'!K98</f>
        <v>4020</v>
      </c>
      <c r="X95">
        <f>'Age by income band distribution'!L98+'Age by income band distribution'!M98</f>
        <v>3300</v>
      </c>
      <c r="Y95">
        <f>'Age by income band distribution'!N98+'Age by income band distribution'!O98+'Age by income band distribution'!P98</f>
        <v>2110</v>
      </c>
    </row>
    <row r="96" spans="1:25" x14ac:dyDescent="0.2">
      <c r="A96" s="50">
        <v>93000</v>
      </c>
      <c r="B96" s="1">
        <f>'Income tables 2001-24'!K102</f>
        <v>2210</v>
      </c>
      <c r="C96" s="1">
        <f>'Income tables 2001-24'!AP102</f>
        <v>7030</v>
      </c>
      <c r="D96" s="1">
        <f>'Income tables 2001-24'!BR102</f>
        <v>16710</v>
      </c>
      <c r="E96" s="1">
        <f>'Income tables 2001-24'!BU102</f>
        <v>17940</v>
      </c>
      <c r="F96" s="52">
        <f>'Income tables 2001-24'!L102</f>
        <v>204.4</v>
      </c>
      <c r="G96" s="52">
        <f>'Income tables 2001-24'!AQ102</f>
        <v>650.20000000000005</v>
      </c>
      <c r="H96" s="52">
        <f>'Income tables 2001-24'!BS102</f>
        <v>1545.11</v>
      </c>
      <c r="I96" s="52">
        <f>'Income tables 2001-24'!BV102</f>
        <v>1659.1</v>
      </c>
      <c r="J96" s="52">
        <f>'Income tables 2001-24'!M102</f>
        <v>60.4</v>
      </c>
      <c r="K96" s="52">
        <f>'Income tables 2001-24'!AR102</f>
        <v>150.69999999999999</v>
      </c>
      <c r="L96" s="52">
        <f>'Income tables 2001-24'!BT102</f>
        <v>358.20540174000001</v>
      </c>
      <c r="M96" s="52">
        <f>'Income tables 2001-24'!BW102</f>
        <v>384.63480929000002</v>
      </c>
      <c r="Q96" t="s">
        <v>129</v>
      </c>
      <c r="R96">
        <f>'Age by income band distribution'!B99</f>
        <v>20</v>
      </c>
      <c r="S96">
        <f>'Age by income band distribution'!C99</f>
        <v>0</v>
      </c>
      <c r="T96">
        <f>'Age by income band distribution'!D99+'Age by income band distribution'!E99</f>
        <v>480</v>
      </c>
      <c r="U96">
        <f>'Age by income band distribution'!F99+'Age by income band distribution'!G99</f>
        <v>4270</v>
      </c>
      <c r="V96">
        <f>'Age by income band distribution'!H99+'Age by income band distribution'!I99</f>
        <v>4340</v>
      </c>
      <c r="W96">
        <f>'Age by income band distribution'!J99+'Age by income band distribution'!K99</f>
        <v>3780</v>
      </c>
      <c r="X96">
        <f>'Age by income band distribution'!L99+'Age by income band distribution'!M99</f>
        <v>3210</v>
      </c>
      <c r="Y96">
        <f>'Age by income band distribution'!N99+'Age by income band distribution'!O99+'Age by income band distribution'!P99</f>
        <v>2160</v>
      </c>
    </row>
    <row r="97" spans="1:25" x14ac:dyDescent="0.2">
      <c r="A97" s="50">
        <v>94000</v>
      </c>
      <c r="B97" s="1">
        <f>'Income tables 2001-24'!K103</f>
        <v>2510</v>
      </c>
      <c r="C97" s="1">
        <f>'Income tables 2001-24'!AP103</f>
        <v>6120</v>
      </c>
      <c r="D97" s="1">
        <f>'Income tables 2001-24'!BR103</f>
        <v>16580</v>
      </c>
      <c r="E97" s="1">
        <f>'Income tables 2001-24'!BU103</f>
        <v>17610</v>
      </c>
      <c r="F97" s="52">
        <f>'Income tables 2001-24'!L103</f>
        <v>234.7</v>
      </c>
      <c r="G97" s="52">
        <f>'Income tables 2001-24'!AQ103</f>
        <v>572.1</v>
      </c>
      <c r="H97" s="52">
        <f>'Income tables 2001-24'!BS103</f>
        <v>1550.06</v>
      </c>
      <c r="I97" s="52">
        <f>'Income tables 2001-24'!BV103</f>
        <v>1646.87</v>
      </c>
      <c r="J97" s="52">
        <f>'Income tables 2001-24'!M103</f>
        <v>69.599999999999994</v>
      </c>
      <c r="K97" s="52">
        <f>'Income tables 2001-24'!AR103</f>
        <v>133.19999999999999</v>
      </c>
      <c r="L97" s="52">
        <f>'Income tables 2001-24'!BT103</f>
        <v>360.99207941000003</v>
      </c>
      <c r="M97" s="52">
        <f>'Income tables 2001-24'!BW103</f>
        <v>383.53119631999999</v>
      </c>
      <c r="Q97" t="s">
        <v>130</v>
      </c>
      <c r="R97">
        <f>'Age by income band distribution'!B100</f>
        <v>10</v>
      </c>
      <c r="S97">
        <f>'Age by income band distribution'!C100</f>
        <v>0</v>
      </c>
      <c r="T97">
        <f>'Age by income band distribution'!D100+'Age by income band distribution'!E100</f>
        <v>400</v>
      </c>
      <c r="U97">
        <f>'Age by income band distribution'!F100+'Age by income band distribution'!G100</f>
        <v>4170</v>
      </c>
      <c r="V97">
        <f>'Age by income band distribution'!H100+'Age by income band distribution'!I100</f>
        <v>4400</v>
      </c>
      <c r="W97">
        <f>'Age by income band distribution'!J100+'Age by income band distribution'!K100</f>
        <v>3690</v>
      </c>
      <c r="X97">
        <f>'Age by income band distribution'!L100+'Age by income band distribution'!M100</f>
        <v>3200</v>
      </c>
      <c r="Y97">
        <f>'Age by income band distribution'!N100+'Age by income band distribution'!O100+'Age by income band distribution'!P100</f>
        <v>2080</v>
      </c>
    </row>
    <row r="98" spans="1:25" x14ac:dyDescent="0.2">
      <c r="A98" s="50">
        <v>95000</v>
      </c>
      <c r="B98" s="1">
        <f>'Income tables 2001-24'!K104</f>
        <v>2080</v>
      </c>
      <c r="C98" s="1">
        <f>'Income tables 2001-24'!AP104</f>
        <v>6260</v>
      </c>
      <c r="D98" s="1">
        <f>'Income tables 2001-24'!BR104</f>
        <v>16160</v>
      </c>
      <c r="E98" s="1">
        <f>'Income tables 2001-24'!BU104</f>
        <v>16960</v>
      </c>
      <c r="F98" s="52">
        <f>'Income tables 2001-24'!L104</f>
        <v>196.5</v>
      </c>
      <c r="G98" s="52">
        <f>'Income tables 2001-24'!AQ104</f>
        <v>591.5</v>
      </c>
      <c r="H98" s="52">
        <f>'Income tables 2001-24'!BS104</f>
        <v>1527.06</v>
      </c>
      <c r="I98" s="52">
        <f>'Income tables 2001-24'!BV104</f>
        <v>1602.2</v>
      </c>
      <c r="J98" s="52">
        <f>'Income tables 2001-24'!M104</f>
        <v>58.5</v>
      </c>
      <c r="K98" s="52">
        <f>'Income tables 2001-24'!AR104</f>
        <v>138.4</v>
      </c>
      <c r="L98" s="52">
        <f>'Income tables 2001-24'!BT104</f>
        <v>357.20451264999997</v>
      </c>
      <c r="M98" s="52">
        <f>'Income tables 2001-24'!BW104</f>
        <v>374.77380663999998</v>
      </c>
      <c r="Q98" t="s">
        <v>131</v>
      </c>
      <c r="R98">
        <f>'Age by income band distribution'!B101</f>
        <v>10</v>
      </c>
      <c r="S98">
        <f>'Age by income band distribution'!C101</f>
        <v>0</v>
      </c>
      <c r="T98">
        <f>'Age by income band distribution'!D101+'Age by income band distribution'!E101</f>
        <v>400</v>
      </c>
      <c r="U98">
        <f>'Age by income band distribution'!F101+'Age by income band distribution'!G101</f>
        <v>4070</v>
      </c>
      <c r="V98">
        <f>'Age by income band distribution'!H101+'Age by income band distribution'!I101</f>
        <v>4130</v>
      </c>
      <c r="W98">
        <f>'Age by income band distribution'!J101+'Age by income band distribution'!K101</f>
        <v>3730</v>
      </c>
      <c r="X98">
        <f>'Age by income band distribution'!L101+'Age by income band distribution'!M101</f>
        <v>3220</v>
      </c>
      <c r="Y98">
        <f>'Age by income band distribution'!N101+'Age by income band distribution'!O101+'Age by income band distribution'!P101</f>
        <v>2040</v>
      </c>
    </row>
    <row r="99" spans="1:25" x14ac:dyDescent="0.2">
      <c r="A99" s="50">
        <v>96000</v>
      </c>
      <c r="B99" s="1">
        <f>'Income tables 2001-24'!K105</f>
        <v>2080</v>
      </c>
      <c r="C99" s="1">
        <f>'Income tables 2001-24'!AP105</f>
        <v>6070</v>
      </c>
      <c r="D99" s="1">
        <f>'Income tables 2001-24'!BR105</f>
        <v>15630</v>
      </c>
      <c r="E99" s="1">
        <f>'Income tables 2001-24'!BU105</f>
        <v>17030</v>
      </c>
      <c r="F99" s="52">
        <f>'Income tables 2001-24'!L105</f>
        <v>198.6</v>
      </c>
      <c r="G99" s="52">
        <f>'Income tables 2001-24'!AQ105</f>
        <v>579.9</v>
      </c>
      <c r="H99" s="52">
        <f>'Income tables 2001-24'!BS105</f>
        <v>1492.25</v>
      </c>
      <c r="I99" s="52">
        <f>'Income tables 2001-24'!BV105</f>
        <v>1626.03</v>
      </c>
      <c r="J99" s="52">
        <f>'Income tables 2001-24'!M105</f>
        <v>59.3</v>
      </c>
      <c r="K99" s="52">
        <f>'Income tables 2001-24'!AR105</f>
        <v>136.30000000000001</v>
      </c>
      <c r="L99" s="52">
        <f>'Income tables 2001-24'!BT105</f>
        <v>350.54837450999997</v>
      </c>
      <c r="M99" s="52">
        <f>'Income tables 2001-24'!BW105</f>
        <v>381.97450050999998</v>
      </c>
      <c r="Q99" t="s">
        <v>132</v>
      </c>
      <c r="R99">
        <f>'Age by income band distribution'!B102</f>
        <v>10</v>
      </c>
      <c r="S99">
        <f>'Age by income band distribution'!C102</f>
        <v>0</v>
      </c>
      <c r="T99">
        <f>'Age by income band distribution'!D102+'Age by income band distribution'!E102</f>
        <v>350</v>
      </c>
      <c r="U99">
        <f>'Age by income band distribution'!F102+'Age by income band distribution'!G102</f>
        <v>3870</v>
      </c>
      <c r="V99">
        <f>'Age by income band distribution'!H102+'Age by income band distribution'!I102</f>
        <v>4090</v>
      </c>
      <c r="W99">
        <f>'Age by income band distribution'!J102+'Age by income band distribution'!K102</f>
        <v>3560</v>
      </c>
      <c r="X99">
        <f>'Age by income band distribution'!L102+'Age by income band distribution'!M102</f>
        <v>3070</v>
      </c>
      <c r="Y99">
        <f>'Age by income band distribution'!N102+'Age by income band distribution'!O102+'Age by income band distribution'!P102</f>
        <v>1990</v>
      </c>
    </row>
    <row r="100" spans="1:25" x14ac:dyDescent="0.2">
      <c r="A100" s="50">
        <v>97000</v>
      </c>
      <c r="B100" s="1">
        <f>'Income tables 2001-24'!K106</f>
        <v>1800</v>
      </c>
      <c r="C100" s="1">
        <f>'Income tables 2001-24'!AP106</f>
        <v>5800</v>
      </c>
      <c r="D100" s="1">
        <f>'Income tables 2001-24'!BR106</f>
        <v>14850</v>
      </c>
      <c r="E100" s="1">
        <f>'Income tables 2001-24'!BU106</f>
        <v>16130</v>
      </c>
      <c r="F100" s="52">
        <f>'Income tables 2001-24'!L106</f>
        <v>173.7</v>
      </c>
      <c r="G100" s="52">
        <f>'Income tables 2001-24'!AQ106</f>
        <v>559.70000000000005</v>
      </c>
      <c r="H100" s="52">
        <f>'Income tables 2001-24'!BS106</f>
        <v>1432.63</v>
      </c>
      <c r="I100" s="52">
        <f>'Income tables 2001-24'!BV106</f>
        <v>1556.64</v>
      </c>
      <c r="J100" s="52">
        <f>'Income tables 2001-24'!M106</f>
        <v>52</v>
      </c>
      <c r="K100" s="52">
        <f>'Income tables 2001-24'!AR106</f>
        <v>132</v>
      </c>
      <c r="L100" s="52">
        <f>'Income tables 2001-24'!BT106</f>
        <v>337.96642506000001</v>
      </c>
      <c r="M100" s="52">
        <f>'Income tables 2001-24'!BW106</f>
        <v>367.22070537999997</v>
      </c>
      <c r="Q100" t="s">
        <v>133</v>
      </c>
      <c r="R100">
        <f>'Age by income band distribution'!B103</f>
        <v>10</v>
      </c>
      <c r="S100">
        <f>'Age by income band distribution'!C103</f>
        <v>0</v>
      </c>
      <c r="T100">
        <f>'Age by income band distribution'!D103+'Age by income band distribution'!E103</f>
        <v>340</v>
      </c>
      <c r="U100">
        <f>'Age by income band distribution'!F103+'Age by income band distribution'!G103</f>
        <v>3870</v>
      </c>
      <c r="V100">
        <f>'Age by income band distribution'!H103+'Age by income band distribution'!I103</f>
        <v>4170</v>
      </c>
      <c r="W100">
        <f>'Age by income band distribution'!J103+'Age by income band distribution'!K103</f>
        <v>3690</v>
      </c>
      <c r="X100">
        <f>'Age by income band distribution'!L103+'Age by income band distribution'!M103</f>
        <v>3110</v>
      </c>
      <c r="Y100">
        <f>'Age by income band distribution'!N103+'Age by income band distribution'!O103+'Age by income band distribution'!P103</f>
        <v>1860</v>
      </c>
    </row>
    <row r="101" spans="1:25" x14ac:dyDescent="0.2">
      <c r="A101" s="50">
        <v>98000</v>
      </c>
      <c r="B101" s="1">
        <f>'Income tables 2001-24'!K107</f>
        <v>2180</v>
      </c>
      <c r="C101" s="1">
        <f>'Income tables 2001-24'!AP107</f>
        <v>5240</v>
      </c>
      <c r="D101" s="1">
        <f>'Income tables 2001-24'!BR107</f>
        <v>14580</v>
      </c>
      <c r="E101" s="1">
        <f>'Income tables 2001-24'!BU107</f>
        <v>15690</v>
      </c>
      <c r="F101" s="52">
        <f>'Income tables 2001-24'!L107</f>
        <v>212.6</v>
      </c>
      <c r="G101" s="52">
        <f>'Income tables 2001-24'!AQ107</f>
        <v>510.9</v>
      </c>
      <c r="H101" s="52">
        <f>'Income tables 2001-24'!BS107</f>
        <v>1421.01</v>
      </c>
      <c r="I101" s="52">
        <f>'Income tables 2001-24'!BV107</f>
        <v>1529.55</v>
      </c>
      <c r="J101" s="52">
        <f>'Income tables 2001-24'!M107</f>
        <v>63.9</v>
      </c>
      <c r="K101" s="52">
        <f>'Income tables 2001-24'!AR107</f>
        <v>121</v>
      </c>
      <c r="L101" s="52">
        <f>'Income tables 2001-24'!BT107</f>
        <v>336.59122826999999</v>
      </c>
      <c r="M101" s="52">
        <f>'Income tables 2001-24'!BW107</f>
        <v>362.31234174999997</v>
      </c>
      <c r="Q101" t="s">
        <v>134</v>
      </c>
      <c r="R101">
        <f>'Age by income band distribution'!B104</f>
        <v>10</v>
      </c>
      <c r="S101">
        <f>'Age by income band distribution'!C104</f>
        <v>0</v>
      </c>
      <c r="T101">
        <f>'Age by income band distribution'!D104+'Age by income band distribution'!E104</f>
        <v>310</v>
      </c>
      <c r="U101">
        <f>'Age by income band distribution'!F104+'Age by income band distribution'!G104</f>
        <v>3580</v>
      </c>
      <c r="V101">
        <f>'Age by income band distribution'!H104+'Age by income band distribution'!I104</f>
        <v>3950</v>
      </c>
      <c r="W101">
        <f>'Age by income band distribution'!J104+'Age by income band distribution'!K104</f>
        <v>3520</v>
      </c>
      <c r="X101">
        <f>'Age by income band distribution'!L104+'Age by income band distribution'!M104</f>
        <v>2910</v>
      </c>
      <c r="Y101">
        <f>'Age by income band distribution'!N104+'Age by income band distribution'!O104+'Age by income band distribution'!P104</f>
        <v>1860</v>
      </c>
    </row>
    <row r="102" spans="1:25" x14ac:dyDescent="0.2">
      <c r="A102" s="50">
        <v>99000</v>
      </c>
      <c r="B102" s="1">
        <f>'Income tables 2001-24'!K108</f>
        <v>1710</v>
      </c>
      <c r="C102" s="1">
        <f>'Income tables 2001-24'!AP108</f>
        <v>6310</v>
      </c>
      <c r="D102" s="1">
        <f>'Income tables 2001-24'!BR108</f>
        <v>14140</v>
      </c>
      <c r="E102" s="1">
        <f>'Income tables 2001-24'!BU108</f>
        <v>15500</v>
      </c>
      <c r="F102" s="52">
        <f>'Income tables 2001-24'!L108</f>
        <v>168.5</v>
      </c>
      <c r="G102" s="52">
        <f>'Income tables 2001-24'!AQ108</f>
        <v>621.6</v>
      </c>
      <c r="H102" s="52">
        <f>'Income tables 2001-24'!BS108</f>
        <v>1392.26</v>
      </c>
      <c r="I102" s="52">
        <f>'Income tables 2001-24'!BV108</f>
        <v>1526.73</v>
      </c>
      <c r="J102" s="52">
        <f>'Income tables 2001-24'!M108</f>
        <v>50.8</v>
      </c>
      <c r="K102" s="52">
        <f>'Income tables 2001-24'!AR108</f>
        <v>147.80000000000001</v>
      </c>
      <c r="L102" s="52">
        <f>'Income tables 2001-24'!BT108</f>
        <v>331.09815954000004</v>
      </c>
      <c r="M102" s="52">
        <f>'Income tables 2001-24'!BW108</f>
        <v>363.07985092000001</v>
      </c>
      <c r="Q102" t="s">
        <v>135</v>
      </c>
      <c r="R102">
        <f>'Age by income band distribution'!B105</f>
        <v>10</v>
      </c>
      <c r="S102">
        <f>'Age by income band distribution'!C105</f>
        <v>0</v>
      </c>
      <c r="T102">
        <f>'Age by income band distribution'!D105+'Age by income band distribution'!E105</f>
        <v>310</v>
      </c>
      <c r="U102">
        <f>'Age by income band distribution'!F105+'Age by income band distribution'!G105</f>
        <v>3360</v>
      </c>
      <c r="V102">
        <f>'Age by income band distribution'!H105+'Age by income band distribution'!I105</f>
        <v>3870</v>
      </c>
      <c r="W102">
        <f>'Age by income band distribution'!J105+'Age by income band distribution'!K105</f>
        <v>3380</v>
      </c>
      <c r="X102">
        <f>'Age by income band distribution'!L105+'Age by income band distribution'!M105</f>
        <v>2910</v>
      </c>
      <c r="Y102">
        <f>'Age by income band distribution'!N105+'Age by income band distribution'!O105+'Age by income band distribution'!P105</f>
        <v>1840</v>
      </c>
    </row>
    <row r="103" spans="1:25" x14ac:dyDescent="0.2">
      <c r="A103" s="50">
        <v>100000</v>
      </c>
      <c r="B103" s="1">
        <f>'Income tables 2001-24'!K109</f>
        <v>1860</v>
      </c>
      <c r="C103" s="1">
        <f>'Income tables 2001-24'!AP109</f>
        <v>6360</v>
      </c>
      <c r="D103" s="1">
        <f>'Income tables 2001-24'!BR109</f>
        <v>14370</v>
      </c>
      <c r="E103" s="1">
        <f>'Income tables 2001-24'!BU109</f>
        <v>15750</v>
      </c>
      <c r="F103" s="52">
        <f>'Income tables 2001-24'!L109</f>
        <v>185.2</v>
      </c>
      <c r="G103" s="52">
        <f>'Income tables 2001-24'!AQ109</f>
        <v>633.5</v>
      </c>
      <c r="H103" s="52">
        <f>'Income tables 2001-24'!BS109</f>
        <v>1430.21</v>
      </c>
      <c r="I103" s="52">
        <f>'Income tables 2001-24'!BV109</f>
        <v>1567.71</v>
      </c>
      <c r="J103" s="52">
        <f>'Income tables 2001-24'!M109</f>
        <v>56</v>
      </c>
      <c r="K103" s="52">
        <f>'Income tables 2001-24'!AR109</f>
        <v>151.30000000000001</v>
      </c>
      <c r="L103" s="52">
        <f>'Income tables 2001-24'!BT109</f>
        <v>341.47165598999999</v>
      </c>
      <c r="M103" s="52">
        <f>'Income tables 2001-24'!BW109</f>
        <v>374.29730907999999</v>
      </c>
      <c r="Q103" t="s">
        <v>136</v>
      </c>
      <c r="R103">
        <f>'Age by income band distribution'!B106</f>
        <v>20</v>
      </c>
      <c r="S103">
        <f>'Age by income band distribution'!C106</f>
        <v>0</v>
      </c>
      <c r="T103">
        <f>'Age by income band distribution'!D106+'Age by income band distribution'!E106</f>
        <v>240</v>
      </c>
      <c r="U103">
        <f>'Age by income band distribution'!F106+'Age by income band distribution'!G106</f>
        <v>3320</v>
      </c>
      <c r="V103">
        <f>'Age by income band distribution'!H106+'Age by income band distribution'!I106</f>
        <v>3820</v>
      </c>
      <c r="W103">
        <f>'Age by income band distribution'!J106+'Age by income band distribution'!K106</f>
        <v>3500</v>
      </c>
      <c r="X103">
        <f>'Age by income band distribution'!L106+'Age by income band distribution'!M106</f>
        <v>2820</v>
      </c>
      <c r="Y103">
        <f>'Age by income band distribution'!N106+'Age by income band distribution'!O106+'Age by income band distribution'!P106</f>
        <v>1800</v>
      </c>
    </row>
    <row r="104" spans="1:25" x14ac:dyDescent="0.2">
      <c r="A104" s="50">
        <v>101000</v>
      </c>
      <c r="B104" s="1">
        <f>'Income tables 2001-24'!K110</f>
        <v>1740</v>
      </c>
      <c r="C104" s="1">
        <f>'Income tables 2001-24'!AP110</f>
        <v>4940</v>
      </c>
      <c r="D104" s="1">
        <f>'Income tables 2001-24'!BR110</f>
        <v>14670</v>
      </c>
      <c r="E104" s="1">
        <f>'Income tables 2001-24'!BU110</f>
        <v>16710</v>
      </c>
      <c r="F104" s="52">
        <f>'Income tables 2001-24'!L110</f>
        <v>174.9</v>
      </c>
      <c r="G104" s="52">
        <f>'Income tables 2001-24'!AQ110</f>
        <v>496.4</v>
      </c>
      <c r="H104" s="52">
        <f>'Income tables 2001-24'!BS110</f>
        <v>1473.67</v>
      </c>
      <c r="I104" s="52">
        <f>'Income tables 2001-24'!BV110</f>
        <v>1679.37</v>
      </c>
      <c r="J104" s="52">
        <f>'Income tables 2001-24'!M110</f>
        <v>53</v>
      </c>
      <c r="K104" s="52">
        <f>'Income tables 2001-24'!AR110</f>
        <v>119</v>
      </c>
      <c r="L104" s="52">
        <f>'Income tables 2001-24'!BT110</f>
        <v>353.11641976999999</v>
      </c>
      <c r="M104" s="52">
        <f>'Income tables 2001-24'!BW110</f>
        <v>402.42736560000003</v>
      </c>
      <c r="Q104" t="s">
        <v>137</v>
      </c>
      <c r="R104">
        <f>'Age by income band distribution'!B107</f>
        <v>20</v>
      </c>
      <c r="S104">
        <f>'Age by income band distribution'!C107</f>
        <v>0</v>
      </c>
      <c r="T104">
        <f>'Age by income band distribution'!D107+'Age by income band distribution'!E107</f>
        <v>250</v>
      </c>
      <c r="U104">
        <f>'Age by income band distribution'!F107+'Age by income band distribution'!G107</f>
        <v>3250</v>
      </c>
      <c r="V104">
        <f>'Age by income band distribution'!H107+'Age by income band distribution'!I107</f>
        <v>3970</v>
      </c>
      <c r="W104">
        <f>'Age by income band distribution'!J107+'Age by income band distribution'!K107</f>
        <v>3680</v>
      </c>
      <c r="X104">
        <f>'Age by income band distribution'!L107+'Age by income band distribution'!M107</f>
        <v>2880</v>
      </c>
      <c r="Y104">
        <f>'Age by income band distribution'!N107+'Age by income band distribution'!O107+'Age by income band distribution'!P107</f>
        <v>1720</v>
      </c>
    </row>
    <row r="105" spans="1:25" x14ac:dyDescent="0.2">
      <c r="A105" s="50">
        <v>102000</v>
      </c>
      <c r="B105" s="1">
        <f>'Income tables 2001-24'!K111</f>
        <v>1860</v>
      </c>
      <c r="C105" s="1">
        <f>'Income tables 2001-24'!AP111</f>
        <v>4620</v>
      </c>
      <c r="D105" s="1">
        <f>'Income tables 2001-24'!BR111</f>
        <v>13170</v>
      </c>
      <c r="E105" s="1">
        <f>'Income tables 2001-24'!BU111</f>
        <v>14920</v>
      </c>
      <c r="F105" s="52">
        <f>'Income tables 2001-24'!L111</f>
        <v>188.8</v>
      </c>
      <c r="G105" s="52">
        <f>'Income tables 2001-24'!AQ111</f>
        <v>469</v>
      </c>
      <c r="H105" s="52">
        <f>'Income tables 2001-24'!BS111</f>
        <v>1336.51</v>
      </c>
      <c r="I105" s="52">
        <f>'Income tables 2001-24'!BV111</f>
        <v>1513.92</v>
      </c>
      <c r="J105" s="52">
        <f>'Income tables 2001-24'!M111</f>
        <v>57.4</v>
      </c>
      <c r="K105" s="52">
        <f>'Income tables 2001-24'!AR111</f>
        <v>112.8</v>
      </c>
      <c r="L105" s="52">
        <f>'Income tables 2001-24'!BT111</f>
        <v>321.49086939999995</v>
      </c>
      <c r="M105" s="52">
        <f>'Income tables 2001-24'!BW111</f>
        <v>364.16528907999998</v>
      </c>
      <c r="Q105" t="s">
        <v>138</v>
      </c>
      <c r="R105">
        <f>'Age by income band distribution'!B108</f>
        <v>20</v>
      </c>
      <c r="S105">
        <f>'Age by income band distribution'!C108</f>
        <v>0</v>
      </c>
      <c r="T105">
        <f>'Age by income band distribution'!D108+'Age by income band distribution'!E108</f>
        <v>270</v>
      </c>
      <c r="U105">
        <f>'Age by income band distribution'!F108+'Age by income band distribution'!G108</f>
        <v>3310</v>
      </c>
      <c r="V105">
        <f>'Age by income band distribution'!H108+'Age by income band distribution'!I108</f>
        <v>4280</v>
      </c>
      <c r="W105">
        <f>'Age by income band distribution'!J108+'Age by income band distribution'!K108</f>
        <v>4000</v>
      </c>
      <c r="X105">
        <f>'Age by income band distribution'!L108+'Age by income band distribution'!M108</f>
        <v>3160</v>
      </c>
      <c r="Y105">
        <f>'Age by income band distribution'!N108+'Age by income band distribution'!O108+'Age by income band distribution'!P108</f>
        <v>1690</v>
      </c>
    </row>
    <row r="106" spans="1:25" x14ac:dyDescent="0.2">
      <c r="A106" s="50">
        <v>103000</v>
      </c>
      <c r="B106" s="1">
        <f>'Income tables 2001-24'!K112</f>
        <v>1560</v>
      </c>
      <c r="C106" s="1">
        <f>'Income tables 2001-24'!AP112</f>
        <v>4490</v>
      </c>
      <c r="D106" s="1">
        <f>'Income tables 2001-24'!BR112</f>
        <v>12680</v>
      </c>
      <c r="E106" s="1">
        <f>'Income tables 2001-24'!BU112</f>
        <v>14800</v>
      </c>
      <c r="F106" s="52">
        <f>'Income tables 2001-24'!L112</f>
        <v>159.9</v>
      </c>
      <c r="G106" s="52">
        <f>'Income tables 2001-24'!AQ112</f>
        <v>460.2</v>
      </c>
      <c r="H106" s="52">
        <f>'Income tables 2001-24'!BS112</f>
        <v>1299.2</v>
      </c>
      <c r="I106" s="52">
        <f>'Income tables 2001-24'!BV112</f>
        <v>1516.47</v>
      </c>
      <c r="J106" s="52">
        <f>'Income tables 2001-24'!M112</f>
        <v>48.7</v>
      </c>
      <c r="K106" s="52">
        <f>'Income tables 2001-24'!AR112</f>
        <v>111.1</v>
      </c>
      <c r="L106" s="52">
        <f>'Income tables 2001-24'!BT112</f>
        <v>313.63954778999999</v>
      </c>
      <c r="M106" s="52">
        <f>'Income tables 2001-24'!BW112</f>
        <v>366.09558200999999</v>
      </c>
      <c r="Q106" t="s">
        <v>139</v>
      </c>
      <c r="R106">
        <f>'Age by income band distribution'!B109</f>
        <v>10</v>
      </c>
      <c r="S106">
        <f>'Age by income band distribution'!C109</f>
        <v>0</v>
      </c>
      <c r="T106">
        <f>'Age by income band distribution'!D109+'Age by income band distribution'!E109</f>
        <v>220</v>
      </c>
      <c r="U106">
        <f>'Age by income band distribution'!F109+'Age by income band distribution'!G109</f>
        <v>3070</v>
      </c>
      <c r="V106">
        <f>'Age by income band distribution'!H109+'Age by income band distribution'!I109</f>
        <v>3740</v>
      </c>
      <c r="W106">
        <f>'Age by income band distribution'!J109+'Age by income band distribution'!K109</f>
        <v>3470</v>
      </c>
      <c r="X106">
        <f>'Age by income band distribution'!L109+'Age by income band distribution'!M109</f>
        <v>2770</v>
      </c>
      <c r="Y106">
        <f>'Age by income band distribution'!N109+'Age by income band distribution'!O109+'Age by income band distribution'!P109</f>
        <v>1650</v>
      </c>
    </row>
    <row r="107" spans="1:25" x14ac:dyDescent="0.2">
      <c r="A107" s="50">
        <v>104000</v>
      </c>
      <c r="B107" s="1">
        <f>'Income tables 2001-24'!K113</f>
        <v>1410</v>
      </c>
      <c r="C107" s="1">
        <f>'Income tables 2001-24'!AP113</f>
        <v>4490</v>
      </c>
      <c r="D107" s="1">
        <f>'Income tables 2001-24'!BR113</f>
        <v>12260</v>
      </c>
      <c r="E107" s="1">
        <f>'Income tables 2001-24'!BU113</f>
        <v>14230</v>
      </c>
      <c r="F107" s="52">
        <f>'Income tables 2001-24'!L113</f>
        <v>146</v>
      </c>
      <c r="G107" s="52">
        <f>'Income tables 2001-24'!AQ113</f>
        <v>464.7</v>
      </c>
      <c r="H107" s="52">
        <f>'Income tables 2001-24'!BS113</f>
        <v>1268.49</v>
      </c>
      <c r="I107" s="52">
        <f>'Income tables 2001-24'!BV113</f>
        <v>1472.46</v>
      </c>
      <c r="J107" s="52">
        <f>'Income tables 2001-24'!M113</f>
        <v>44.6</v>
      </c>
      <c r="K107" s="52">
        <f>'Income tables 2001-24'!AR113</f>
        <v>112.6</v>
      </c>
      <c r="L107" s="52">
        <f>'Income tables 2001-24'!BT113</f>
        <v>307.31539213000002</v>
      </c>
      <c r="M107" s="52">
        <f>'Income tables 2001-24'!BW113</f>
        <v>356.73112556000001</v>
      </c>
      <c r="Q107" t="s">
        <v>140</v>
      </c>
      <c r="R107">
        <f>'Age by income band distribution'!B110</f>
        <v>20</v>
      </c>
      <c r="S107">
        <f>'Age by income band distribution'!C110</f>
        <v>0</v>
      </c>
      <c r="T107">
        <f>'Age by income band distribution'!D110+'Age by income band distribution'!E110</f>
        <v>170</v>
      </c>
      <c r="U107">
        <f>'Age by income band distribution'!F110+'Age by income band distribution'!G110</f>
        <v>2980</v>
      </c>
      <c r="V107">
        <f>'Age by income band distribution'!H110+'Age by income band distribution'!I110</f>
        <v>3660</v>
      </c>
      <c r="W107">
        <f>'Age by income band distribution'!J110+'Age by income band distribution'!K110</f>
        <v>3510</v>
      </c>
      <c r="X107">
        <f>'Age by income band distribution'!L110+'Age by income band distribution'!M110</f>
        <v>2870</v>
      </c>
      <c r="Y107">
        <f>'Age by income band distribution'!N110+'Age by income band distribution'!O110+'Age by income band distribution'!P110</f>
        <v>1610</v>
      </c>
    </row>
    <row r="108" spans="1:25" x14ac:dyDescent="0.2">
      <c r="A108" s="50">
        <v>105000</v>
      </c>
      <c r="B108" s="1">
        <f>'Income tables 2001-24'!K114</f>
        <v>1380</v>
      </c>
      <c r="C108" s="1">
        <f>'Income tables 2001-24'!AP114</f>
        <v>3660</v>
      </c>
      <c r="D108" s="1">
        <f>'Income tables 2001-24'!BR114</f>
        <v>11890</v>
      </c>
      <c r="E108" s="1">
        <f>'Income tables 2001-24'!BU114</f>
        <v>13740</v>
      </c>
      <c r="F108" s="52">
        <f>'Income tables 2001-24'!L114</f>
        <v>144.19999999999999</v>
      </c>
      <c r="G108" s="52">
        <f>'Income tables 2001-24'!AQ114</f>
        <v>382.5</v>
      </c>
      <c r="H108" s="52">
        <f>'Income tables 2001-24'!BS114</f>
        <v>1242.02</v>
      </c>
      <c r="I108" s="52">
        <f>'Income tables 2001-24'!BV114</f>
        <v>1435.51</v>
      </c>
      <c r="J108" s="52">
        <f>'Income tables 2001-24'!M114</f>
        <v>44.2</v>
      </c>
      <c r="K108" s="52">
        <f>'Income tables 2001-24'!AR114</f>
        <v>93</v>
      </c>
      <c r="L108" s="52">
        <f>'Income tables 2001-24'!BT114</f>
        <v>301.94082868999999</v>
      </c>
      <c r="M108" s="52">
        <f>'Income tables 2001-24'!BW114</f>
        <v>348.98596013000002</v>
      </c>
      <c r="Q108" t="s">
        <v>141</v>
      </c>
      <c r="R108">
        <f>'Age by income band distribution'!B111</f>
        <v>10</v>
      </c>
      <c r="S108">
        <f>'Age by income band distribution'!C111</f>
        <v>0</v>
      </c>
      <c r="T108">
        <f>'Age by income band distribution'!D111+'Age by income band distribution'!E111</f>
        <v>210</v>
      </c>
      <c r="U108">
        <f>'Age by income band distribution'!F111+'Age by income band distribution'!G111</f>
        <v>2870</v>
      </c>
      <c r="V108">
        <f>'Age by income band distribution'!H111+'Age by income band distribution'!I111</f>
        <v>3500</v>
      </c>
      <c r="W108">
        <f>'Age by income band distribution'!J111+'Age by income band distribution'!K111</f>
        <v>3290</v>
      </c>
      <c r="X108">
        <f>'Age by income band distribution'!L111+'Age by income band distribution'!M111</f>
        <v>2730</v>
      </c>
      <c r="Y108">
        <f>'Age by income band distribution'!N111+'Age by income band distribution'!O111+'Age by income band distribution'!P111</f>
        <v>1620</v>
      </c>
    </row>
    <row r="109" spans="1:25" x14ac:dyDescent="0.2">
      <c r="A109" s="50">
        <v>106000</v>
      </c>
      <c r="B109" s="1">
        <f>'Income tables 2001-24'!K115</f>
        <v>1050</v>
      </c>
      <c r="C109" s="1">
        <f>'Income tables 2001-24'!AP115</f>
        <v>4070</v>
      </c>
      <c r="D109" s="1">
        <f>'Income tables 2001-24'!BR115</f>
        <v>11620</v>
      </c>
      <c r="E109" s="1">
        <f>'Income tables 2001-24'!BU115</f>
        <v>13340</v>
      </c>
      <c r="F109" s="52">
        <f>'Income tables 2001-24'!L115</f>
        <v>110.7</v>
      </c>
      <c r="G109" s="52">
        <f>'Income tables 2001-24'!AQ115</f>
        <v>429.4</v>
      </c>
      <c r="H109" s="52">
        <f>'Income tables 2001-24'!BS115</f>
        <v>1225.6600000000001</v>
      </c>
      <c r="I109" s="52">
        <f>'Income tables 2001-24'!BV115</f>
        <v>1407.45</v>
      </c>
      <c r="J109" s="52">
        <f>'Income tables 2001-24'!M115</f>
        <v>34</v>
      </c>
      <c r="K109" s="52">
        <f>'Income tables 2001-24'!AR115</f>
        <v>104.7</v>
      </c>
      <c r="L109" s="52">
        <f>'Income tables 2001-24'!BT115</f>
        <v>298.96570867000003</v>
      </c>
      <c r="M109" s="52">
        <f>'Income tables 2001-24'!BW115</f>
        <v>343.31191832999997</v>
      </c>
      <c r="Q109" t="s">
        <v>142</v>
      </c>
      <c r="R109">
        <f>'Age by income band distribution'!B112</f>
        <v>20</v>
      </c>
      <c r="S109">
        <f>'Age by income band distribution'!C112</f>
        <v>0</v>
      </c>
      <c r="T109">
        <f>'Age by income band distribution'!D112+'Age by income band distribution'!E112</f>
        <v>190</v>
      </c>
      <c r="U109">
        <f>'Age by income band distribution'!F112+'Age by income band distribution'!G112</f>
        <v>2670</v>
      </c>
      <c r="V109">
        <f>'Age by income band distribution'!H112+'Age by income band distribution'!I112</f>
        <v>3410</v>
      </c>
      <c r="W109">
        <f>'Age by income band distribution'!J112+'Age by income band distribution'!K112</f>
        <v>3260</v>
      </c>
      <c r="X109">
        <f>'Age by income band distribution'!L112+'Age by income band distribution'!M112</f>
        <v>2640</v>
      </c>
      <c r="Y109">
        <f>'Age by income band distribution'!N112+'Age by income band distribution'!O112+'Age by income band distribution'!P112</f>
        <v>1570</v>
      </c>
    </row>
    <row r="110" spans="1:25" x14ac:dyDescent="0.2">
      <c r="A110" s="50">
        <v>107000</v>
      </c>
      <c r="B110" s="1">
        <f>'Income tables 2001-24'!K116</f>
        <v>1460</v>
      </c>
      <c r="C110" s="1">
        <f>'Income tables 2001-24'!AP116</f>
        <v>3690</v>
      </c>
      <c r="D110" s="1">
        <f>'Income tables 2001-24'!BR116</f>
        <v>11000</v>
      </c>
      <c r="E110" s="1">
        <f>'Income tables 2001-24'!BU116</f>
        <v>12800</v>
      </c>
      <c r="F110" s="52">
        <f>'Income tables 2001-24'!L116</f>
        <v>155.5</v>
      </c>
      <c r="G110" s="52">
        <f>'Income tables 2001-24'!AQ116</f>
        <v>392.8</v>
      </c>
      <c r="H110" s="52">
        <f>'Income tables 2001-24'!BS116</f>
        <v>1171.9000000000001</v>
      </c>
      <c r="I110" s="52">
        <f>'Income tables 2001-24'!BV116</f>
        <v>1363.47</v>
      </c>
      <c r="J110" s="52">
        <f>'Income tables 2001-24'!M116</f>
        <v>47.9</v>
      </c>
      <c r="K110" s="52">
        <f>'Income tables 2001-24'!AR116</f>
        <v>96.1</v>
      </c>
      <c r="L110" s="52">
        <f>'Income tables 2001-24'!BT116</f>
        <v>286.81069731000002</v>
      </c>
      <c r="M110" s="52">
        <f>'Income tables 2001-24'!BW116</f>
        <v>333.69324337</v>
      </c>
      <c r="Q110" t="s">
        <v>143</v>
      </c>
      <c r="R110">
        <f>'Age by income band distribution'!B113</f>
        <v>10</v>
      </c>
      <c r="S110">
        <f>'Age by income band distribution'!C113</f>
        <v>0</v>
      </c>
      <c r="T110">
        <f>'Age by income band distribution'!D113+'Age by income band distribution'!E113</f>
        <v>170</v>
      </c>
      <c r="U110">
        <f>'Age by income band distribution'!F113+'Age by income band distribution'!G113</f>
        <v>2660</v>
      </c>
      <c r="V110">
        <f>'Age by income band distribution'!H113+'Age by income band distribution'!I113</f>
        <v>3290</v>
      </c>
      <c r="W110">
        <f>'Age by income band distribution'!J113+'Age by income band distribution'!K113</f>
        <v>3080</v>
      </c>
      <c r="X110">
        <f>'Age by income band distribution'!L113+'Age by income band distribution'!M113</f>
        <v>2640</v>
      </c>
      <c r="Y110">
        <f>'Age by income band distribution'!N113+'Age by income band distribution'!O113+'Age by income band distribution'!P113</f>
        <v>1490</v>
      </c>
    </row>
    <row r="111" spans="1:25" x14ac:dyDescent="0.2">
      <c r="A111" s="50">
        <v>108000</v>
      </c>
      <c r="B111" s="1">
        <f>'Income tables 2001-24'!K117</f>
        <v>1140</v>
      </c>
      <c r="C111" s="1">
        <f>'Income tables 2001-24'!AP117</f>
        <v>4140</v>
      </c>
      <c r="D111" s="1">
        <f>'Income tables 2001-24'!BR117</f>
        <v>10700</v>
      </c>
      <c r="E111" s="1">
        <f>'Income tables 2001-24'!BU117</f>
        <v>12440</v>
      </c>
      <c r="F111" s="52">
        <f>'Income tables 2001-24'!L117</f>
        <v>122.6</v>
      </c>
      <c r="G111" s="52">
        <f>'Income tables 2001-24'!AQ117</f>
        <v>445.1</v>
      </c>
      <c r="H111" s="52">
        <f>'Income tables 2001-24'!BS117</f>
        <v>1149.8900000000001</v>
      </c>
      <c r="I111" s="52">
        <f>'Income tables 2001-24'!BV117</f>
        <v>1336.72</v>
      </c>
      <c r="J111" s="52">
        <f>'Income tables 2001-24'!M117</f>
        <v>37.9</v>
      </c>
      <c r="K111" s="52">
        <f>'Income tables 2001-24'!AR117</f>
        <v>109.3</v>
      </c>
      <c r="L111" s="52">
        <f>'Income tables 2001-24'!BT117</f>
        <v>282.33429688000001</v>
      </c>
      <c r="M111" s="52">
        <f>'Income tables 2001-24'!BW117</f>
        <v>328.20642075000001</v>
      </c>
      <c r="Q111" t="s">
        <v>144</v>
      </c>
      <c r="R111">
        <f>'Age by income band distribution'!B114</f>
        <v>10</v>
      </c>
      <c r="S111">
        <f>'Age by income band distribution'!C114</f>
        <v>0</v>
      </c>
      <c r="T111">
        <f>'Age by income band distribution'!D114+'Age by income band distribution'!E114</f>
        <v>170</v>
      </c>
      <c r="U111">
        <f>'Age by income band distribution'!F114+'Age by income band distribution'!G114</f>
        <v>2460</v>
      </c>
      <c r="V111">
        <f>'Age by income band distribution'!H114+'Age by income band distribution'!I114</f>
        <v>3100</v>
      </c>
      <c r="W111">
        <f>'Age by income band distribution'!J114+'Age by income band distribution'!K114</f>
        <v>3030</v>
      </c>
      <c r="X111">
        <f>'Age by income band distribution'!L114+'Age by income band distribution'!M114</f>
        <v>2560</v>
      </c>
      <c r="Y111">
        <f>'Age by income band distribution'!N114+'Age by income band distribution'!O114+'Age by income band distribution'!P114</f>
        <v>1460</v>
      </c>
    </row>
    <row r="112" spans="1:25" x14ac:dyDescent="0.2">
      <c r="A112" s="50">
        <v>109000</v>
      </c>
      <c r="B112" s="1">
        <f>'Income tables 2001-24'!K118</f>
        <v>1380</v>
      </c>
      <c r="C112" s="1">
        <f>'Income tables 2001-24'!AP118</f>
        <v>4110</v>
      </c>
      <c r="D112" s="1">
        <f>'Income tables 2001-24'!BR118</f>
        <v>10500</v>
      </c>
      <c r="E112" s="1">
        <f>'Income tables 2001-24'!BU118</f>
        <v>12070</v>
      </c>
      <c r="F112" s="52">
        <f>'Income tables 2001-24'!L118</f>
        <v>149.80000000000001</v>
      </c>
      <c r="G112" s="52">
        <f>'Income tables 2001-24'!AQ118</f>
        <v>445.9</v>
      </c>
      <c r="H112" s="52">
        <f>'Income tables 2001-24'!BS118</f>
        <v>1139</v>
      </c>
      <c r="I112" s="52">
        <f>'Income tables 2001-24'!BV118</f>
        <v>1309.25</v>
      </c>
      <c r="J112" s="52">
        <f>'Income tables 2001-24'!M118</f>
        <v>46.4</v>
      </c>
      <c r="K112" s="52">
        <f>'Income tables 2001-24'!AR118</f>
        <v>109.8</v>
      </c>
      <c r="L112" s="52">
        <f>'Income tables 2001-24'!BT118</f>
        <v>280.54756723000003</v>
      </c>
      <c r="M112" s="52">
        <f>'Income tables 2001-24'!BW118</f>
        <v>322.48436249000002</v>
      </c>
      <c r="Q112" t="s">
        <v>145</v>
      </c>
      <c r="R112">
        <f>'Age by income band distribution'!B115</f>
        <v>10</v>
      </c>
      <c r="S112">
        <f>'Age by income band distribution'!C115</f>
        <v>0</v>
      </c>
      <c r="T112">
        <f>'Age by income band distribution'!D115+'Age by income band distribution'!E115</f>
        <v>150</v>
      </c>
      <c r="U112">
        <f>'Age by income band distribution'!F115+'Age by income band distribution'!G115</f>
        <v>2410</v>
      </c>
      <c r="V112">
        <f>'Age by income band distribution'!H115+'Age by income band distribution'!I115</f>
        <v>3100</v>
      </c>
      <c r="W112">
        <f>'Age by income band distribution'!J115+'Age by income band distribution'!K115</f>
        <v>2950</v>
      </c>
      <c r="X112">
        <f>'Age by income band distribution'!L115+'Age by income band distribution'!M115</f>
        <v>2420</v>
      </c>
      <c r="Y112">
        <f>'Age by income band distribution'!N115+'Age by income band distribution'!O115+'Age by income band distribution'!P115</f>
        <v>1390</v>
      </c>
    </row>
    <row r="113" spans="1:25" x14ac:dyDescent="0.2">
      <c r="A113" s="50">
        <v>110000</v>
      </c>
      <c r="B113" s="1">
        <f>'Income tables 2001-24'!K119</f>
        <v>1140</v>
      </c>
      <c r="C113" s="1">
        <f>'Income tables 2001-24'!AP119</f>
        <v>3290</v>
      </c>
      <c r="D113" s="1">
        <f>'Income tables 2001-24'!BR119</f>
        <v>10350</v>
      </c>
      <c r="E113" s="1">
        <f>'Income tables 2001-24'!BU119</f>
        <v>11990</v>
      </c>
      <c r="F113" s="52">
        <f>'Income tables 2001-24'!L119</f>
        <v>124.8</v>
      </c>
      <c r="G113" s="52">
        <f>'Income tables 2001-24'!AQ119</f>
        <v>360.3</v>
      </c>
      <c r="H113" s="52">
        <f>'Income tables 2001-24'!BS119</f>
        <v>1133.8399999999999</v>
      </c>
      <c r="I113" s="52">
        <f>'Income tables 2001-24'!BV119</f>
        <v>1312.77</v>
      </c>
      <c r="J113" s="52">
        <f>'Income tables 2001-24'!M119</f>
        <v>38.700000000000003</v>
      </c>
      <c r="K113" s="52">
        <f>'Income tables 2001-24'!AR119</f>
        <v>89</v>
      </c>
      <c r="L113" s="52">
        <f>'Income tables 2001-24'!BT119</f>
        <v>280.15317548000002</v>
      </c>
      <c r="M113" s="52">
        <f>'Income tables 2001-24'!BW119</f>
        <v>324.36320610000001</v>
      </c>
      <c r="Q113" t="s">
        <v>146</v>
      </c>
      <c r="R113">
        <f>'Age by income band distribution'!B116</f>
        <v>20</v>
      </c>
      <c r="S113">
        <f>'Age by income band distribution'!C116</f>
        <v>0</v>
      </c>
      <c r="T113">
        <f>'Age by income band distribution'!D116+'Age by income band distribution'!E116</f>
        <v>130</v>
      </c>
      <c r="U113">
        <f>'Age by income band distribution'!F116+'Age by income band distribution'!G116</f>
        <v>2380</v>
      </c>
      <c r="V113">
        <f>'Age by income band distribution'!H116+'Age by income band distribution'!I116</f>
        <v>3100</v>
      </c>
      <c r="W113">
        <f>'Age by income band distribution'!J116+'Age by income band distribution'!K116</f>
        <v>2820</v>
      </c>
      <c r="X113">
        <f>'Age by income band distribution'!L116+'Age by income band distribution'!M116</f>
        <v>2300</v>
      </c>
      <c r="Y113">
        <f>'Age by income band distribution'!N116+'Age by income band distribution'!O116+'Age by income band distribution'!P116</f>
        <v>1340</v>
      </c>
    </row>
    <row r="114" spans="1:25" x14ac:dyDescent="0.2">
      <c r="A114" s="50">
        <v>111000</v>
      </c>
      <c r="B114" s="1">
        <f>'Income tables 2001-24'!K120</f>
        <v>1330</v>
      </c>
      <c r="C114" s="1">
        <f>'Income tables 2001-24'!AP120</f>
        <v>2900</v>
      </c>
      <c r="D114" s="1">
        <f>'Income tables 2001-24'!BR120</f>
        <v>9950</v>
      </c>
      <c r="E114" s="1">
        <f>'Income tables 2001-24'!BU120</f>
        <v>11990</v>
      </c>
      <c r="F114" s="52">
        <f>'Income tables 2001-24'!L120</f>
        <v>147</v>
      </c>
      <c r="G114" s="52">
        <f>'Income tables 2001-24'!AQ120</f>
        <v>320.39999999999998</v>
      </c>
      <c r="H114" s="52">
        <f>'Income tables 2001-24'!BS120</f>
        <v>1099.68</v>
      </c>
      <c r="I114" s="52">
        <f>'Income tables 2001-24'!BV120</f>
        <v>1324.38</v>
      </c>
      <c r="J114" s="52">
        <f>'Income tables 2001-24'!M120</f>
        <v>45.7</v>
      </c>
      <c r="K114" s="52">
        <f>'Income tables 2001-24'!AR120</f>
        <v>79.400000000000006</v>
      </c>
      <c r="L114" s="52">
        <f>'Income tables 2001-24'!BT120</f>
        <v>272.51247583999998</v>
      </c>
      <c r="M114" s="52">
        <f>'Income tables 2001-24'!BW120</f>
        <v>328.20187987000003</v>
      </c>
      <c r="Q114" t="s">
        <v>147</v>
      </c>
      <c r="R114">
        <f>'Age by income band distribution'!B117</f>
        <v>20</v>
      </c>
      <c r="S114">
        <f>'Age by income band distribution'!C117</f>
        <v>0</v>
      </c>
      <c r="T114">
        <f>'Age by income band distribution'!D117+'Age by income band distribution'!E117</f>
        <v>130</v>
      </c>
      <c r="U114">
        <f>'Age by income band distribution'!F117+'Age by income band distribution'!G117</f>
        <v>2350</v>
      </c>
      <c r="V114">
        <f>'Age by income band distribution'!H117+'Age by income band distribution'!I117</f>
        <v>3120</v>
      </c>
      <c r="W114">
        <f>'Age by income band distribution'!J117+'Age by income band distribution'!K117</f>
        <v>2820</v>
      </c>
      <c r="X114">
        <f>'Age by income band distribution'!L117+'Age by income band distribution'!M117</f>
        <v>2270</v>
      </c>
      <c r="Y114">
        <f>'Age by income band distribution'!N117+'Age by income band distribution'!O117+'Age by income band distribution'!P117</f>
        <v>1290</v>
      </c>
    </row>
    <row r="115" spans="1:25" x14ac:dyDescent="0.2">
      <c r="A115" s="50">
        <v>112000</v>
      </c>
      <c r="B115" s="1">
        <f>'Income tables 2001-24'!K121</f>
        <v>1070</v>
      </c>
      <c r="C115" s="1">
        <f>'Income tables 2001-24'!AP121</f>
        <v>3400</v>
      </c>
      <c r="D115" s="1">
        <f>'Income tables 2001-24'!BR121</f>
        <v>9720</v>
      </c>
      <c r="E115" s="1">
        <f>'Income tables 2001-24'!BU121</f>
        <v>11180</v>
      </c>
      <c r="F115" s="52">
        <f>'Income tables 2001-24'!L121</f>
        <v>119.3</v>
      </c>
      <c r="G115" s="52">
        <f>'Income tables 2001-24'!AQ121</f>
        <v>379.1</v>
      </c>
      <c r="H115" s="52">
        <f>'Income tables 2001-24'!BS121</f>
        <v>1083.8699999999999</v>
      </c>
      <c r="I115" s="52">
        <f>'Income tables 2001-24'!BV121</f>
        <v>1246.6300000000001</v>
      </c>
      <c r="J115" s="52">
        <f>'Income tables 2001-24'!M121</f>
        <v>37.200000000000003</v>
      </c>
      <c r="K115" s="52">
        <f>'Income tables 2001-24'!AR121</f>
        <v>94.2</v>
      </c>
      <c r="L115" s="52">
        <f>'Income tables 2001-24'!BT121</f>
        <v>269.40962695999997</v>
      </c>
      <c r="M115" s="52">
        <f>'Income tables 2001-24'!BW121</f>
        <v>309.86303895999998</v>
      </c>
      <c r="Q115" t="s">
        <v>148</v>
      </c>
      <c r="R115">
        <f>'Age by income band distribution'!B118</f>
        <v>20</v>
      </c>
      <c r="S115">
        <f>'Age by income band distribution'!C118</f>
        <v>0</v>
      </c>
      <c r="T115">
        <f>'Age by income band distribution'!D118+'Age by income band distribution'!E118</f>
        <v>140</v>
      </c>
      <c r="U115">
        <f>'Age by income band distribution'!F118+'Age by income band distribution'!G118</f>
        <v>2320</v>
      </c>
      <c r="V115">
        <f>'Age by income band distribution'!H118+'Age by income band distribution'!I118</f>
        <v>3080</v>
      </c>
      <c r="W115">
        <f>'Age by income band distribution'!J118+'Age by income band distribution'!K118</f>
        <v>2890</v>
      </c>
      <c r="X115">
        <f>'Age by income band distribution'!L118+'Age by income band distribution'!M118</f>
        <v>2260</v>
      </c>
      <c r="Y115">
        <f>'Age by income band distribution'!N118+'Age by income band distribution'!O118+'Age by income band distribution'!P118</f>
        <v>1290</v>
      </c>
    </row>
    <row r="116" spans="1:25" x14ac:dyDescent="0.2">
      <c r="A116" s="50">
        <v>113000</v>
      </c>
      <c r="B116" s="1">
        <f>'Income tables 2001-24'!K122</f>
        <v>1150</v>
      </c>
      <c r="C116" s="1">
        <f>'Income tables 2001-24'!AP122</f>
        <v>3610</v>
      </c>
      <c r="D116" s="1">
        <f>'Income tables 2001-24'!BR122</f>
        <v>9130</v>
      </c>
      <c r="E116" s="1">
        <f>'Income tables 2001-24'!BU122</f>
        <v>10990</v>
      </c>
      <c r="F116" s="52">
        <f>'Income tables 2001-24'!L122</f>
        <v>129.4</v>
      </c>
      <c r="G116" s="52">
        <f>'Income tables 2001-24'!AQ122</f>
        <v>406.2</v>
      </c>
      <c r="H116" s="52">
        <f>'Income tables 2001-24'!BS122</f>
        <v>1027.4000000000001</v>
      </c>
      <c r="I116" s="52">
        <f>'Income tables 2001-24'!BV122</f>
        <v>1236.1099999999999</v>
      </c>
      <c r="J116" s="52">
        <f>'Income tables 2001-24'!M122</f>
        <v>40.4</v>
      </c>
      <c r="K116" s="52">
        <f>'Income tables 2001-24'!AR122</f>
        <v>101.3</v>
      </c>
      <c r="L116" s="52">
        <f>'Income tables 2001-24'!BT122</f>
        <v>256.11531563</v>
      </c>
      <c r="M116" s="52">
        <f>'Income tables 2001-24'!BW122</f>
        <v>308.14299441000003</v>
      </c>
      <c r="Q116" t="s">
        <v>149</v>
      </c>
      <c r="R116">
        <f>'Age by income band distribution'!B119</f>
        <v>10</v>
      </c>
      <c r="S116">
        <f>'Age by income band distribution'!C119</f>
        <v>0</v>
      </c>
      <c r="T116">
        <f>'Age by income band distribution'!D119+'Age by income band distribution'!E119</f>
        <v>130</v>
      </c>
      <c r="U116">
        <f>'Age by income band distribution'!F119+'Age by income band distribution'!G119</f>
        <v>2160</v>
      </c>
      <c r="V116">
        <f>'Age by income band distribution'!H119+'Age by income band distribution'!I119</f>
        <v>2820</v>
      </c>
      <c r="W116">
        <f>'Age by income band distribution'!J119+'Age by income band distribution'!K119</f>
        <v>2610</v>
      </c>
      <c r="X116">
        <f>'Age by income band distribution'!L119+'Age by income band distribution'!M119</f>
        <v>2220</v>
      </c>
      <c r="Y116">
        <f>'Age by income band distribution'!N119+'Age by income band distribution'!O119+'Age by income band distribution'!P119</f>
        <v>1230</v>
      </c>
    </row>
    <row r="117" spans="1:25" x14ac:dyDescent="0.2">
      <c r="A117" s="50">
        <v>114000</v>
      </c>
      <c r="B117" s="1">
        <f>'Income tables 2001-24'!K123</f>
        <v>910</v>
      </c>
      <c r="C117" s="1">
        <f>'Income tables 2001-24'!AP123</f>
        <v>2990</v>
      </c>
      <c r="D117" s="1">
        <f>'Income tables 2001-24'!BR123</f>
        <v>8940</v>
      </c>
      <c r="E117" s="1">
        <f>'Income tables 2001-24'!BU123</f>
        <v>10590</v>
      </c>
      <c r="F117" s="52">
        <f>'Income tables 2001-24'!L123</f>
        <v>103.3</v>
      </c>
      <c r="G117" s="52">
        <f>'Income tables 2001-24'!AQ123</f>
        <v>339.5</v>
      </c>
      <c r="H117" s="52">
        <f>'Income tables 2001-24'!BS123</f>
        <v>1015.12</v>
      </c>
      <c r="I117" s="52">
        <f>'Income tables 2001-24'!BV123</f>
        <v>1201.44</v>
      </c>
      <c r="J117" s="52">
        <f>'Income tables 2001-24'!M123</f>
        <v>32.299999999999997</v>
      </c>
      <c r="K117" s="52">
        <f>'Income tables 2001-24'!AR123</f>
        <v>84.9</v>
      </c>
      <c r="L117" s="52">
        <f>'Income tables 2001-24'!BT123</f>
        <v>253.77793641</v>
      </c>
      <c r="M117" s="52">
        <f>'Income tables 2001-24'!BW123</f>
        <v>300.35489423000001</v>
      </c>
      <c r="Q117" t="s">
        <v>150</v>
      </c>
      <c r="R117">
        <f>'Age by income band distribution'!B120</f>
        <v>20</v>
      </c>
      <c r="S117">
        <f>'Age by income band distribution'!C120</f>
        <v>0</v>
      </c>
      <c r="T117">
        <f>'Age by income band distribution'!D120+'Age by income band distribution'!E120</f>
        <v>110</v>
      </c>
      <c r="U117">
        <f>'Age by income band distribution'!F120+'Age by income band distribution'!G120</f>
        <v>2050</v>
      </c>
      <c r="V117">
        <f>'Age by income band distribution'!H120+'Age by income band distribution'!I120</f>
        <v>2820</v>
      </c>
      <c r="W117">
        <f>'Age by income band distribution'!J120+'Age by income band distribution'!K120</f>
        <v>2600</v>
      </c>
      <c r="X117">
        <f>'Age by income band distribution'!L120+'Age by income band distribution'!M120</f>
        <v>2090</v>
      </c>
      <c r="Y117">
        <f>'Age by income band distribution'!N120+'Age by income band distribution'!O120+'Age by income band distribution'!P120</f>
        <v>1290</v>
      </c>
    </row>
    <row r="118" spans="1:25" x14ac:dyDescent="0.2">
      <c r="A118" s="50">
        <v>115000</v>
      </c>
      <c r="B118" s="1">
        <f>'Income tables 2001-24'!K124</f>
        <v>1060</v>
      </c>
      <c r="C118" s="1">
        <f>'Income tables 2001-24'!AP124</f>
        <v>3080</v>
      </c>
      <c r="D118" s="1">
        <f>'Income tables 2001-24'!BR124</f>
        <v>8750</v>
      </c>
      <c r="E118" s="1">
        <f>'Income tables 2001-24'!BU124</f>
        <v>10480</v>
      </c>
      <c r="F118" s="52">
        <f>'Income tables 2001-24'!L124</f>
        <v>121.4</v>
      </c>
      <c r="G118" s="52">
        <f>'Income tables 2001-24'!AQ124</f>
        <v>352.6</v>
      </c>
      <c r="H118" s="52">
        <f>'Income tables 2001-24'!BS124</f>
        <v>1001.99</v>
      </c>
      <c r="I118" s="52">
        <f>'Income tables 2001-24'!BV124</f>
        <v>1199.3699999999999</v>
      </c>
      <c r="J118" s="52">
        <f>'Income tables 2001-24'!M124</f>
        <v>38.1</v>
      </c>
      <c r="K118" s="52">
        <f>'Income tables 2001-24'!AR124</f>
        <v>88.4</v>
      </c>
      <c r="L118" s="52">
        <f>'Income tables 2001-24'!BT124</f>
        <v>251.19769009999999</v>
      </c>
      <c r="M118" s="52">
        <f>'Income tables 2001-24'!BW124</f>
        <v>300.68063195999997</v>
      </c>
      <c r="Q118" t="s">
        <v>151</v>
      </c>
      <c r="R118">
        <f>'Age by income band distribution'!B121</f>
        <v>20</v>
      </c>
      <c r="S118">
        <f>'Age by income band distribution'!C121</f>
        <v>0</v>
      </c>
      <c r="T118">
        <f>'Age by income band distribution'!D121+'Age by income band distribution'!E121</f>
        <v>90</v>
      </c>
      <c r="U118">
        <f>'Age by income band distribution'!F121+'Age by income band distribution'!G121</f>
        <v>2030</v>
      </c>
      <c r="V118">
        <f>'Age by income band distribution'!H121+'Age by income band distribution'!I121</f>
        <v>2730</v>
      </c>
      <c r="W118">
        <f>'Age by income band distribution'!J121+'Age by income band distribution'!K121</f>
        <v>2530</v>
      </c>
      <c r="X118">
        <f>'Age by income band distribution'!L121+'Age by income band distribution'!M121</f>
        <v>1980</v>
      </c>
      <c r="Y118">
        <f>'Age by income band distribution'!N121+'Age by income band distribution'!O121+'Age by income band distribution'!P121</f>
        <v>1210</v>
      </c>
    </row>
    <row r="119" spans="1:25" x14ac:dyDescent="0.2">
      <c r="A119" s="50">
        <v>116000</v>
      </c>
      <c r="B119" s="1">
        <f>'Income tables 2001-24'!K125</f>
        <v>850</v>
      </c>
      <c r="C119" s="1">
        <f>'Income tables 2001-24'!AP125</f>
        <v>2770</v>
      </c>
      <c r="D119" s="1">
        <f>'Income tables 2001-24'!BR125</f>
        <v>8670</v>
      </c>
      <c r="E119" s="1">
        <f>'Income tables 2001-24'!BU125</f>
        <v>10270</v>
      </c>
      <c r="F119" s="52">
        <f>'Income tables 2001-24'!L125</f>
        <v>98.1</v>
      </c>
      <c r="G119" s="52">
        <f>'Income tables 2001-24'!AQ125</f>
        <v>319.8</v>
      </c>
      <c r="H119" s="52">
        <f>'Income tables 2001-24'!BS125</f>
        <v>1001.76</v>
      </c>
      <c r="I119" s="52">
        <f>'Income tables 2001-24'!BV125</f>
        <v>1185.48</v>
      </c>
      <c r="J119" s="52">
        <f>'Income tables 2001-24'!M125</f>
        <v>30.9</v>
      </c>
      <c r="K119" s="52">
        <f>'Income tables 2001-24'!AR125</f>
        <v>80.400000000000006</v>
      </c>
      <c r="L119" s="52">
        <f>'Income tables 2001-24'!BT125</f>
        <v>251.81882280000002</v>
      </c>
      <c r="M119" s="52">
        <f>'Income tables 2001-24'!BW125</f>
        <v>298.0016023</v>
      </c>
      <c r="Q119" t="s">
        <v>152</v>
      </c>
      <c r="R119">
        <f>'Age by income band distribution'!B122</f>
        <v>10</v>
      </c>
      <c r="S119">
        <f>'Age by income band distribution'!C122</f>
        <v>0</v>
      </c>
      <c r="T119">
        <f>'Age by income band distribution'!D122+'Age by income band distribution'!E122</f>
        <v>80</v>
      </c>
      <c r="U119">
        <f>'Age by income band distribution'!F122+'Age by income band distribution'!G122</f>
        <v>1980</v>
      </c>
      <c r="V119">
        <f>'Age by income band distribution'!H122+'Age by income band distribution'!I122</f>
        <v>2640</v>
      </c>
      <c r="W119">
        <f>'Age by income band distribution'!J122+'Age by income band distribution'!K122</f>
        <v>2510</v>
      </c>
      <c r="X119">
        <f>'Age by income band distribution'!L122+'Age by income band distribution'!M122</f>
        <v>2090</v>
      </c>
      <c r="Y119">
        <f>'Age by income band distribution'!N122+'Age by income band distribution'!O122+'Age by income band distribution'!P122</f>
        <v>1160</v>
      </c>
    </row>
    <row r="120" spans="1:25" x14ac:dyDescent="0.2">
      <c r="A120" s="50">
        <v>117000</v>
      </c>
      <c r="B120" s="1">
        <f>'Income tables 2001-24'!K126</f>
        <v>910</v>
      </c>
      <c r="C120" s="1">
        <f>'Income tables 2001-24'!AP126</f>
        <v>2910</v>
      </c>
      <c r="D120" s="1">
        <f>'Income tables 2001-24'!BR126</f>
        <v>8320</v>
      </c>
      <c r="E120" s="1">
        <f>'Income tables 2001-24'!BU126</f>
        <v>10000</v>
      </c>
      <c r="F120" s="52">
        <f>'Income tables 2001-24'!L126</f>
        <v>106</v>
      </c>
      <c r="G120" s="52">
        <f>'Income tables 2001-24'!AQ126</f>
        <v>339.1</v>
      </c>
      <c r="H120" s="52">
        <f>'Income tables 2001-24'!BS126</f>
        <v>968.97</v>
      </c>
      <c r="I120" s="52">
        <f>'Income tables 2001-24'!BV126</f>
        <v>1165.1099999999999</v>
      </c>
      <c r="J120" s="52">
        <f>'Income tables 2001-24'!M126</f>
        <v>33.4</v>
      </c>
      <c r="K120" s="52">
        <f>'Income tables 2001-24'!AR126</f>
        <v>85.5</v>
      </c>
      <c r="L120" s="52">
        <f>'Income tables 2001-24'!BT126</f>
        <v>244.24207499000002</v>
      </c>
      <c r="M120" s="52">
        <f>'Income tables 2001-24'!BW126</f>
        <v>293.67713827999995</v>
      </c>
      <c r="Q120" t="s">
        <v>153</v>
      </c>
      <c r="R120">
        <f>'Age by income band distribution'!B123</f>
        <v>10</v>
      </c>
      <c r="S120">
        <f>'Age by income band distribution'!C123</f>
        <v>0</v>
      </c>
      <c r="T120">
        <f>'Age by income band distribution'!D123+'Age by income band distribution'!E123</f>
        <v>80</v>
      </c>
      <c r="U120">
        <f>'Age by income band distribution'!F123+'Age by income band distribution'!G123</f>
        <v>1880</v>
      </c>
      <c r="V120">
        <f>'Age by income band distribution'!H123+'Age by income band distribution'!I123</f>
        <v>2680</v>
      </c>
      <c r="W120">
        <f>'Age by income band distribution'!J123+'Age by income band distribution'!K123</f>
        <v>2430</v>
      </c>
      <c r="X120">
        <f>'Age by income band distribution'!L123+'Age by income band distribution'!M123</f>
        <v>1970</v>
      </c>
      <c r="Y120">
        <f>'Age by income band distribution'!N123+'Age by income band distribution'!O123+'Age by income band distribution'!P123</f>
        <v>1210</v>
      </c>
    </row>
    <row r="121" spans="1:25" x14ac:dyDescent="0.2">
      <c r="A121" s="50">
        <v>118000</v>
      </c>
      <c r="B121" s="1">
        <f>'Income tables 2001-24'!K127</f>
        <v>800</v>
      </c>
      <c r="C121" s="1">
        <f>'Income tables 2001-24'!AP127</f>
        <v>2710</v>
      </c>
      <c r="D121" s="1">
        <f>'Income tables 2001-24'!BR127</f>
        <v>7910</v>
      </c>
      <c r="E121" s="1">
        <f>'Income tables 2001-24'!BU127</f>
        <v>9530</v>
      </c>
      <c r="F121" s="52">
        <f>'Income tables 2001-24'!L127</f>
        <v>94</v>
      </c>
      <c r="G121" s="52">
        <f>'Income tables 2001-24'!AQ127</f>
        <v>318.60000000000002</v>
      </c>
      <c r="H121" s="52">
        <f>'Income tables 2001-24'!BS127</f>
        <v>928.92</v>
      </c>
      <c r="I121" s="52">
        <f>'Income tables 2001-24'!BV127</f>
        <v>1120.0999999999999</v>
      </c>
      <c r="J121" s="52">
        <f>'Income tables 2001-24'!M127</f>
        <v>29.7</v>
      </c>
      <c r="K121" s="52">
        <f>'Income tables 2001-24'!AR127</f>
        <v>80.5</v>
      </c>
      <c r="L121" s="52">
        <f>'Income tables 2001-24'!BT127</f>
        <v>234.7582668</v>
      </c>
      <c r="M121" s="52">
        <f>'Income tables 2001-24'!BW127</f>
        <v>283.07475491000002</v>
      </c>
      <c r="Q121" t="s">
        <v>154</v>
      </c>
      <c r="R121">
        <f>'Age by income band distribution'!B124</f>
        <v>10</v>
      </c>
      <c r="S121">
        <f>'Age by income band distribution'!C124</f>
        <v>0</v>
      </c>
      <c r="T121">
        <f>'Age by income band distribution'!D124+'Age by income band distribution'!E124</f>
        <v>90</v>
      </c>
      <c r="U121">
        <f>'Age by income band distribution'!F124+'Age by income band distribution'!G124</f>
        <v>1740</v>
      </c>
      <c r="V121">
        <f>'Age by income band distribution'!H124+'Age by income band distribution'!I124</f>
        <v>2570</v>
      </c>
      <c r="W121">
        <f>'Age by income band distribution'!J124+'Age by income band distribution'!K124</f>
        <v>2420</v>
      </c>
      <c r="X121">
        <f>'Age by income band distribution'!L124+'Age by income band distribution'!M124</f>
        <v>2010</v>
      </c>
      <c r="Y121">
        <f>'Age by income band distribution'!N124+'Age by income band distribution'!O124+'Age by income band distribution'!P124</f>
        <v>1160</v>
      </c>
    </row>
    <row r="122" spans="1:25" x14ac:dyDescent="0.2">
      <c r="A122" s="50">
        <v>119000</v>
      </c>
      <c r="B122" s="1">
        <f>'Income tables 2001-24'!K128</f>
        <v>900</v>
      </c>
      <c r="C122" s="1">
        <f>'Income tables 2001-24'!AP128</f>
        <v>2890</v>
      </c>
      <c r="D122" s="1">
        <f>'Income tables 2001-24'!BR128</f>
        <v>7620</v>
      </c>
      <c r="E122" s="1">
        <f>'Income tables 2001-24'!BU128</f>
        <v>9370</v>
      </c>
      <c r="F122" s="52">
        <f>'Income tables 2001-24'!L128</f>
        <v>106.6</v>
      </c>
      <c r="G122" s="52">
        <f>'Income tables 2001-24'!AQ128</f>
        <v>342.4</v>
      </c>
      <c r="H122" s="52">
        <f>'Income tables 2001-24'!BS128</f>
        <v>902.57</v>
      </c>
      <c r="I122" s="52">
        <f>'Income tables 2001-24'!BV128</f>
        <v>1109.78</v>
      </c>
      <c r="J122" s="52">
        <f>'Income tables 2001-24'!M128</f>
        <v>33.700000000000003</v>
      </c>
      <c r="K122" s="52">
        <f>'Income tables 2001-24'!AR128</f>
        <v>86.8</v>
      </c>
      <c r="L122" s="52">
        <f>'Income tables 2001-24'!BT128</f>
        <v>228.68405118000001</v>
      </c>
      <c r="M122" s="52">
        <f>'Income tables 2001-24'!BW128</f>
        <v>281.19475177999999</v>
      </c>
      <c r="Q122" t="s">
        <v>155</v>
      </c>
      <c r="R122">
        <f>'Age by income band distribution'!B125</f>
        <v>10</v>
      </c>
      <c r="S122">
        <f>'Age by income band distribution'!C125</f>
        <v>0</v>
      </c>
      <c r="T122">
        <f>'Age by income band distribution'!D125+'Age by income band distribution'!E125</f>
        <v>70</v>
      </c>
      <c r="U122">
        <f>'Age by income band distribution'!F125+'Age by income band distribution'!G125</f>
        <v>1720</v>
      </c>
      <c r="V122">
        <f>'Age by income band distribution'!H125+'Age by income band distribution'!I125</f>
        <v>2500</v>
      </c>
      <c r="W122">
        <f>'Age by income band distribution'!J125+'Age by income band distribution'!K125</f>
        <v>2300</v>
      </c>
      <c r="X122">
        <f>'Age by income band distribution'!L125+'Age by income band distribution'!M125</f>
        <v>1850</v>
      </c>
      <c r="Y122">
        <f>'Age by income band distribution'!N125+'Age by income band distribution'!O125+'Age by income band distribution'!P125</f>
        <v>1100</v>
      </c>
    </row>
    <row r="123" spans="1:25" x14ac:dyDescent="0.2">
      <c r="A123" s="50">
        <v>120000</v>
      </c>
      <c r="B123" s="1">
        <f>'Income tables 2001-24'!K129</f>
        <v>960</v>
      </c>
      <c r="C123" s="1">
        <f>'Income tables 2001-24'!AP129</f>
        <v>3090</v>
      </c>
      <c r="D123" s="1">
        <f>'Income tables 2001-24'!BR129</f>
        <v>7690</v>
      </c>
      <c r="E123" s="1">
        <f>'Income tables 2001-24'!BU129</f>
        <v>9510</v>
      </c>
      <c r="F123" s="52">
        <f>'Income tables 2001-24'!L129</f>
        <v>114.8</v>
      </c>
      <c r="G123" s="52">
        <f>'Income tables 2001-24'!AQ129</f>
        <v>369.5</v>
      </c>
      <c r="H123" s="52">
        <f>'Income tables 2001-24'!BS129</f>
        <v>919.51</v>
      </c>
      <c r="I123" s="52">
        <f>'Income tables 2001-24'!BV129</f>
        <v>1136.33</v>
      </c>
      <c r="J123" s="52">
        <f>'Income tables 2001-24'!M129</f>
        <v>36.4</v>
      </c>
      <c r="K123" s="52">
        <f>'Income tables 2001-24'!AR129</f>
        <v>93.9</v>
      </c>
      <c r="L123" s="52">
        <f>'Income tables 2001-24'!BT129</f>
        <v>233.58718555000002</v>
      </c>
      <c r="M123" s="52">
        <f>'Income tables 2001-24'!BW129</f>
        <v>288.65616879000004</v>
      </c>
      <c r="Q123" t="s">
        <v>156</v>
      </c>
      <c r="R123">
        <f>'Age by income band distribution'!B126</f>
        <v>10</v>
      </c>
      <c r="S123">
        <f>'Age by income band distribution'!C126</f>
        <v>0</v>
      </c>
      <c r="T123">
        <f>'Age by income band distribution'!D126+'Age by income band distribution'!E126</f>
        <v>70</v>
      </c>
      <c r="U123">
        <f>'Age by income band distribution'!F126+'Age by income band distribution'!G126</f>
        <v>1690</v>
      </c>
      <c r="V123">
        <f>'Age by income band distribution'!H126+'Age by income band distribution'!I126</f>
        <v>2390</v>
      </c>
      <c r="W123">
        <f>'Age by income band distribution'!J126+'Age by income band distribution'!K126</f>
        <v>2350</v>
      </c>
      <c r="X123">
        <f>'Age by income band distribution'!L126+'Age by income band distribution'!M126</f>
        <v>1740</v>
      </c>
      <c r="Y123">
        <f>'Age by income band distribution'!N126+'Age by income band distribution'!O126+'Age by income band distribution'!P126</f>
        <v>1120</v>
      </c>
    </row>
    <row r="124" spans="1:25" x14ac:dyDescent="0.2">
      <c r="A124" s="50">
        <v>121000</v>
      </c>
      <c r="B124" s="1">
        <f>'Income tables 2001-24'!K130</f>
        <v>850</v>
      </c>
      <c r="C124" s="1">
        <f>'Income tables 2001-24'!AP130</f>
        <v>2400</v>
      </c>
      <c r="D124" s="1">
        <f>'Income tables 2001-24'!BR130</f>
        <v>8250</v>
      </c>
      <c r="E124" s="1">
        <f>'Income tables 2001-24'!BU130</f>
        <v>9780</v>
      </c>
      <c r="F124" s="52">
        <f>'Income tables 2001-24'!L130</f>
        <v>102.5</v>
      </c>
      <c r="G124" s="52">
        <f>'Income tables 2001-24'!AQ130</f>
        <v>289.10000000000002</v>
      </c>
      <c r="H124" s="52">
        <f>'Income tables 2001-24'!BS130</f>
        <v>993.43</v>
      </c>
      <c r="I124" s="52">
        <f>'Income tables 2001-24'!BV130</f>
        <v>1178.1099999999999</v>
      </c>
      <c r="J124" s="52">
        <f>'Income tables 2001-24'!M130</f>
        <v>32.5</v>
      </c>
      <c r="K124" s="52">
        <f>'Income tables 2001-24'!AR130</f>
        <v>73.599999999999994</v>
      </c>
      <c r="L124" s="52">
        <f>'Income tables 2001-24'!BT130</f>
        <v>252.94685106</v>
      </c>
      <c r="M124" s="52">
        <f>'Income tables 2001-24'!BW130</f>
        <v>299.98186250999998</v>
      </c>
      <c r="Q124" t="s">
        <v>157</v>
      </c>
      <c r="R124">
        <f>'Age by income band distribution'!B127</f>
        <v>10</v>
      </c>
      <c r="S124">
        <f>'Age by income band distribution'!C127</f>
        <v>0</v>
      </c>
      <c r="T124">
        <f>'Age by income band distribution'!D127+'Age by income band distribution'!E127</f>
        <v>70</v>
      </c>
      <c r="U124">
        <f>'Age by income band distribution'!F127+'Age by income band distribution'!G127</f>
        <v>1640</v>
      </c>
      <c r="V124">
        <f>'Age by income band distribution'!H127+'Age by income band distribution'!I127</f>
        <v>2450</v>
      </c>
      <c r="W124">
        <f>'Age by income band distribution'!J127+'Age by income band distribution'!K127</f>
        <v>2420</v>
      </c>
      <c r="X124">
        <f>'Age by income band distribution'!L127+'Age by income band distribution'!M127</f>
        <v>1900</v>
      </c>
      <c r="Y124">
        <f>'Age by income band distribution'!N127+'Age by income band distribution'!O127+'Age by income band distribution'!P127</f>
        <v>1020</v>
      </c>
    </row>
    <row r="125" spans="1:25" x14ac:dyDescent="0.2">
      <c r="A125" s="50">
        <v>122000</v>
      </c>
      <c r="B125" s="1">
        <f>'Income tables 2001-24'!K131</f>
        <v>830</v>
      </c>
      <c r="C125" s="1">
        <f>'Income tables 2001-24'!AP131</f>
        <v>2960</v>
      </c>
      <c r="D125" s="1">
        <f>'Income tables 2001-24'!BR131</f>
        <v>7530</v>
      </c>
      <c r="E125" s="1">
        <f>'Income tables 2001-24'!BU131</f>
        <v>8820</v>
      </c>
      <c r="F125" s="52">
        <f>'Income tables 2001-24'!L131</f>
        <v>100.8</v>
      </c>
      <c r="G125" s="52">
        <f>'Income tables 2001-24'!AQ131</f>
        <v>359.5</v>
      </c>
      <c r="H125" s="52">
        <f>'Income tables 2001-24'!BS131</f>
        <v>914.47</v>
      </c>
      <c r="I125" s="52">
        <f>'Income tables 2001-24'!BV131</f>
        <v>1070.9100000000001</v>
      </c>
      <c r="J125" s="52">
        <f>'Income tables 2001-24'!M131</f>
        <v>32.1</v>
      </c>
      <c r="K125" s="52">
        <f>'Income tables 2001-24'!AR131</f>
        <v>91.8</v>
      </c>
      <c r="L125" s="52">
        <f>'Income tables 2001-24'!BT131</f>
        <v>233.42877934999999</v>
      </c>
      <c r="M125" s="52">
        <f>'Income tables 2001-24'!BW131</f>
        <v>273.36152582</v>
      </c>
      <c r="Q125" t="s">
        <v>158</v>
      </c>
      <c r="R125">
        <f>'Age by income band distribution'!B128</f>
        <v>10</v>
      </c>
      <c r="S125">
        <f>'Age by income band distribution'!C128</f>
        <v>0</v>
      </c>
      <c r="T125">
        <f>'Age by income band distribution'!D128+'Age by income band distribution'!E128</f>
        <v>60</v>
      </c>
      <c r="U125">
        <f>'Age by income band distribution'!F128+'Age by income band distribution'!G128</f>
        <v>1720</v>
      </c>
      <c r="V125">
        <f>'Age by income band distribution'!H128+'Age by income band distribution'!I128</f>
        <v>2670</v>
      </c>
      <c r="W125">
        <f>'Age by income band distribution'!J128+'Age by income band distribution'!K128</f>
        <v>2360</v>
      </c>
      <c r="X125">
        <f>'Age by income band distribution'!L128+'Age by income band distribution'!M128</f>
        <v>1950</v>
      </c>
      <c r="Y125">
        <f>'Age by income band distribution'!N128+'Age by income band distribution'!O128+'Age by income band distribution'!P128</f>
        <v>1010</v>
      </c>
    </row>
    <row r="126" spans="1:25" x14ac:dyDescent="0.2">
      <c r="A126" s="50">
        <v>123000</v>
      </c>
      <c r="B126" s="1">
        <f>'Income tables 2001-24'!K132</f>
        <v>1000</v>
      </c>
      <c r="C126" s="1">
        <f>'Income tables 2001-24'!AP132</f>
        <v>2870</v>
      </c>
      <c r="D126" s="1">
        <f>'Income tables 2001-24'!BR132</f>
        <v>7140</v>
      </c>
      <c r="E126" s="1">
        <f>'Income tables 2001-24'!BU132</f>
        <v>8490</v>
      </c>
      <c r="F126" s="52">
        <f>'Income tables 2001-24'!L132</f>
        <v>122.5</v>
      </c>
      <c r="G126" s="52">
        <f>'Income tables 2001-24'!AQ132</f>
        <v>351.5</v>
      </c>
      <c r="H126" s="52">
        <f>'Income tables 2001-24'!BS132</f>
        <v>874.77</v>
      </c>
      <c r="I126" s="52">
        <f>'Income tables 2001-24'!BV132</f>
        <v>1040.32</v>
      </c>
      <c r="J126" s="52">
        <f>'Income tables 2001-24'!M132</f>
        <v>39</v>
      </c>
      <c r="K126" s="52">
        <f>'Income tables 2001-24'!AR132</f>
        <v>89.9</v>
      </c>
      <c r="L126" s="52">
        <f>'Income tables 2001-24'!BT132</f>
        <v>223.83485062</v>
      </c>
      <c r="M126" s="52">
        <f>'Income tables 2001-24'!BW132</f>
        <v>266.19870988999998</v>
      </c>
      <c r="Q126" t="s">
        <v>159</v>
      </c>
      <c r="R126">
        <f>'Age by income band distribution'!B129</f>
        <v>10</v>
      </c>
      <c r="S126">
        <f>'Age by income band distribution'!C129</f>
        <v>0</v>
      </c>
      <c r="T126">
        <f>'Age by income band distribution'!D129+'Age by income band distribution'!E129</f>
        <v>50</v>
      </c>
      <c r="U126">
        <f>'Age by income band distribution'!F129+'Age by income band distribution'!G129</f>
        <v>1600</v>
      </c>
      <c r="V126">
        <f>'Age by income band distribution'!H129+'Age by income band distribution'!I129</f>
        <v>2260</v>
      </c>
      <c r="W126">
        <f>'Age by income band distribution'!J129+'Age by income band distribution'!K129</f>
        <v>2150</v>
      </c>
      <c r="X126">
        <f>'Age by income band distribution'!L129+'Age by income band distribution'!M129</f>
        <v>1720</v>
      </c>
      <c r="Y126">
        <f>'Age by income band distribution'!N129+'Age by income band distribution'!O129+'Age by income band distribution'!P129</f>
        <v>1030</v>
      </c>
    </row>
    <row r="127" spans="1:25" x14ac:dyDescent="0.2">
      <c r="A127" s="50">
        <v>124000</v>
      </c>
      <c r="B127" s="1">
        <f>'Income tables 2001-24'!K133</f>
        <v>1010</v>
      </c>
      <c r="C127" s="1">
        <f>'Income tables 2001-24'!AP133</f>
        <v>2680</v>
      </c>
      <c r="D127" s="1">
        <f>'Income tables 2001-24'!BR133</f>
        <v>6980</v>
      </c>
      <c r="E127" s="1">
        <f>'Income tables 2001-24'!BU133</f>
        <v>8260</v>
      </c>
      <c r="F127" s="52">
        <f>'Income tables 2001-24'!L133</f>
        <v>124.7</v>
      </c>
      <c r="G127" s="52">
        <f>'Income tables 2001-24'!AQ133</f>
        <v>330.9</v>
      </c>
      <c r="H127" s="52">
        <f>'Income tables 2001-24'!BS133</f>
        <v>862.39</v>
      </c>
      <c r="I127" s="52">
        <f>'Income tables 2001-24'!BV133</f>
        <v>1019.59</v>
      </c>
      <c r="J127" s="52">
        <f>'Income tables 2001-24'!M133</f>
        <v>39.799999999999997</v>
      </c>
      <c r="K127" s="52">
        <f>'Income tables 2001-24'!AR133</f>
        <v>84.9</v>
      </c>
      <c r="L127" s="52">
        <f>'Income tables 2001-24'!BT133</f>
        <v>221.18416391</v>
      </c>
      <c r="M127" s="52">
        <f>'Income tables 2001-24'!BW133</f>
        <v>261.50106392999999</v>
      </c>
      <c r="Q127" t="s">
        <v>160</v>
      </c>
      <c r="R127">
        <f>'Age by income band distribution'!B130</f>
        <v>10</v>
      </c>
      <c r="S127">
        <f>'Age by income band distribution'!C130</f>
        <v>0</v>
      </c>
      <c r="T127">
        <f>'Age by income band distribution'!D130+'Age by income band distribution'!E130</f>
        <v>50</v>
      </c>
      <c r="U127">
        <f>'Age by income band distribution'!F130+'Age by income band distribution'!G130</f>
        <v>1490</v>
      </c>
      <c r="V127">
        <f>'Age by income band distribution'!H130+'Age by income band distribution'!I130</f>
        <v>2230</v>
      </c>
      <c r="W127">
        <f>'Age by income band distribution'!J130+'Age by income band distribution'!K130</f>
        <v>2120</v>
      </c>
      <c r="X127">
        <f>'Age by income band distribution'!L130+'Age by income band distribution'!M130</f>
        <v>1640</v>
      </c>
      <c r="Y127">
        <f>'Age by income band distribution'!N130+'Age by income band distribution'!O130+'Age by income band distribution'!P130</f>
        <v>950</v>
      </c>
    </row>
    <row r="128" spans="1:25" x14ac:dyDescent="0.2">
      <c r="A128" s="50">
        <v>125000</v>
      </c>
      <c r="B128" s="1">
        <f>'Income tables 2001-24'!K134</f>
        <v>660</v>
      </c>
      <c r="C128" s="1">
        <f>'Income tables 2001-24'!AP134</f>
        <v>2420</v>
      </c>
      <c r="D128" s="1">
        <f>'Income tables 2001-24'!BR134</f>
        <v>6870</v>
      </c>
      <c r="E128" s="1">
        <f>'Income tables 2001-24'!BU134</f>
        <v>8160</v>
      </c>
      <c r="F128" s="52">
        <f>'Income tables 2001-24'!L134</f>
        <v>82.1</v>
      </c>
      <c r="G128" s="52">
        <f>'Income tables 2001-24'!AQ134</f>
        <v>301.3</v>
      </c>
      <c r="H128" s="52">
        <f>'Income tables 2001-24'!BS134</f>
        <v>855.64</v>
      </c>
      <c r="I128" s="52">
        <f>'Income tables 2001-24'!BV134</f>
        <v>1015.49</v>
      </c>
      <c r="J128" s="52">
        <f>'Income tables 2001-24'!M134</f>
        <v>26.2</v>
      </c>
      <c r="K128" s="52">
        <f>'Income tables 2001-24'!AR134</f>
        <v>77.5</v>
      </c>
      <c r="L128" s="52">
        <f>'Income tables 2001-24'!BT134</f>
        <v>219.96203258</v>
      </c>
      <c r="M128" s="52">
        <f>'Income tables 2001-24'!BW134</f>
        <v>261.05467895999999</v>
      </c>
      <c r="Q128" t="s">
        <v>161</v>
      </c>
      <c r="R128">
        <f>'Age by income band distribution'!B131</f>
        <v>10</v>
      </c>
      <c r="S128">
        <f>'Age by income band distribution'!C131</f>
        <v>0</v>
      </c>
      <c r="T128">
        <f>'Age by income band distribution'!D131+'Age by income band distribution'!E131</f>
        <v>50</v>
      </c>
      <c r="U128">
        <f>'Age by income band distribution'!F131+'Age by income band distribution'!G131</f>
        <v>1490</v>
      </c>
      <c r="V128">
        <f>'Age by income band distribution'!H131+'Age by income band distribution'!I131</f>
        <v>2160</v>
      </c>
      <c r="W128">
        <f>'Age by income band distribution'!J131+'Age by income band distribution'!K131</f>
        <v>1980</v>
      </c>
      <c r="X128">
        <f>'Age by income band distribution'!L131+'Age by income band distribution'!M131</f>
        <v>1560</v>
      </c>
      <c r="Y128">
        <f>'Age by income band distribution'!N131+'Age by income band distribution'!O131+'Age by income band distribution'!P131</f>
        <v>1020</v>
      </c>
    </row>
    <row r="129" spans="1:25" x14ac:dyDescent="0.2">
      <c r="A129" s="50">
        <v>126000</v>
      </c>
      <c r="B129" s="1">
        <f>'Income tables 2001-24'!K135</f>
        <v>730</v>
      </c>
      <c r="C129" s="1">
        <f>'Income tables 2001-24'!AP135</f>
        <v>2880</v>
      </c>
      <c r="D129" s="1">
        <f>'Income tables 2001-24'!BR135</f>
        <v>6950</v>
      </c>
      <c r="E129" s="1">
        <f>'Income tables 2001-24'!BU135</f>
        <v>8160</v>
      </c>
      <c r="F129" s="52">
        <f>'Income tables 2001-24'!L135</f>
        <v>91.7</v>
      </c>
      <c r="G129" s="52">
        <f>'Income tables 2001-24'!AQ135</f>
        <v>361.4</v>
      </c>
      <c r="H129" s="52">
        <f>'Income tables 2001-24'!BS135</f>
        <v>871.84</v>
      </c>
      <c r="I129" s="52">
        <f>'Income tables 2001-24'!BV135</f>
        <v>1024.45</v>
      </c>
      <c r="J129" s="52">
        <f>'Income tables 2001-24'!M135</f>
        <v>29.4</v>
      </c>
      <c r="K129" s="52">
        <f>'Income tables 2001-24'!AR135</f>
        <v>93.1</v>
      </c>
      <c r="L129" s="52">
        <f>'Income tables 2001-24'!BT135</f>
        <v>224.62054694999998</v>
      </c>
      <c r="M129" s="52">
        <f>'Income tables 2001-24'!BW135</f>
        <v>263.93962338</v>
      </c>
      <c r="Q129" t="s">
        <v>162</v>
      </c>
      <c r="R129">
        <f>'Age by income band distribution'!B132</f>
        <v>10</v>
      </c>
      <c r="S129">
        <f>'Age by income band distribution'!C132</f>
        <v>0</v>
      </c>
      <c r="T129">
        <f>'Age by income band distribution'!D132+'Age by income band distribution'!E132</f>
        <v>40</v>
      </c>
      <c r="U129">
        <f>'Age by income band distribution'!F132+'Age by income band distribution'!G132</f>
        <v>1430</v>
      </c>
      <c r="V129">
        <f>'Age by income band distribution'!H132+'Age by income band distribution'!I132</f>
        <v>2160</v>
      </c>
      <c r="W129">
        <f>'Age by income band distribution'!J132+'Age by income band distribution'!K132</f>
        <v>2050</v>
      </c>
      <c r="X129">
        <f>'Age by income band distribution'!L132+'Age by income band distribution'!M132</f>
        <v>1580</v>
      </c>
      <c r="Y129">
        <f>'Age by income band distribution'!N132+'Age by income band distribution'!O132+'Age by income band distribution'!P132</f>
        <v>900</v>
      </c>
    </row>
    <row r="130" spans="1:25" x14ac:dyDescent="0.2">
      <c r="A130" s="50">
        <v>127000</v>
      </c>
      <c r="B130" s="1">
        <f>'Income tables 2001-24'!K136</f>
        <v>660</v>
      </c>
      <c r="C130" s="1">
        <f>'Income tables 2001-24'!AP136</f>
        <v>2570</v>
      </c>
      <c r="D130" s="1">
        <f>'Income tables 2001-24'!BR136</f>
        <v>6450</v>
      </c>
      <c r="E130" s="1">
        <f>'Income tables 2001-24'!BU136</f>
        <v>7790</v>
      </c>
      <c r="F130" s="52">
        <f>'Income tables 2001-24'!L136</f>
        <v>83.5</v>
      </c>
      <c r="G130" s="52">
        <f>'Income tables 2001-24'!AQ136</f>
        <v>325.2</v>
      </c>
      <c r="H130" s="52">
        <f>'Income tables 2001-24'!BS136</f>
        <v>816.14</v>
      </c>
      <c r="I130" s="52">
        <f>'Income tables 2001-24'!BV136</f>
        <v>985.3</v>
      </c>
      <c r="J130" s="52">
        <f>'Income tables 2001-24'!M136</f>
        <v>26.8</v>
      </c>
      <c r="K130" s="52">
        <f>'Income tables 2001-24'!AR136</f>
        <v>84</v>
      </c>
      <c r="L130" s="52">
        <f>'Income tables 2001-24'!BT136</f>
        <v>210.73998616999998</v>
      </c>
      <c r="M130" s="52">
        <f>'Income tables 2001-24'!BW136</f>
        <v>254.42637725</v>
      </c>
      <c r="Q130" t="s">
        <v>163</v>
      </c>
      <c r="R130">
        <f>'Age by income band distribution'!B133</f>
        <v>10</v>
      </c>
      <c r="S130">
        <f>'Age by income band distribution'!C133</f>
        <v>0</v>
      </c>
      <c r="T130">
        <f>'Age by income band distribution'!D133+'Age by income band distribution'!E133</f>
        <v>40</v>
      </c>
      <c r="U130">
        <f>'Age by income band distribution'!F133+'Age by income band distribution'!G133</f>
        <v>1410</v>
      </c>
      <c r="V130">
        <f>'Age by income band distribution'!H133+'Age by income band distribution'!I133</f>
        <v>2170</v>
      </c>
      <c r="W130">
        <f>'Age by income band distribution'!J133+'Age by income band distribution'!K133</f>
        <v>2040</v>
      </c>
      <c r="X130">
        <f>'Age by income band distribution'!L133+'Age by income band distribution'!M133</f>
        <v>1530</v>
      </c>
      <c r="Y130">
        <f>'Age by income band distribution'!N133+'Age by income band distribution'!O133+'Age by income band distribution'!P133</f>
        <v>950</v>
      </c>
    </row>
    <row r="131" spans="1:25" x14ac:dyDescent="0.2">
      <c r="A131" s="50">
        <v>128000</v>
      </c>
      <c r="B131" s="1">
        <f>'Income tables 2001-24'!K137</f>
        <v>650</v>
      </c>
      <c r="C131" s="1">
        <f>'Income tables 2001-24'!AP137</f>
        <v>2520</v>
      </c>
      <c r="D131" s="1">
        <f>'Income tables 2001-24'!BR137</f>
        <v>6230</v>
      </c>
      <c r="E131" s="1">
        <f>'Income tables 2001-24'!BU137</f>
        <v>7630</v>
      </c>
      <c r="F131" s="52">
        <f>'Income tables 2001-24'!L137</f>
        <v>82.9</v>
      </c>
      <c r="G131" s="52">
        <f>'Income tables 2001-24'!AQ137</f>
        <v>321.2</v>
      </c>
      <c r="H131" s="52">
        <f>'Income tables 2001-24'!BS137</f>
        <v>794.81</v>
      </c>
      <c r="I131" s="52">
        <f>'Income tables 2001-24'!BV137</f>
        <v>972.69</v>
      </c>
      <c r="J131" s="52">
        <f>'Income tables 2001-24'!M137</f>
        <v>26.7</v>
      </c>
      <c r="K131" s="52">
        <f>'Income tables 2001-24'!AR137</f>
        <v>83.1</v>
      </c>
      <c r="L131" s="52">
        <f>'Income tables 2001-24'!BT137</f>
        <v>205.68336262</v>
      </c>
      <c r="M131" s="52">
        <f>'Income tables 2001-24'!BW137</f>
        <v>251.71788040999999</v>
      </c>
      <c r="Q131" t="s">
        <v>164</v>
      </c>
      <c r="R131">
        <f>'Age by income band distribution'!B134</f>
        <v>10</v>
      </c>
      <c r="S131">
        <f>'Age by income band distribution'!C134</f>
        <v>0</v>
      </c>
      <c r="T131">
        <f>'Age by income band distribution'!D134+'Age by income band distribution'!E134</f>
        <v>30</v>
      </c>
      <c r="U131">
        <f>'Age by income band distribution'!F134+'Age by income band distribution'!G134</f>
        <v>1270</v>
      </c>
      <c r="V131">
        <f>'Age by income band distribution'!H134+'Age by income band distribution'!I134</f>
        <v>2110</v>
      </c>
      <c r="W131">
        <f>'Age by income band distribution'!J134+'Age by income band distribution'!K134</f>
        <v>1960</v>
      </c>
      <c r="X131">
        <f>'Age by income band distribution'!L134+'Age by income band distribution'!M134</f>
        <v>1510</v>
      </c>
      <c r="Y131">
        <f>'Age by income band distribution'!N134+'Age by income band distribution'!O134+'Age by income band distribution'!P134</f>
        <v>900</v>
      </c>
    </row>
    <row r="132" spans="1:25" x14ac:dyDescent="0.2">
      <c r="A132" s="50">
        <v>129000</v>
      </c>
      <c r="B132" s="1">
        <f>'Income tables 2001-24'!K138</f>
        <v>770</v>
      </c>
      <c r="C132" s="1">
        <f>'Income tables 2001-24'!AP138</f>
        <v>1900</v>
      </c>
      <c r="D132" s="1">
        <f>'Income tables 2001-24'!BR138</f>
        <v>5950</v>
      </c>
      <c r="E132" s="1">
        <f>'Income tables 2001-24'!BU138</f>
        <v>7480</v>
      </c>
      <c r="F132" s="52">
        <f>'Income tables 2001-24'!L138</f>
        <v>98.9</v>
      </c>
      <c r="G132" s="52">
        <f>'Income tables 2001-24'!AQ138</f>
        <v>244</v>
      </c>
      <c r="H132" s="52">
        <f>'Income tables 2001-24'!BS138</f>
        <v>764.7</v>
      </c>
      <c r="I132" s="52">
        <f>'Income tables 2001-24'!BV138</f>
        <v>961.26</v>
      </c>
      <c r="J132" s="52">
        <f>'Income tables 2001-24'!M138</f>
        <v>31.9</v>
      </c>
      <c r="K132" s="52">
        <f>'Income tables 2001-24'!AR138</f>
        <v>63.3</v>
      </c>
      <c r="L132" s="52">
        <f>'Income tables 2001-24'!BT138</f>
        <v>198.31449491000001</v>
      </c>
      <c r="M132" s="52">
        <f>'Income tables 2001-24'!BW138</f>
        <v>249.28722524</v>
      </c>
      <c r="Q132" t="s">
        <v>165</v>
      </c>
      <c r="R132">
        <f>'Age by income band distribution'!B135</f>
        <v>10</v>
      </c>
      <c r="S132">
        <f>'Age by income band distribution'!C135</f>
        <v>0</v>
      </c>
      <c r="T132">
        <f>'Age by income band distribution'!D135+'Age by income band distribution'!E135</f>
        <v>20</v>
      </c>
      <c r="U132">
        <f>'Age by income band distribution'!F135+'Age by income band distribution'!G135</f>
        <v>1280</v>
      </c>
      <c r="V132">
        <f>'Age by income band distribution'!H135+'Age by income band distribution'!I135</f>
        <v>2090</v>
      </c>
      <c r="W132">
        <f>'Age by income band distribution'!J135+'Age by income band distribution'!K135</f>
        <v>1840</v>
      </c>
      <c r="X132">
        <f>'Age by income band distribution'!L135+'Age by income band distribution'!M135</f>
        <v>1490</v>
      </c>
      <c r="Y132">
        <f>'Age by income band distribution'!N135+'Age by income band distribution'!O135+'Age by income band distribution'!P135</f>
        <v>890</v>
      </c>
    </row>
    <row r="133" spans="1:25" x14ac:dyDescent="0.2">
      <c r="A133" s="50">
        <v>130000</v>
      </c>
      <c r="B133" s="1">
        <f>'Income tables 2001-24'!K139</f>
        <v>810</v>
      </c>
      <c r="C133" s="1">
        <f>'Income tables 2001-24'!AP139</f>
        <v>2510</v>
      </c>
      <c r="D133" s="1">
        <f>'Income tables 2001-24'!BR139</f>
        <v>6000</v>
      </c>
      <c r="E133" s="1">
        <f>'Income tables 2001-24'!BU139</f>
        <v>7390</v>
      </c>
      <c r="F133" s="52">
        <f>'Income tables 2001-24'!L139</f>
        <v>104.9</v>
      </c>
      <c r="G133" s="52">
        <f>'Income tables 2001-24'!AQ139</f>
        <v>325.2</v>
      </c>
      <c r="H133" s="52">
        <f>'Income tables 2001-24'!BS139</f>
        <v>776.96</v>
      </c>
      <c r="I133" s="52">
        <f>'Income tables 2001-24'!BV139</f>
        <v>956.55</v>
      </c>
      <c r="J133" s="52">
        <f>'Income tables 2001-24'!M139</f>
        <v>33.799999999999997</v>
      </c>
      <c r="K133" s="52">
        <f>'Income tables 2001-24'!AR139</f>
        <v>84.5</v>
      </c>
      <c r="L133" s="52">
        <f>'Income tables 2001-24'!BT139</f>
        <v>201.92622057</v>
      </c>
      <c r="M133" s="52">
        <f>'Income tables 2001-24'!BW139</f>
        <v>248.59757088999999</v>
      </c>
      <c r="Q133" t="s">
        <v>166</v>
      </c>
      <c r="R133">
        <f>'Age by income band distribution'!B136</f>
        <v>10</v>
      </c>
      <c r="S133">
        <f>'Age by income band distribution'!C136</f>
        <v>0</v>
      </c>
      <c r="T133">
        <f>'Age by income band distribution'!D136+'Age by income band distribution'!E136</f>
        <v>40</v>
      </c>
      <c r="U133">
        <f>'Age by income band distribution'!F136+'Age by income band distribution'!G136</f>
        <v>1310</v>
      </c>
      <c r="V133">
        <f>'Age by income band distribution'!H136+'Age by income band distribution'!I136</f>
        <v>1950</v>
      </c>
      <c r="W133">
        <f>'Age by income band distribution'!J136+'Age by income band distribution'!K136</f>
        <v>1840</v>
      </c>
      <c r="X133">
        <f>'Age by income band distribution'!L136+'Age by income band distribution'!M136</f>
        <v>1420</v>
      </c>
      <c r="Y133">
        <f>'Age by income band distribution'!N136+'Age by income band distribution'!O136+'Age by income band distribution'!P136</f>
        <v>930</v>
      </c>
    </row>
    <row r="134" spans="1:25" x14ac:dyDescent="0.2">
      <c r="A134" s="50">
        <v>131000</v>
      </c>
      <c r="B134" s="1">
        <f>'Income tables 2001-24'!K140</f>
        <v>500</v>
      </c>
      <c r="C134" s="1">
        <f>'Income tables 2001-24'!AP140</f>
        <v>1670</v>
      </c>
      <c r="D134" s="1">
        <f>'Income tables 2001-24'!BR140</f>
        <v>6020</v>
      </c>
      <c r="E134" s="1">
        <f>'Income tables 2001-24'!BU140</f>
        <v>7290</v>
      </c>
      <c r="F134" s="52">
        <f>'Income tables 2001-24'!L140</f>
        <v>65.3</v>
      </c>
      <c r="G134" s="52">
        <f>'Income tables 2001-24'!AQ140</f>
        <v>217.9</v>
      </c>
      <c r="H134" s="52">
        <f>'Income tables 2001-24'!BS140</f>
        <v>785.97</v>
      </c>
      <c r="I134" s="52">
        <f>'Income tables 2001-24'!BV140</f>
        <v>951.5</v>
      </c>
      <c r="J134" s="52">
        <f>'Income tables 2001-24'!M140</f>
        <v>21.1</v>
      </c>
      <c r="K134" s="52">
        <f>'Income tables 2001-24'!AR140</f>
        <v>56.7</v>
      </c>
      <c r="L134" s="52">
        <f>'Income tables 2001-24'!BT140</f>
        <v>204.67082194999998</v>
      </c>
      <c r="M134" s="52">
        <f>'Income tables 2001-24'!BW140</f>
        <v>247.78500625000001</v>
      </c>
      <c r="Q134" t="s">
        <v>167</v>
      </c>
      <c r="R134">
        <f>'Age by income band distribution'!B137</f>
        <v>10</v>
      </c>
      <c r="S134">
        <f>'Age by income band distribution'!C137</f>
        <v>0</v>
      </c>
      <c r="T134">
        <f>'Age by income band distribution'!D137+'Age by income band distribution'!E137</f>
        <v>40</v>
      </c>
      <c r="U134">
        <f>'Age by income band distribution'!F137+'Age by income band distribution'!G137</f>
        <v>1220</v>
      </c>
      <c r="V134">
        <f>'Age by income band distribution'!H137+'Age by income band distribution'!I137</f>
        <v>1990</v>
      </c>
      <c r="W134">
        <f>'Age by income band distribution'!J137+'Age by income band distribution'!K137</f>
        <v>1850</v>
      </c>
      <c r="X134">
        <f>'Age by income band distribution'!L137+'Age by income band distribution'!M137</f>
        <v>1440</v>
      </c>
      <c r="Y134">
        <f>'Age by income band distribution'!N137+'Age by income band distribution'!O137+'Age by income band distribution'!P137</f>
        <v>840</v>
      </c>
    </row>
    <row r="135" spans="1:25" x14ac:dyDescent="0.2">
      <c r="A135" s="50">
        <v>132000</v>
      </c>
      <c r="B135" s="1">
        <f>'Income tables 2001-24'!K141</f>
        <v>680</v>
      </c>
      <c r="C135" s="1">
        <f>'Income tables 2001-24'!AP141</f>
        <v>1900</v>
      </c>
      <c r="D135" s="1">
        <f>'Income tables 2001-24'!BR141</f>
        <v>5430</v>
      </c>
      <c r="E135" s="1">
        <f>'Income tables 2001-24'!BU141</f>
        <v>6950</v>
      </c>
      <c r="F135" s="52">
        <f>'Income tables 2001-24'!L141</f>
        <v>89.4</v>
      </c>
      <c r="G135" s="52">
        <f>'Income tables 2001-24'!AQ141</f>
        <v>249.8</v>
      </c>
      <c r="H135" s="52">
        <f>'Income tables 2001-24'!BS141</f>
        <v>714.53</v>
      </c>
      <c r="I135" s="52">
        <f>'Income tables 2001-24'!BV141</f>
        <v>914.2</v>
      </c>
      <c r="J135" s="52">
        <f>'Income tables 2001-24'!M141</f>
        <v>28.9</v>
      </c>
      <c r="K135" s="52">
        <f>'Income tables 2001-24'!AR141</f>
        <v>65.2</v>
      </c>
      <c r="L135" s="52">
        <f>'Income tables 2001-24'!BT141</f>
        <v>186.45243833000001</v>
      </c>
      <c r="M135" s="52">
        <f>'Income tables 2001-24'!BW141</f>
        <v>238.56109394999999</v>
      </c>
      <c r="Q135" t="s">
        <v>168</v>
      </c>
      <c r="R135">
        <f>'Age by income band distribution'!B138</f>
        <v>10</v>
      </c>
      <c r="S135">
        <f>'Age by income band distribution'!C138</f>
        <v>0</v>
      </c>
      <c r="T135">
        <f>'Age by income band distribution'!D138+'Age by income band distribution'!E138</f>
        <v>40</v>
      </c>
      <c r="U135">
        <f>'Age by income band distribution'!F138+'Age by income band distribution'!G138</f>
        <v>1200</v>
      </c>
      <c r="V135">
        <f>'Age by income band distribution'!H138+'Age by income band distribution'!I138</f>
        <v>1970</v>
      </c>
      <c r="W135">
        <f>'Age by income band distribution'!J138+'Age by income band distribution'!K138</f>
        <v>1820</v>
      </c>
      <c r="X135">
        <f>'Age by income band distribution'!L138+'Age by income band distribution'!M138</f>
        <v>1430</v>
      </c>
      <c r="Y135">
        <f>'Age by income band distribution'!N138+'Age by income band distribution'!O138+'Age by income band distribution'!P138</f>
        <v>810</v>
      </c>
    </row>
    <row r="136" spans="1:25" x14ac:dyDescent="0.2">
      <c r="A136" s="50">
        <v>133000</v>
      </c>
      <c r="B136" s="1">
        <f>'Income tables 2001-24'!K142</f>
        <v>520</v>
      </c>
      <c r="C136" s="1">
        <f>'Income tables 2001-24'!AP142</f>
        <v>1900</v>
      </c>
      <c r="D136" s="1">
        <f>'Income tables 2001-24'!BR142</f>
        <v>5500</v>
      </c>
      <c r="E136" s="1">
        <f>'Income tables 2001-24'!BU142</f>
        <v>6890</v>
      </c>
      <c r="F136" s="52">
        <f>'Income tables 2001-24'!L142</f>
        <v>68.900000000000006</v>
      </c>
      <c r="G136" s="52">
        <f>'Income tables 2001-24'!AQ142</f>
        <v>251.8</v>
      </c>
      <c r="H136" s="52">
        <f>'Income tables 2001-24'!BS142</f>
        <v>729.02</v>
      </c>
      <c r="I136" s="52">
        <f>'Income tables 2001-24'!BV142</f>
        <v>912.79</v>
      </c>
      <c r="J136" s="52">
        <f>'Income tables 2001-24'!M142</f>
        <v>22.4</v>
      </c>
      <c r="K136" s="52">
        <f>'Income tables 2001-24'!AR142</f>
        <v>65.8</v>
      </c>
      <c r="L136" s="52">
        <f>'Income tables 2001-24'!BT142</f>
        <v>190.61853261000002</v>
      </c>
      <c r="M136" s="52">
        <f>'Income tables 2001-24'!BW142</f>
        <v>238.66802641000001</v>
      </c>
      <c r="Q136" t="s">
        <v>169</v>
      </c>
      <c r="R136">
        <f>'Age by income band distribution'!B139</f>
        <v>10</v>
      </c>
      <c r="S136">
        <f>'Age by income band distribution'!C139</f>
        <v>0</v>
      </c>
      <c r="T136">
        <f>'Age by income band distribution'!D139+'Age by income band distribution'!E139</f>
        <v>20</v>
      </c>
      <c r="U136">
        <f>'Age by income band distribution'!F139+'Age by income band distribution'!G139</f>
        <v>1180</v>
      </c>
      <c r="V136">
        <f>'Age by income band distribution'!H139+'Age by income band distribution'!I139</f>
        <v>1850</v>
      </c>
      <c r="W136">
        <f>'Age by income band distribution'!J139+'Age by income band distribution'!K139</f>
        <v>1700</v>
      </c>
      <c r="X136">
        <f>'Age by income band distribution'!L139+'Age by income band distribution'!M139</f>
        <v>1380</v>
      </c>
      <c r="Y136">
        <f>'Age by income band distribution'!N139+'Age by income band distribution'!O139+'Age by income band distribution'!P139</f>
        <v>830</v>
      </c>
    </row>
    <row r="137" spans="1:25" x14ac:dyDescent="0.2">
      <c r="A137" s="50">
        <v>134000</v>
      </c>
      <c r="B137" s="1">
        <f>'Income tables 2001-24'!K143</f>
        <v>550</v>
      </c>
      <c r="C137" s="1">
        <f>'Income tables 2001-24'!AP143</f>
        <v>2070</v>
      </c>
      <c r="D137" s="1">
        <f>'Income tables 2001-24'!BR143</f>
        <v>5440</v>
      </c>
      <c r="E137" s="1">
        <f>'Income tables 2001-24'!BU143</f>
        <v>6530</v>
      </c>
      <c r="F137" s="52">
        <f>'Income tables 2001-24'!L143</f>
        <v>73.5</v>
      </c>
      <c r="G137" s="52">
        <f>'Income tables 2001-24'!AQ143</f>
        <v>276.3</v>
      </c>
      <c r="H137" s="52">
        <f>'Income tables 2001-24'!BS143</f>
        <v>726.34</v>
      </c>
      <c r="I137" s="52">
        <f>'Income tables 2001-24'!BV143</f>
        <v>871.59</v>
      </c>
      <c r="J137" s="52">
        <f>'Income tables 2001-24'!M143</f>
        <v>23.8</v>
      </c>
      <c r="K137" s="52">
        <f>'Income tables 2001-24'!AR143</f>
        <v>72.400000000000006</v>
      </c>
      <c r="L137" s="52">
        <f>'Income tables 2001-24'!BT143</f>
        <v>190.28700651</v>
      </c>
      <c r="M137" s="52">
        <f>'Income tables 2001-24'!BW143</f>
        <v>228.34288881999998</v>
      </c>
      <c r="Q137" t="s">
        <v>170</v>
      </c>
      <c r="R137">
        <f>'Age by income band distribution'!B140</f>
        <v>10</v>
      </c>
      <c r="S137">
        <f>'Age by income band distribution'!C140</f>
        <v>0</v>
      </c>
      <c r="T137">
        <f>'Age by income band distribution'!D140+'Age by income band distribution'!E140</f>
        <v>30</v>
      </c>
      <c r="U137">
        <f>'Age by income band distribution'!F140+'Age by income band distribution'!G140</f>
        <v>1100</v>
      </c>
      <c r="V137">
        <f>'Age by income band distribution'!H140+'Age by income band distribution'!I140</f>
        <v>1870</v>
      </c>
      <c r="W137">
        <f>'Age by income band distribution'!J140+'Age by income band distribution'!K140</f>
        <v>1740</v>
      </c>
      <c r="X137">
        <f>'Age by income band distribution'!L140+'Age by income band distribution'!M140</f>
        <v>1350</v>
      </c>
      <c r="Y137">
        <f>'Age by income band distribution'!N140+'Age by income band distribution'!O140+'Age by income band distribution'!P140</f>
        <v>790</v>
      </c>
    </row>
    <row r="138" spans="1:25" x14ac:dyDescent="0.2">
      <c r="A138" s="50">
        <v>135000</v>
      </c>
      <c r="B138" s="1">
        <f>'Income tables 2001-24'!K144</f>
        <v>550</v>
      </c>
      <c r="C138" s="1">
        <f>'Income tables 2001-24'!AP144</f>
        <v>1950</v>
      </c>
      <c r="D138" s="1">
        <f>'Income tables 2001-24'!BR144</f>
        <v>5290</v>
      </c>
      <c r="E138" s="1">
        <f>'Income tables 2001-24'!BU144</f>
        <v>6510</v>
      </c>
      <c r="F138" s="52">
        <f>'Income tables 2001-24'!L144</f>
        <v>73.900000000000006</v>
      </c>
      <c r="G138" s="52">
        <f>'Income tables 2001-24'!AQ144</f>
        <v>262.3</v>
      </c>
      <c r="H138" s="52">
        <f>'Income tables 2001-24'!BS144</f>
        <v>711.28</v>
      </c>
      <c r="I138" s="52">
        <f>'Income tables 2001-24'!BV144</f>
        <v>875.35</v>
      </c>
      <c r="J138" s="52">
        <f>'Income tables 2001-24'!M144</f>
        <v>24</v>
      </c>
      <c r="K138" s="52">
        <f>'Income tables 2001-24'!AR144</f>
        <v>68.8</v>
      </c>
      <c r="L138" s="52">
        <f>'Income tables 2001-24'!BT144</f>
        <v>186.70665536999999</v>
      </c>
      <c r="M138" s="52">
        <f>'Income tables 2001-24'!BW144</f>
        <v>229.77156640999999</v>
      </c>
      <c r="Q138" t="s">
        <v>171</v>
      </c>
      <c r="R138">
        <f>'Age by income band distribution'!B141</f>
        <v>10</v>
      </c>
      <c r="S138">
        <f>'Age by income band distribution'!C141</f>
        <v>0</v>
      </c>
      <c r="T138">
        <f>'Age by income band distribution'!D141+'Age by income band distribution'!E141</f>
        <v>20</v>
      </c>
      <c r="U138">
        <f>'Age by income band distribution'!F141+'Age by income band distribution'!G141</f>
        <v>1050</v>
      </c>
      <c r="V138">
        <f>'Age by income band distribution'!H141+'Age by income band distribution'!I141</f>
        <v>1760</v>
      </c>
      <c r="W138">
        <f>'Age by income band distribution'!J141+'Age by income band distribution'!K141</f>
        <v>1630</v>
      </c>
      <c r="X138">
        <f>'Age by income band distribution'!L141+'Age by income band distribution'!M141</f>
        <v>1310</v>
      </c>
      <c r="Y138">
        <f>'Age by income band distribution'!N141+'Age by income band distribution'!O141+'Age by income band distribution'!P141</f>
        <v>730</v>
      </c>
    </row>
    <row r="139" spans="1:25" x14ac:dyDescent="0.2">
      <c r="A139" s="50">
        <v>136000</v>
      </c>
      <c r="B139" s="1">
        <f>'Income tables 2001-24'!K145</f>
        <v>630</v>
      </c>
      <c r="C139" s="1">
        <f>'Income tables 2001-24'!AP145</f>
        <v>1860</v>
      </c>
      <c r="D139" s="1">
        <f>'Income tables 2001-24'!BR145</f>
        <v>5080</v>
      </c>
      <c r="E139" s="1">
        <f>'Income tables 2001-24'!BU145</f>
        <v>6400</v>
      </c>
      <c r="F139" s="52">
        <f>'Income tables 2001-24'!L145</f>
        <v>85.4</v>
      </c>
      <c r="G139" s="52">
        <f>'Income tables 2001-24'!AQ145</f>
        <v>252.1</v>
      </c>
      <c r="H139" s="52">
        <f>'Income tables 2001-24'!BS145</f>
        <v>688.68</v>
      </c>
      <c r="I139" s="52">
        <f>'Income tables 2001-24'!BV145</f>
        <v>866.58</v>
      </c>
      <c r="J139" s="52">
        <f>'Income tables 2001-24'!M145</f>
        <v>27.8</v>
      </c>
      <c r="K139" s="52">
        <f>'Income tables 2001-24'!AR145</f>
        <v>66.3</v>
      </c>
      <c r="L139" s="52">
        <f>'Income tables 2001-24'!BT145</f>
        <v>181.11032194000001</v>
      </c>
      <c r="M139" s="52">
        <f>'Income tables 2001-24'!BW145</f>
        <v>227.89707190999999</v>
      </c>
      <c r="Q139" t="s">
        <v>172</v>
      </c>
      <c r="R139">
        <f>'Age by income band distribution'!B142</f>
        <v>10</v>
      </c>
      <c r="S139">
        <f>'Age by income band distribution'!C142</f>
        <v>0</v>
      </c>
      <c r="T139">
        <f>'Age by income band distribution'!D142+'Age by income band distribution'!E142</f>
        <v>30</v>
      </c>
      <c r="U139">
        <f>'Age by income band distribution'!F142+'Age by income band distribution'!G142</f>
        <v>1020</v>
      </c>
      <c r="V139">
        <f>'Age by income band distribution'!H142+'Age by income band distribution'!I142</f>
        <v>1720</v>
      </c>
      <c r="W139">
        <f>'Age by income band distribution'!J142+'Age by income band distribution'!K142</f>
        <v>1660</v>
      </c>
      <c r="X139">
        <f>'Age by income band distribution'!L142+'Age by income band distribution'!M142</f>
        <v>1250</v>
      </c>
      <c r="Y139">
        <f>'Age by income band distribution'!N142+'Age by income band distribution'!O142+'Age by income band distribution'!P142</f>
        <v>820</v>
      </c>
    </row>
    <row r="140" spans="1:25" x14ac:dyDescent="0.2">
      <c r="A140" s="50">
        <v>137000</v>
      </c>
      <c r="B140" s="1">
        <f>'Income tables 2001-24'!K146</f>
        <v>460</v>
      </c>
      <c r="C140" s="1">
        <f>'Income tables 2001-24'!AP146</f>
        <v>2000</v>
      </c>
      <c r="D140" s="1">
        <f>'Income tables 2001-24'!BR146</f>
        <v>4920</v>
      </c>
      <c r="E140" s="1">
        <f>'Income tables 2001-24'!BU146</f>
        <v>6100</v>
      </c>
      <c r="F140" s="52">
        <f>'Income tables 2001-24'!L146</f>
        <v>62.8</v>
      </c>
      <c r="G140" s="52">
        <f>'Income tables 2001-24'!AQ146</f>
        <v>273</v>
      </c>
      <c r="H140" s="52">
        <f>'Income tables 2001-24'!BS146</f>
        <v>671.15</v>
      </c>
      <c r="I140" s="52">
        <f>'Income tables 2001-24'!BV146</f>
        <v>832.92</v>
      </c>
      <c r="J140" s="52">
        <f>'Income tables 2001-24'!M146</f>
        <v>20.5</v>
      </c>
      <c r="K140" s="52">
        <f>'Income tables 2001-24'!AR146</f>
        <v>71.900000000000006</v>
      </c>
      <c r="L140" s="52">
        <f>'Income tables 2001-24'!BT146</f>
        <v>176.83326086000002</v>
      </c>
      <c r="M140" s="52">
        <f>'Income tables 2001-24'!BW146</f>
        <v>219.45850368000001</v>
      </c>
      <c r="Q140" t="s">
        <v>173</v>
      </c>
      <c r="R140">
        <f>'Age by income band distribution'!B143</f>
        <v>10</v>
      </c>
      <c r="S140">
        <f>'Age by income band distribution'!C143</f>
        <v>0</v>
      </c>
      <c r="T140">
        <f>'Age by income band distribution'!D143+'Age by income band distribution'!E143</f>
        <v>40</v>
      </c>
      <c r="U140">
        <f>'Age by income band distribution'!F143+'Age by income band distribution'!G143</f>
        <v>1010</v>
      </c>
      <c r="V140">
        <f>'Age by income band distribution'!H143+'Age by income band distribution'!I143</f>
        <v>1740</v>
      </c>
      <c r="W140">
        <f>'Age by income band distribution'!J143+'Age by income band distribution'!K143</f>
        <v>1620</v>
      </c>
      <c r="X140">
        <f>'Age by income band distribution'!L143+'Age by income band distribution'!M143</f>
        <v>1250</v>
      </c>
      <c r="Y140">
        <f>'Age by income band distribution'!N143+'Age by income band distribution'!O143+'Age by income band distribution'!P143</f>
        <v>730</v>
      </c>
    </row>
    <row r="141" spans="1:25" x14ac:dyDescent="0.2">
      <c r="A141" s="50">
        <v>138000</v>
      </c>
      <c r="B141" s="1">
        <f>'Income tables 2001-24'!K147</f>
        <v>520</v>
      </c>
      <c r="C141" s="1">
        <f>'Income tables 2001-24'!AP147</f>
        <v>1520</v>
      </c>
      <c r="D141" s="1">
        <f>'Income tables 2001-24'!BR147</f>
        <v>4860</v>
      </c>
      <c r="E141" s="1">
        <f>'Income tables 2001-24'!BU147</f>
        <v>5930</v>
      </c>
      <c r="F141" s="52">
        <f>'Income tables 2001-24'!L147</f>
        <v>71.5</v>
      </c>
      <c r="G141" s="52">
        <f>'Income tables 2001-24'!AQ147</f>
        <v>209</v>
      </c>
      <c r="H141" s="52">
        <f>'Income tables 2001-24'!BS147</f>
        <v>667.98</v>
      </c>
      <c r="I141" s="52">
        <f>'Income tables 2001-24'!BV147</f>
        <v>815.5</v>
      </c>
      <c r="J141" s="52">
        <f>'Income tables 2001-24'!M147</f>
        <v>23.3</v>
      </c>
      <c r="K141" s="52">
        <f>'Income tables 2001-24'!AR147</f>
        <v>55.2</v>
      </c>
      <c r="L141" s="52">
        <f>'Income tables 2001-24'!BT147</f>
        <v>176.32392347000001</v>
      </c>
      <c r="M141" s="52">
        <f>'Income tables 2001-24'!BW147</f>
        <v>215.26030645</v>
      </c>
      <c r="Q141" t="s">
        <v>174</v>
      </c>
      <c r="R141">
        <f>'Age by income band distribution'!B144</f>
        <v>10</v>
      </c>
      <c r="S141">
        <f>'Age by income band distribution'!C144</f>
        <v>0</v>
      </c>
      <c r="T141">
        <f>'Age by income band distribution'!D144+'Age by income band distribution'!E144</f>
        <v>20</v>
      </c>
      <c r="U141">
        <f>'Age by income band distribution'!F144+'Age by income band distribution'!G144</f>
        <v>950</v>
      </c>
      <c r="V141">
        <f>'Age by income band distribution'!H144+'Age by income band distribution'!I144</f>
        <v>1650</v>
      </c>
      <c r="W141">
        <f>'Age by income band distribution'!J144+'Age by income band distribution'!K144</f>
        <v>1500</v>
      </c>
      <c r="X141">
        <f>'Age by income band distribution'!L144+'Age by income band distribution'!M144</f>
        <v>1270</v>
      </c>
      <c r="Y141">
        <f>'Age by income band distribution'!N144+'Age by income band distribution'!O144+'Age by income band distribution'!P144</f>
        <v>710</v>
      </c>
    </row>
    <row r="142" spans="1:25" x14ac:dyDescent="0.2">
      <c r="A142" s="50">
        <v>139000</v>
      </c>
      <c r="B142" s="1">
        <f>'Income tables 2001-24'!K148</f>
        <v>590</v>
      </c>
      <c r="C142" s="1">
        <f>'Income tables 2001-24'!AP148</f>
        <v>1360</v>
      </c>
      <c r="D142" s="1">
        <f>'Income tables 2001-24'!BR148</f>
        <v>4830</v>
      </c>
      <c r="E142" s="1">
        <f>'Income tables 2001-24'!BU148</f>
        <v>5760</v>
      </c>
      <c r="F142" s="52">
        <f>'Income tables 2001-24'!L148</f>
        <v>81.7</v>
      </c>
      <c r="G142" s="52">
        <f>'Income tables 2001-24'!AQ148</f>
        <v>188.4</v>
      </c>
      <c r="H142" s="52">
        <f>'Income tables 2001-24'!BS148</f>
        <v>668.28</v>
      </c>
      <c r="I142" s="52">
        <f>'Income tables 2001-24'!BV148</f>
        <v>798.02</v>
      </c>
      <c r="J142" s="52">
        <f>'Income tables 2001-24'!M148</f>
        <v>26.7</v>
      </c>
      <c r="K142" s="52">
        <f>'Income tables 2001-24'!AR148</f>
        <v>49.8</v>
      </c>
      <c r="L142" s="52">
        <f>'Income tables 2001-24'!BT148</f>
        <v>176.7206587</v>
      </c>
      <c r="M142" s="52">
        <f>'Income tables 2001-24'!BW148</f>
        <v>211.02710668</v>
      </c>
      <c r="Q142" t="s">
        <v>175</v>
      </c>
      <c r="R142">
        <f>'Age by income band distribution'!B145</f>
        <v>10</v>
      </c>
      <c r="S142">
        <f>'Age by income band distribution'!C145</f>
        <v>0</v>
      </c>
      <c r="T142">
        <f>'Age by income band distribution'!D145+'Age by income band distribution'!E145</f>
        <v>20</v>
      </c>
      <c r="U142">
        <f>'Age by income band distribution'!F145+'Age by income band distribution'!G145</f>
        <v>890</v>
      </c>
      <c r="V142">
        <f>'Age by income band distribution'!H145+'Age by income band distribution'!I145</f>
        <v>1600</v>
      </c>
      <c r="W142">
        <f>'Age by income band distribution'!J145+'Age by income band distribution'!K145</f>
        <v>1530</v>
      </c>
      <c r="X142">
        <f>'Age by income band distribution'!L145+'Age by income band distribution'!M145</f>
        <v>1240</v>
      </c>
      <c r="Y142">
        <f>'Age by income band distribution'!N145+'Age by income band distribution'!O145+'Age by income band distribution'!P145</f>
        <v>640</v>
      </c>
    </row>
    <row r="143" spans="1:25" x14ac:dyDescent="0.2">
      <c r="A143" s="50">
        <v>140000</v>
      </c>
      <c r="B143" s="1">
        <f>'Income tables 2001-24'!K149</f>
        <v>920</v>
      </c>
      <c r="C143" s="1">
        <f>'Income tables 2001-24'!AP149</f>
        <v>1700</v>
      </c>
      <c r="D143" s="1">
        <f>'Income tables 2001-24'!BR149</f>
        <v>4590</v>
      </c>
      <c r="E143" s="1">
        <f>'Income tables 2001-24'!BU149</f>
        <v>5760</v>
      </c>
      <c r="F143" s="52">
        <f>'Income tables 2001-24'!L149</f>
        <v>128.4</v>
      </c>
      <c r="G143" s="52">
        <f>'Income tables 2001-24'!AQ149</f>
        <v>237.2</v>
      </c>
      <c r="H143" s="52">
        <f>'Income tables 2001-24'!BS149</f>
        <v>639.94000000000005</v>
      </c>
      <c r="I143" s="52">
        <f>'Income tables 2001-24'!BV149</f>
        <v>803.53</v>
      </c>
      <c r="J143" s="52">
        <f>'Income tables 2001-24'!M149</f>
        <v>42</v>
      </c>
      <c r="K143" s="52">
        <f>'Income tables 2001-24'!AR149</f>
        <v>62.9</v>
      </c>
      <c r="L143" s="52">
        <f>'Income tables 2001-24'!BT149</f>
        <v>169.5299555</v>
      </c>
      <c r="M143" s="52">
        <f>'Income tables 2001-24'!BW149</f>
        <v>212.86548277</v>
      </c>
      <c r="Q143" t="s">
        <v>176</v>
      </c>
      <c r="R143">
        <f>'Age by income band distribution'!B146</f>
        <v>0</v>
      </c>
      <c r="S143">
        <f>'Age by income band distribution'!C146</f>
        <v>0</v>
      </c>
      <c r="T143">
        <f>'Age by income band distribution'!D146+'Age by income band distribution'!E146</f>
        <v>20</v>
      </c>
      <c r="U143">
        <f>'Age by income band distribution'!F146+'Age by income band distribution'!G146</f>
        <v>860</v>
      </c>
      <c r="V143">
        <f>'Age by income band distribution'!H146+'Age by income band distribution'!I146</f>
        <v>1540</v>
      </c>
      <c r="W143">
        <f>'Age by income band distribution'!J146+'Age by income band distribution'!K146</f>
        <v>1530</v>
      </c>
      <c r="X143">
        <f>'Age by income band distribution'!L146+'Age by income band distribution'!M146</f>
        <v>1140</v>
      </c>
      <c r="Y143">
        <f>'Age by income band distribution'!N146+'Age by income band distribution'!O146+'Age by income band distribution'!P146</f>
        <v>680</v>
      </c>
    </row>
    <row r="144" spans="1:25" x14ac:dyDescent="0.2">
      <c r="A144" s="50">
        <v>141000</v>
      </c>
      <c r="B144" s="1">
        <f>'Income tables 2001-24'!K150</f>
        <v>460</v>
      </c>
      <c r="C144" s="1">
        <f>'Income tables 2001-24'!AP150</f>
        <v>1860</v>
      </c>
      <c r="D144" s="1">
        <f>'Income tables 2001-24'!BR150</f>
        <v>4750</v>
      </c>
      <c r="E144" s="1">
        <f>'Income tables 2001-24'!BU150</f>
        <v>6060</v>
      </c>
      <c r="F144" s="52">
        <f>'Income tables 2001-24'!L150</f>
        <v>64.599999999999994</v>
      </c>
      <c r="G144" s="52">
        <f>'Income tables 2001-24'!AQ150</f>
        <v>261.39999999999998</v>
      </c>
      <c r="H144" s="52">
        <f>'Income tables 2001-24'!BS150</f>
        <v>667.38</v>
      </c>
      <c r="I144" s="52">
        <f>'Income tables 2001-24'!BV150</f>
        <v>850.72</v>
      </c>
      <c r="J144" s="52">
        <f>'Income tables 2001-24'!M150</f>
        <v>21.2</v>
      </c>
      <c r="K144" s="52">
        <f>'Income tables 2001-24'!AR150</f>
        <v>69.400000000000006</v>
      </c>
      <c r="L144" s="52">
        <f>'Income tables 2001-24'!BT150</f>
        <v>177.09561052999999</v>
      </c>
      <c r="M144" s="52">
        <f>'Income tables 2001-24'!BW150</f>
        <v>225.74963363000001</v>
      </c>
      <c r="Q144" t="s">
        <v>177</v>
      </c>
      <c r="R144">
        <f>'Age by income band distribution'!B147</f>
        <v>10</v>
      </c>
      <c r="S144">
        <f>'Age by income band distribution'!C147</f>
        <v>0</v>
      </c>
      <c r="T144">
        <f>'Age by income band distribution'!D147+'Age by income band distribution'!E147</f>
        <v>20</v>
      </c>
      <c r="U144">
        <f>'Age by income band distribution'!F147+'Age by income band distribution'!G147</f>
        <v>910</v>
      </c>
      <c r="V144">
        <f>'Age by income band distribution'!H147+'Age by income band distribution'!I147</f>
        <v>1580</v>
      </c>
      <c r="W144">
        <f>'Age by income band distribution'!J147+'Age by income band distribution'!K147</f>
        <v>1430</v>
      </c>
      <c r="X144">
        <f>'Age by income band distribution'!L147+'Age by income band distribution'!M147</f>
        <v>1150</v>
      </c>
      <c r="Y144">
        <f>'Age by income band distribution'!N147+'Age by income band distribution'!O147+'Age by income band distribution'!P147</f>
        <v>650</v>
      </c>
    </row>
    <row r="145" spans="1:25" x14ac:dyDescent="0.2">
      <c r="A145" s="50">
        <v>142000</v>
      </c>
      <c r="B145" s="1">
        <f>'Income tables 2001-24'!K151</f>
        <v>500</v>
      </c>
      <c r="C145" s="1">
        <f>'Income tables 2001-24'!AP151</f>
        <v>1540</v>
      </c>
      <c r="D145" s="1">
        <f>'Income tables 2001-24'!BR151</f>
        <v>4500</v>
      </c>
      <c r="E145" s="1">
        <f>'Income tables 2001-24'!BU151</f>
        <v>5470</v>
      </c>
      <c r="F145" s="52">
        <f>'Income tables 2001-24'!L151</f>
        <v>70.7</v>
      </c>
      <c r="G145" s="52">
        <f>'Income tables 2001-24'!AQ151</f>
        <v>218</v>
      </c>
      <c r="H145" s="52">
        <f>'Income tables 2001-24'!BS151</f>
        <v>636.73</v>
      </c>
      <c r="I145" s="52">
        <f>'Income tables 2001-24'!BV151</f>
        <v>774.55</v>
      </c>
      <c r="J145" s="52">
        <f>'Income tables 2001-24'!M151</f>
        <v>23.2</v>
      </c>
      <c r="K145" s="52">
        <f>'Income tables 2001-24'!AR151</f>
        <v>58</v>
      </c>
      <c r="L145" s="52">
        <f>'Income tables 2001-24'!BT151</f>
        <v>169.25984675999999</v>
      </c>
      <c r="M145" s="52">
        <f>'Income tables 2001-24'!BW151</f>
        <v>205.89763063999999</v>
      </c>
      <c r="Q145" t="s">
        <v>178</v>
      </c>
      <c r="R145">
        <f>'Age by income band distribution'!B148</f>
        <v>10</v>
      </c>
      <c r="S145">
        <f>'Age by income band distribution'!C148</f>
        <v>0</v>
      </c>
      <c r="T145">
        <f>'Age by income band distribution'!D148+'Age by income band distribution'!E148</f>
        <v>20</v>
      </c>
      <c r="U145">
        <f>'Age by income band distribution'!F148+'Age by income band distribution'!G148</f>
        <v>960</v>
      </c>
      <c r="V145">
        <f>'Age by income band distribution'!H148+'Age by income band distribution'!I148</f>
        <v>1660</v>
      </c>
      <c r="W145">
        <f>'Age by income band distribution'!J148+'Age by income band distribution'!K148</f>
        <v>1560</v>
      </c>
      <c r="X145">
        <f>'Age by income band distribution'!L148+'Age by income band distribution'!M148</f>
        <v>1160</v>
      </c>
      <c r="Y145">
        <f>'Age by income band distribution'!N148+'Age by income band distribution'!O148+'Age by income band distribution'!P148</f>
        <v>690</v>
      </c>
    </row>
    <row r="146" spans="1:25" x14ac:dyDescent="0.2">
      <c r="A146" s="50">
        <v>143000</v>
      </c>
      <c r="B146" s="1">
        <f>'Income tables 2001-24'!K152</f>
        <v>400</v>
      </c>
      <c r="C146" s="1">
        <f>'Income tables 2001-24'!AP152</f>
        <v>1490</v>
      </c>
      <c r="D146" s="1">
        <f>'Income tables 2001-24'!BR152</f>
        <v>4320</v>
      </c>
      <c r="E146" s="1">
        <f>'Income tables 2001-24'!BU152</f>
        <v>5290</v>
      </c>
      <c r="F146" s="52">
        <f>'Income tables 2001-24'!L152</f>
        <v>57</v>
      </c>
      <c r="G146" s="52">
        <f>'Income tables 2001-24'!AQ152</f>
        <v>212.4</v>
      </c>
      <c r="H146" s="52">
        <f>'Income tables 2001-24'!BS152</f>
        <v>614.88</v>
      </c>
      <c r="I146" s="52">
        <f>'Income tables 2001-24'!BV152</f>
        <v>754.22</v>
      </c>
      <c r="J146" s="52">
        <f>'Income tables 2001-24'!M152</f>
        <v>18.7</v>
      </c>
      <c r="K146" s="52">
        <f>'Income tables 2001-24'!AR152</f>
        <v>56.5</v>
      </c>
      <c r="L146" s="52">
        <f>'Income tables 2001-24'!BT152</f>
        <v>163.72929636000001</v>
      </c>
      <c r="M146" s="52">
        <f>'Income tables 2001-24'!BW152</f>
        <v>200.83231462000001</v>
      </c>
      <c r="Q146" t="s">
        <v>179</v>
      </c>
      <c r="R146">
        <f>'Age by income band distribution'!B149</f>
        <v>10</v>
      </c>
      <c r="S146">
        <f>'Age by income band distribution'!C149</f>
        <v>0</v>
      </c>
      <c r="T146">
        <f>'Age by income band distribution'!D149+'Age by income band distribution'!E149</f>
        <v>30</v>
      </c>
      <c r="U146">
        <f>'Age by income band distribution'!F149+'Age by income band distribution'!G149</f>
        <v>800</v>
      </c>
      <c r="V146">
        <f>'Age by income band distribution'!H149+'Age by income band distribution'!I149</f>
        <v>1560</v>
      </c>
      <c r="W146">
        <f>'Age by income band distribution'!J149+'Age by income band distribution'!K149</f>
        <v>1370</v>
      </c>
      <c r="X146">
        <f>'Age by income band distribution'!L149+'Age by income band distribution'!M149</f>
        <v>1100</v>
      </c>
      <c r="Y146">
        <f>'Age by income band distribution'!N149+'Age by income band distribution'!O149+'Age by income band distribution'!P149</f>
        <v>620</v>
      </c>
    </row>
    <row r="147" spans="1:25" x14ac:dyDescent="0.2">
      <c r="A147" s="50">
        <v>144000</v>
      </c>
      <c r="B147" s="1">
        <f>'Income tables 2001-24'!K153</f>
        <v>310</v>
      </c>
      <c r="C147" s="1">
        <f>'Income tables 2001-24'!AP153</f>
        <v>1850</v>
      </c>
      <c r="D147" s="1">
        <f>'Income tables 2001-24'!BR153</f>
        <v>4030</v>
      </c>
      <c r="E147" s="1">
        <f>'Income tables 2001-24'!BU153</f>
        <v>5240</v>
      </c>
      <c r="F147" s="52">
        <f>'Income tables 2001-24'!L153</f>
        <v>44.5</v>
      </c>
      <c r="G147" s="52">
        <f>'Income tables 2001-24'!AQ153</f>
        <v>265.5</v>
      </c>
      <c r="H147" s="52">
        <f>'Income tables 2001-24'!BS153</f>
        <v>578.46</v>
      </c>
      <c r="I147" s="52">
        <f>'Income tables 2001-24'!BV153</f>
        <v>751.93</v>
      </c>
      <c r="J147" s="52">
        <f>'Income tables 2001-24'!M153</f>
        <v>14.6</v>
      </c>
      <c r="K147" s="52">
        <f>'Income tables 2001-24'!AR153</f>
        <v>70.8</v>
      </c>
      <c r="L147" s="52">
        <f>'Income tables 2001-24'!BT153</f>
        <v>154.29015230000002</v>
      </c>
      <c r="M147" s="52">
        <f>'Income tables 2001-24'!BW153</f>
        <v>200.55930786000002</v>
      </c>
      <c r="Q147" t="s">
        <v>180</v>
      </c>
      <c r="R147">
        <f>'Age by income band distribution'!B150</f>
        <v>10</v>
      </c>
      <c r="S147">
        <f>'Age by income band distribution'!C150</f>
        <v>0</v>
      </c>
      <c r="T147">
        <f>'Age by income band distribution'!D150+'Age by income band distribution'!E150</f>
        <v>20</v>
      </c>
      <c r="U147">
        <f>'Age by income band distribution'!F150+'Age by income band distribution'!G150</f>
        <v>770</v>
      </c>
      <c r="V147">
        <f>'Age by income band distribution'!H150+'Age by income band distribution'!I150</f>
        <v>1490</v>
      </c>
      <c r="W147">
        <f>'Age by income band distribution'!J150+'Age by income band distribution'!K150</f>
        <v>1340</v>
      </c>
      <c r="X147">
        <f>'Age by income band distribution'!L150+'Age by income band distribution'!M150</f>
        <v>1040</v>
      </c>
      <c r="Y147">
        <f>'Age by income band distribution'!N150+'Age by income band distribution'!O150+'Age by income band distribution'!P150</f>
        <v>610</v>
      </c>
    </row>
    <row r="148" spans="1:25" x14ac:dyDescent="0.2">
      <c r="A148" s="50">
        <v>145000</v>
      </c>
      <c r="B148" s="1">
        <f>'Income tables 2001-24'!K154</f>
        <v>450</v>
      </c>
      <c r="C148" s="1">
        <f>'Income tables 2001-24'!AP154</f>
        <v>1290</v>
      </c>
      <c r="D148" s="1">
        <f>'Income tables 2001-24'!BR154</f>
        <v>4140</v>
      </c>
      <c r="E148" s="1">
        <f>'Income tables 2001-24'!BU154</f>
        <v>5220</v>
      </c>
      <c r="F148" s="52">
        <f>'Income tables 2001-24'!L154</f>
        <v>65</v>
      </c>
      <c r="G148" s="52">
        <f>'Income tables 2001-24'!AQ154</f>
        <v>186.3</v>
      </c>
      <c r="H148" s="52">
        <f>'Income tables 2001-24'!BS154</f>
        <v>598.66999999999996</v>
      </c>
      <c r="I148" s="52">
        <f>'Income tables 2001-24'!BV154</f>
        <v>753.58</v>
      </c>
      <c r="J148" s="52">
        <f>'Income tables 2001-24'!M154</f>
        <v>21.4</v>
      </c>
      <c r="K148" s="52">
        <f>'Income tables 2001-24'!AR154</f>
        <v>49.8</v>
      </c>
      <c r="L148" s="52">
        <f>'Income tables 2001-24'!BT154</f>
        <v>159.94055665000002</v>
      </c>
      <c r="M148" s="52">
        <f>'Income tables 2001-24'!BW154</f>
        <v>201.32790514999999</v>
      </c>
      <c r="Q148" t="s">
        <v>181</v>
      </c>
      <c r="R148">
        <f>'Age by income band distribution'!B151</f>
        <v>10</v>
      </c>
      <c r="S148">
        <f>'Age by income band distribution'!C151</f>
        <v>0</v>
      </c>
      <c r="T148">
        <f>'Age by income band distribution'!D151+'Age by income band distribution'!E151</f>
        <v>10</v>
      </c>
      <c r="U148">
        <f>'Age by income band distribution'!F151+'Age by income band distribution'!G151</f>
        <v>800</v>
      </c>
      <c r="V148">
        <f>'Age by income band distribution'!H151+'Age by income band distribution'!I151</f>
        <v>1470</v>
      </c>
      <c r="W148">
        <f>'Age by income band distribution'!J151+'Age by income band distribution'!K151</f>
        <v>1290</v>
      </c>
      <c r="X148">
        <f>'Age by income band distribution'!L151+'Age by income band distribution'!M151</f>
        <v>1060</v>
      </c>
      <c r="Y148">
        <f>'Age by income band distribution'!N151+'Age by income band distribution'!O151+'Age by income band distribution'!P151</f>
        <v>590</v>
      </c>
    </row>
    <row r="149" spans="1:25" x14ac:dyDescent="0.2">
      <c r="A149" s="50">
        <v>146000</v>
      </c>
      <c r="B149" s="1">
        <f>'Income tables 2001-24'!K155</f>
        <v>330</v>
      </c>
      <c r="C149" s="1">
        <f>'Income tables 2001-24'!AP155</f>
        <v>1390</v>
      </c>
      <c r="D149" s="1">
        <f>'Income tables 2001-24'!BR155</f>
        <v>4190</v>
      </c>
      <c r="E149" s="1">
        <f>'Income tables 2001-24'!BU155</f>
        <v>5100</v>
      </c>
      <c r="F149" s="52">
        <f>'Income tables 2001-24'!L155</f>
        <v>48</v>
      </c>
      <c r="G149" s="52">
        <f>'Income tables 2001-24'!AQ155</f>
        <v>202.2</v>
      </c>
      <c r="H149" s="52">
        <f>'Income tables 2001-24'!BS155</f>
        <v>609.9</v>
      </c>
      <c r="I149" s="52">
        <f>'Income tables 2001-24'!BV155</f>
        <v>742.43</v>
      </c>
      <c r="J149" s="52">
        <f>'Income tables 2001-24'!M155</f>
        <v>15.8</v>
      </c>
      <c r="K149" s="52">
        <f>'Income tables 2001-24'!AR155</f>
        <v>54.1</v>
      </c>
      <c r="L149" s="52">
        <f>'Income tables 2001-24'!BT155</f>
        <v>163.20271964</v>
      </c>
      <c r="M149" s="52">
        <f>'Income tables 2001-24'!BW155</f>
        <v>198.6656691</v>
      </c>
      <c r="Q149" t="s">
        <v>182</v>
      </c>
      <c r="R149">
        <f>'Age by income band distribution'!B152</f>
        <v>10</v>
      </c>
      <c r="S149">
        <f>'Age by income band distribution'!C152</f>
        <v>0</v>
      </c>
      <c r="T149">
        <f>'Age by income band distribution'!D152+'Age by income band distribution'!E152</f>
        <v>20</v>
      </c>
      <c r="U149">
        <f>'Age by income band distribution'!F152+'Age by income band distribution'!G152</f>
        <v>750</v>
      </c>
      <c r="V149">
        <f>'Age by income band distribution'!H152+'Age by income band distribution'!I152</f>
        <v>1410</v>
      </c>
      <c r="W149">
        <f>'Age by income band distribution'!J152+'Age by income band distribution'!K152</f>
        <v>1390</v>
      </c>
      <c r="X149">
        <f>'Age by income band distribution'!L152+'Age by income band distribution'!M152</f>
        <v>1050</v>
      </c>
      <c r="Y149">
        <f>'Age by income band distribution'!N152+'Age by income band distribution'!O152+'Age by income band distribution'!P152</f>
        <v>590</v>
      </c>
    </row>
    <row r="150" spans="1:25" x14ac:dyDescent="0.2">
      <c r="A150" s="50">
        <v>147000</v>
      </c>
      <c r="B150" s="1">
        <f>'Income tables 2001-24'!K156</f>
        <v>400</v>
      </c>
      <c r="C150" s="1">
        <f>'Income tables 2001-24'!AP156</f>
        <v>1590</v>
      </c>
      <c r="D150" s="1">
        <f>'Income tables 2001-24'!BR156</f>
        <v>3920</v>
      </c>
      <c r="E150" s="1">
        <f>'Income tables 2001-24'!BU156</f>
        <v>5000</v>
      </c>
      <c r="F150" s="52">
        <f>'Income tables 2001-24'!L156</f>
        <v>58.6</v>
      </c>
      <c r="G150" s="52">
        <f>'Income tables 2001-24'!AQ156</f>
        <v>233</v>
      </c>
      <c r="H150" s="52">
        <f>'Income tables 2001-24'!BS156</f>
        <v>574.13</v>
      </c>
      <c r="I150" s="52">
        <f>'Income tables 2001-24'!BV156</f>
        <v>732.78</v>
      </c>
      <c r="J150" s="52">
        <f>'Income tables 2001-24'!M156</f>
        <v>19.399999999999999</v>
      </c>
      <c r="K150" s="52">
        <f>'Income tables 2001-24'!AR156</f>
        <v>62.5</v>
      </c>
      <c r="L150" s="52">
        <f>'Income tables 2001-24'!BT156</f>
        <v>153.87737652000001</v>
      </c>
      <c r="M150" s="52">
        <f>'Income tables 2001-24'!BW156</f>
        <v>196.39825380000002</v>
      </c>
      <c r="Q150" t="s">
        <v>183</v>
      </c>
      <c r="R150">
        <f>'Age by income band distribution'!B153</f>
        <v>10</v>
      </c>
      <c r="S150">
        <f>'Age by income band distribution'!C153</f>
        <v>0</v>
      </c>
      <c r="T150">
        <f>'Age by income band distribution'!D153+'Age by income band distribution'!E153</f>
        <v>20</v>
      </c>
      <c r="U150">
        <f>'Age by income band distribution'!F153+'Age by income band distribution'!G153</f>
        <v>730</v>
      </c>
      <c r="V150">
        <f>'Age by income band distribution'!H153+'Age by income band distribution'!I153</f>
        <v>1460</v>
      </c>
      <c r="W150">
        <f>'Age by income band distribution'!J153+'Age by income band distribution'!K153</f>
        <v>1370</v>
      </c>
      <c r="X150">
        <f>'Age by income band distribution'!L153+'Age by income band distribution'!M153</f>
        <v>1000</v>
      </c>
      <c r="Y150">
        <f>'Age by income band distribution'!N153+'Age by income band distribution'!O153+'Age by income band distribution'!P153</f>
        <v>530</v>
      </c>
    </row>
    <row r="151" spans="1:25" x14ac:dyDescent="0.2">
      <c r="A151" s="50">
        <v>148000</v>
      </c>
      <c r="B151" s="1">
        <f>'Income tables 2001-24'!K157</f>
        <v>470</v>
      </c>
      <c r="C151" s="1">
        <f>'Income tables 2001-24'!AP157</f>
        <v>1530</v>
      </c>
      <c r="D151" s="1">
        <f>'Income tables 2001-24'!BR157</f>
        <v>3960</v>
      </c>
      <c r="E151" s="1">
        <f>'Income tables 2001-24'!BU157</f>
        <v>4780</v>
      </c>
      <c r="F151" s="52">
        <f>'Income tables 2001-24'!L157</f>
        <v>69.400000000000006</v>
      </c>
      <c r="G151" s="52">
        <f>'Income tables 2001-24'!AQ157</f>
        <v>225.8</v>
      </c>
      <c r="H151" s="52">
        <f>'Income tables 2001-24'!BS157</f>
        <v>583.78</v>
      </c>
      <c r="I151" s="52">
        <f>'Income tables 2001-24'!BV157</f>
        <v>704.88</v>
      </c>
      <c r="J151" s="52">
        <f>'Income tables 2001-24'!M157</f>
        <v>22.9</v>
      </c>
      <c r="K151" s="52">
        <f>'Income tables 2001-24'!AR157</f>
        <v>60.6</v>
      </c>
      <c r="L151" s="52">
        <f>'Income tables 2001-24'!BT157</f>
        <v>156.70928067</v>
      </c>
      <c r="M151" s="52">
        <f>'Income tables 2001-24'!BW157</f>
        <v>189.21551159000001</v>
      </c>
      <c r="Q151" t="s">
        <v>184</v>
      </c>
      <c r="R151">
        <f>'Age by income band distribution'!B154</f>
        <v>0</v>
      </c>
      <c r="S151">
        <f>'Age by income band distribution'!C154</f>
        <v>0</v>
      </c>
      <c r="T151">
        <f>'Age by income band distribution'!D154+'Age by income band distribution'!E154</f>
        <v>10</v>
      </c>
      <c r="U151">
        <f>'Age by income band distribution'!F154+'Age by income band distribution'!G154</f>
        <v>720</v>
      </c>
      <c r="V151">
        <f>'Age by income band distribution'!H154+'Age by income band distribution'!I154</f>
        <v>1440</v>
      </c>
      <c r="W151">
        <f>'Age by income band distribution'!J154+'Age by income band distribution'!K154</f>
        <v>1310</v>
      </c>
      <c r="X151">
        <f>'Age by income band distribution'!L154+'Age by income band distribution'!M154</f>
        <v>970</v>
      </c>
      <c r="Y151">
        <f>'Age by income band distribution'!N154+'Age by income band distribution'!O154+'Age by income band distribution'!P154</f>
        <v>550</v>
      </c>
    </row>
    <row r="152" spans="1:25" x14ac:dyDescent="0.2">
      <c r="A152" s="50">
        <v>149000</v>
      </c>
      <c r="B152" s="1">
        <f>'Income tables 2001-24'!K158</f>
        <v>360</v>
      </c>
      <c r="C152" s="1">
        <f>'Income tables 2001-24'!AP158</f>
        <v>1500</v>
      </c>
      <c r="D152" s="1">
        <f>'Income tables 2001-24'!BR158</f>
        <v>3850</v>
      </c>
      <c r="E152" s="1">
        <f>'Income tables 2001-24'!BU158</f>
        <v>4530</v>
      </c>
      <c r="F152" s="52">
        <f>'Income tables 2001-24'!L158</f>
        <v>53.4</v>
      </c>
      <c r="G152" s="52">
        <f>'Income tables 2001-24'!AQ158</f>
        <v>222.7</v>
      </c>
      <c r="H152" s="52">
        <f>'Income tables 2001-24'!BS158</f>
        <v>572</v>
      </c>
      <c r="I152" s="52">
        <f>'Income tables 2001-24'!BV158</f>
        <v>673.15</v>
      </c>
      <c r="J152" s="52">
        <f>'Income tables 2001-24'!M158</f>
        <v>17.7</v>
      </c>
      <c r="K152" s="52">
        <f>'Income tables 2001-24'!AR158</f>
        <v>59.9</v>
      </c>
      <c r="L152" s="52">
        <f>'Income tables 2001-24'!BT158</f>
        <v>153.78115912999999</v>
      </c>
      <c r="M152" s="52">
        <f>'Income tables 2001-24'!BW158</f>
        <v>180.98049481000001</v>
      </c>
      <c r="Q152" t="s">
        <v>185</v>
      </c>
      <c r="R152">
        <f>'Age by income band distribution'!B155</f>
        <v>10</v>
      </c>
      <c r="S152">
        <f>'Age by income band distribution'!C155</f>
        <v>0</v>
      </c>
      <c r="T152">
        <f>'Age by income band distribution'!D155+'Age by income band distribution'!E155</f>
        <v>10</v>
      </c>
      <c r="U152">
        <f>'Age by income band distribution'!F155+'Age by income band distribution'!G155</f>
        <v>680</v>
      </c>
      <c r="V152">
        <f>'Age by income band distribution'!H155+'Age by income band distribution'!I155</f>
        <v>1260</v>
      </c>
      <c r="W152">
        <f>'Age by income band distribution'!J155+'Age by income band distribution'!K155</f>
        <v>1300</v>
      </c>
      <c r="X152">
        <f>'Age by income band distribution'!L155+'Age by income band distribution'!M155</f>
        <v>990</v>
      </c>
      <c r="Y152">
        <f>'Age by income band distribution'!N155+'Age by income band distribution'!O155+'Age by income band distribution'!P155</f>
        <v>540</v>
      </c>
    </row>
    <row r="153" spans="1:25" x14ac:dyDescent="0.2">
      <c r="A153" s="50">
        <v>150000</v>
      </c>
      <c r="B153" s="1">
        <f>'Income tables 2001-24'!K159</f>
        <v>210</v>
      </c>
      <c r="C153" s="1">
        <f>'Income tables 2001-24'!AP159</f>
        <v>1750</v>
      </c>
      <c r="D153" s="1">
        <f>'Income tables 2001-24'!BR159</f>
        <v>3980</v>
      </c>
      <c r="E153" s="1">
        <f>'Income tables 2001-24'!BU159</f>
        <v>4920</v>
      </c>
      <c r="F153" s="52">
        <f>'Income tables 2001-24'!L159</f>
        <v>31.4</v>
      </c>
      <c r="G153" s="52">
        <f>'Income tables 2001-24'!AQ159</f>
        <v>261.8</v>
      </c>
      <c r="H153" s="52">
        <f>'Income tables 2001-24'!BS159</f>
        <v>594.99</v>
      </c>
      <c r="I153" s="52">
        <f>'Income tables 2001-24'!BV159</f>
        <v>735.2</v>
      </c>
      <c r="J153" s="52">
        <f>'Income tables 2001-24'!M159</f>
        <v>10.4</v>
      </c>
      <c r="K153" s="52">
        <f>'Income tables 2001-24'!AR159</f>
        <v>70.5</v>
      </c>
      <c r="L153" s="52">
        <f>'Income tables 2001-24'!BT159</f>
        <v>160.21589902000002</v>
      </c>
      <c r="M153" s="52">
        <f>'Income tables 2001-24'!BW159</f>
        <v>197.97037315</v>
      </c>
      <c r="Q153" t="s">
        <v>186</v>
      </c>
      <c r="R153">
        <f>'Age by income band distribution'!B156</f>
        <v>10</v>
      </c>
      <c r="S153">
        <f>'Age by income band distribution'!C156</f>
        <v>0</v>
      </c>
      <c r="T153">
        <f>'Age by income band distribution'!D156+'Age by income band distribution'!E156</f>
        <v>20</v>
      </c>
      <c r="U153">
        <f>'Age by income band distribution'!F156+'Age by income band distribution'!G156</f>
        <v>640</v>
      </c>
      <c r="V153">
        <f>'Age by income band distribution'!H156+'Age by income band distribution'!I156</f>
        <v>1280</v>
      </c>
      <c r="W153">
        <f>'Age by income band distribution'!J156+'Age by income band distribution'!K156</f>
        <v>1180</v>
      </c>
      <c r="X153">
        <f>'Age by income band distribution'!L156+'Age by income band distribution'!M156</f>
        <v>880</v>
      </c>
      <c r="Y153">
        <f>'Age by income band distribution'!N156+'Age by income band distribution'!O156+'Age by income band distribution'!P156</f>
        <v>540</v>
      </c>
    </row>
    <row r="154" spans="1:25" x14ac:dyDescent="0.2">
      <c r="A154" s="50">
        <v>151000</v>
      </c>
      <c r="B154" s="1"/>
      <c r="C154" s="1">
        <f>'Income tables 2001-24'!AP160</f>
        <v>1280</v>
      </c>
      <c r="D154" s="1">
        <f>'Income tables 2001-24'!BR160</f>
        <v>4330</v>
      </c>
      <c r="E154" s="1">
        <f>'Income tables 2001-24'!BU160</f>
        <v>5240</v>
      </c>
      <c r="F154" s="52"/>
      <c r="G154" s="52">
        <f>'Income tables 2001-24'!AQ160</f>
        <v>192.6</v>
      </c>
      <c r="H154" s="52">
        <f>'Income tables 2001-24'!BS160</f>
        <v>651.26</v>
      </c>
      <c r="I154" s="52">
        <f>'Income tables 2001-24'!BV160</f>
        <v>788.69</v>
      </c>
      <c r="J154" s="52"/>
      <c r="K154" s="52">
        <f>'Income tables 2001-24'!AR160</f>
        <v>51.9</v>
      </c>
      <c r="L154" s="52">
        <f>'Income tables 2001-24'!BT160</f>
        <v>175.60983177</v>
      </c>
      <c r="M154" s="52">
        <f>'Income tables 2001-24'!BW160</f>
        <v>212.66935956999998</v>
      </c>
      <c r="Q154" t="s">
        <v>187</v>
      </c>
      <c r="R154">
        <f>'Age by income band distribution'!B157</f>
        <v>0</v>
      </c>
      <c r="S154">
        <f>'Age by income band distribution'!C157</f>
        <v>0</v>
      </c>
      <c r="T154">
        <f>'Age by income band distribution'!D157+'Age by income band distribution'!E157</f>
        <v>20</v>
      </c>
      <c r="U154">
        <f>'Age by income band distribution'!F157+'Age by income band distribution'!G157</f>
        <v>720</v>
      </c>
      <c r="V154">
        <f>'Age by income band distribution'!H157+'Age by income band distribution'!I157</f>
        <v>1360</v>
      </c>
      <c r="W154">
        <f>'Age by income band distribution'!J157+'Age by income band distribution'!K157</f>
        <v>1320</v>
      </c>
      <c r="X154">
        <f>'Age by income band distribution'!L157+'Age by income band distribution'!M157</f>
        <v>990</v>
      </c>
      <c r="Y154">
        <f>'Age by income band distribution'!N157+'Age by income band distribution'!O157+'Age by income band distribution'!P157</f>
        <v>510</v>
      </c>
    </row>
    <row r="155" spans="1:25" x14ac:dyDescent="0.2">
      <c r="A155" s="50">
        <v>152000</v>
      </c>
      <c r="B155" s="1"/>
      <c r="C155" s="1">
        <f>'Income tables 2001-24'!AP161</f>
        <v>1080</v>
      </c>
      <c r="D155" s="1">
        <f>'Income tables 2001-24'!BR161</f>
        <v>3520</v>
      </c>
      <c r="E155" s="1">
        <f>'Income tables 2001-24'!BU161</f>
        <v>4540</v>
      </c>
      <c r="F155" s="52"/>
      <c r="G155" s="52">
        <f>'Income tables 2001-24'!AQ161</f>
        <v>163.5</v>
      </c>
      <c r="H155" s="52">
        <f>'Income tables 2001-24'!BS161</f>
        <v>533.11</v>
      </c>
      <c r="I155" s="52">
        <f>'Income tables 2001-24'!BV161</f>
        <v>687.8</v>
      </c>
      <c r="J155" s="52"/>
      <c r="K155" s="52">
        <f>'Income tables 2001-24'!AR161</f>
        <v>44.2</v>
      </c>
      <c r="L155" s="52">
        <f>'Income tables 2001-24'!BT161</f>
        <v>143.97382986000002</v>
      </c>
      <c r="M155" s="52">
        <f>'Income tables 2001-24'!BW161</f>
        <v>185.74908912000001</v>
      </c>
      <c r="Q155" t="s">
        <v>189</v>
      </c>
      <c r="R155">
        <f>'Age by income band distribution'!B158</f>
        <v>10</v>
      </c>
      <c r="S155">
        <f>'Age by income band distribution'!C158</f>
        <v>0</v>
      </c>
      <c r="T155">
        <f>'Age by income band distribution'!D158+'Age by income band distribution'!E158</f>
        <v>20</v>
      </c>
      <c r="U155">
        <f>'Age by income band distribution'!F158+'Age by income band distribution'!G158</f>
        <v>650</v>
      </c>
      <c r="V155">
        <f>'Age by income band distribution'!H158+'Age by income band distribution'!I158</f>
        <v>1530</v>
      </c>
      <c r="W155">
        <f>'Age by income band distribution'!J158+'Age by income band distribution'!K158</f>
        <v>1430</v>
      </c>
      <c r="X155">
        <f>'Age by income band distribution'!L158+'Age by income band distribution'!M158</f>
        <v>1080</v>
      </c>
      <c r="Y155">
        <f>'Age by income band distribution'!N158+'Age by income band distribution'!O158+'Age by income band distribution'!P158</f>
        <v>540</v>
      </c>
    </row>
    <row r="156" spans="1:25" x14ac:dyDescent="0.2">
      <c r="A156" s="50">
        <v>153000</v>
      </c>
      <c r="B156" s="1"/>
      <c r="C156" s="1">
        <f>'Income tables 2001-24'!AP162</f>
        <v>1380</v>
      </c>
      <c r="D156" s="1">
        <f>'Income tables 2001-24'!BR162</f>
        <v>3490</v>
      </c>
      <c r="E156" s="1">
        <f>'Income tables 2001-24'!BU162</f>
        <v>4400</v>
      </c>
      <c r="F156" s="52"/>
      <c r="G156" s="52">
        <f>'Income tables 2001-24'!AQ162</f>
        <v>210.5</v>
      </c>
      <c r="H156" s="52">
        <f>'Income tables 2001-24'!BS162</f>
        <v>531.49</v>
      </c>
      <c r="I156" s="52">
        <f>'Income tables 2001-24'!BV162</f>
        <v>671.6</v>
      </c>
      <c r="J156" s="52"/>
      <c r="K156" s="52">
        <f>'Income tables 2001-24'!AR162</f>
        <v>56.9</v>
      </c>
      <c r="L156" s="52">
        <f>'Income tables 2001-24'!BT162</f>
        <v>143.74917238</v>
      </c>
      <c r="M156" s="52">
        <f>'Income tables 2001-24'!BW162</f>
        <v>181.63898641</v>
      </c>
      <c r="Q156" t="s">
        <v>191</v>
      </c>
      <c r="R156">
        <f>'Age by income band distribution'!B159</f>
        <v>10</v>
      </c>
      <c r="S156">
        <f>'Age by income band distribution'!C159</f>
        <v>0</v>
      </c>
      <c r="T156">
        <f>'Age by income band distribution'!D159+'Age by income band distribution'!E159</f>
        <v>10</v>
      </c>
      <c r="U156">
        <f>'Age by income band distribution'!F159+'Age by income band distribution'!G159</f>
        <v>610</v>
      </c>
      <c r="V156">
        <f>'Age by income band distribution'!H159+'Age by income band distribution'!I159</f>
        <v>1310</v>
      </c>
      <c r="W156">
        <f>'Age by income band distribution'!J159+'Age by income band distribution'!K159</f>
        <v>1120</v>
      </c>
      <c r="X156">
        <f>'Age by income band distribution'!L159+'Age by income band distribution'!M159</f>
        <v>980</v>
      </c>
      <c r="Y156">
        <f>'Age by income band distribution'!N159+'Age by income band distribution'!O159+'Age by income band distribution'!P159</f>
        <v>500</v>
      </c>
    </row>
    <row r="157" spans="1:25" x14ac:dyDescent="0.2">
      <c r="A157" s="50">
        <v>154000</v>
      </c>
      <c r="B157" s="1"/>
      <c r="C157" s="1">
        <f>'Income tables 2001-24'!AP163</f>
        <v>1290</v>
      </c>
      <c r="D157" s="1">
        <f>'Income tables 2001-24'!BR163</f>
        <v>3360</v>
      </c>
      <c r="E157" s="1">
        <f>'Income tables 2001-24'!BU163</f>
        <v>4270</v>
      </c>
      <c r="F157" s="52"/>
      <c r="G157" s="52">
        <f>'Income tables 2001-24'!AQ163</f>
        <v>198</v>
      </c>
      <c r="H157" s="52">
        <f>'Income tables 2001-24'!BS163</f>
        <v>515.75</v>
      </c>
      <c r="I157" s="52">
        <f>'Income tables 2001-24'!BV163</f>
        <v>655.44</v>
      </c>
      <c r="J157" s="52"/>
      <c r="K157" s="52">
        <f>'Income tables 2001-24'!AR163</f>
        <v>53.6</v>
      </c>
      <c r="L157" s="52">
        <f>'Income tables 2001-24'!BT163</f>
        <v>139.68706856999998</v>
      </c>
      <c r="M157" s="52">
        <f>'Income tables 2001-24'!BW163</f>
        <v>177.52509952</v>
      </c>
      <c r="Q157" t="s">
        <v>193</v>
      </c>
      <c r="R157">
        <f>'Age by income band distribution'!B160</f>
        <v>10</v>
      </c>
      <c r="S157">
        <f>'Age by income band distribution'!C160</f>
        <v>0</v>
      </c>
      <c r="T157">
        <f>'Age by income band distribution'!D160+'Age by income band distribution'!E160</f>
        <v>20</v>
      </c>
      <c r="U157">
        <f>'Age by income band distribution'!F160+'Age by income band distribution'!G160</f>
        <v>580</v>
      </c>
      <c r="V157">
        <f>'Age by income band distribution'!H160+'Age by income band distribution'!I160</f>
        <v>1240</v>
      </c>
      <c r="W157">
        <f>'Age by income band distribution'!J160+'Age by income band distribution'!K160</f>
        <v>1170</v>
      </c>
      <c r="X157">
        <f>'Age by income band distribution'!L160+'Age by income band distribution'!M160</f>
        <v>920</v>
      </c>
      <c r="Y157">
        <f>'Age by income band distribution'!N160+'Age by income band distribution'!O160+'Age by income band distribution'!P160</f>
        <v>480</v>
      </c>
    </row>
    <row r="158" spans="1:25" x14ac:dyDescent="0.2">
      <c r="A158" s="50">
        <v>155000</v>
      </c>
      <c r="B158" s="1"/>
      <c r="C158" s="1">
        <f>'Income tables 2001-24'!AP164</f>
        <v>860</v>
      </c>
      <c r="D158" s="1">
        <f>'Income tables 2001-24'!BR164</f>
        <v>3420</v>
      </c>
      <c r="E158" s="1">
        <f>'Income tables 2001-24'!BU164</f>
        <v>4100</v>
      </c>
      <c r="F158" s="52"/>
      <c r="G158" s="52">
        <f>'Income tables 2001-24'!AQ164</f>
        <v>132.9</v>
      </c>
      <c r="H158" s="52">
        <f>'Income tables 2001-24'!BS164</f>
        <v>528.23</v>
      </c>
      <c r="I158" s="52">
        <f>'Income tables 2001-24'!BV164</f>
        <v>634.07000000000005</v>
      </c>
      <c r="J158" s="52"/>
      <c r="K158" s="52">
        <f>'Income tables 2001-24'!AR164</f>
        <v>36</v>
      </c>
      <c r="L158" s="52">
        <f>'Income tables 2001-24'!BT164</f>
        <v>143.27133065000001</v>
      </c>
      <c r="M158" s="52">
        <f>'Income tables 2001-24'!BW164</f>
        <v>171.97887322999998</v>
      </c>
      <c r="Q158" t="s">
        <v>195</v>
      </c>
      <c r="R158">
        <f>'Age by income band distribution'!B161</f>
        <v>10</v>
      </c>
      <c r="S158">
        <f>'Age by income band distribution'!C161</f>
        <v>0</v>
      </c>
      <c r="T158">
        <f>'Age by income band distribution'!D161+'Age by income band distribution'!E161</f>
        <v>20</v>
      </c>
      <c r="U158">
        <f>'Age by income band distribution'!F161+'Age by income band distribution'!G161</f>
        <v>570</v>
      </c>
      <c r="V158">
        <f>'Age by income band distribution'!H161+'Age by income band distribution'!I161</f>
        <v>1150</v>
      </c>
      <c r="W158">
        <f>'Age by income band distribution'!J161+'Age by income band distribution'!K161</f>
        <v>1110</v>
      </c>
      <c r="X158">
        <f>'Age by income band distribution'!L161+'Age by income band distribution'!M161</f>
        <v>940</v>
      </c>
      <c r="Y158">
        <f>'Age by income band distribution'!N161+'Age by income band distribution'!O161+'Age by income band distribution'!P161</f>
        <v>470</v>
      </c>
    </row>
    <row r="159" spans="1:25" x14ac:dyDescent="0.2">
      <c r="A159" s="50">
        <v>156000</v>
      </c>
      <c r="B159" s="1"/>
      <c r="C159" s="1">
        <f>'Income tables 2001-24'!AP165</f>
        <v>1060</v>
      </c>
      <c r="D159" s="1">
        <f>'Income tables 2001-24'!BR165</f>
        <v>3380</v>
      </c>
      <c r="E159" s="1">
        <f>'Income tables 2001-24'!BU165</f>
        <v>4230</v>
      </c>
      <c r="F159" s="52"/>
      <c r="G159" s="52">
        <f>'Income tables 2001-24'!AQ165</f>
        <v>164.9</v>
      </c>
      <c r="H159" s="52">
        <f>'Income tables 2001-24'!BS165</f>
        <v>525.4</v>
      </c>
      <c r="I159" s="52">
        <f>'Income tables 2001-24'!BV165</f>
        <v>658.35</v>
      </c>
      <c r="J159" s="52"/>
      <c r="K159" s="52">
        <f>'Income tables 2001-24'!AR165</f>
        <v>44.8</v>
      </c>
      <c r="L159" s="52">
        <f>'Income tables 2001-24'!BT165</f>
        <v>142.70026751</v>
      </c>
      <c r="M159" s="52">
        <f>'Income tables 2001-24'!BW165</f>
        <v>178.81087671</v>
      </c>
      <c r="Q159" t="s">
        <v>197</v>
      </c>
      <c r="R159">
        <f>'Age by income band distribution'!B162</f>
        <v>0</v>
      </c>
      <c r="S159">
        <f>'Age by income band distribution'!C162</f>
        <v>0</v>
      </c>
      <c r="T159">
        <f>'Age by income band distribution'!D162+'Age by income band distribution'!E162</f>
        <v>10</v>
      </c>
      <c r="U159">
        <f>'Age by income band distribution'!F162+'Age by income band distribution'!G162</f>
        <v>530</v>
      </c>
      <c r="V159">
        <f>'Age by income band distribution'!H162+'Age by income band distribution'!I162</f>
        <v>1150</v>
      </c>
      <c r="W159">
        <f>'Age by income band distribution'!J162+'Age by income band distribution'!K162</f>
        <v>1090</v>
      </c>
      <c r="X159">
        <f>'Age by income band distribution'!L162+'Age by income band distribution'!M162</f>
        <v>830</v>
      </c>
      <c r="Y159">
        <f>'Age by income band distribution'!N162+'Age by income band distribution'!O162+'Age by income band distribution'!P162</f>
        <v>480</v>
      </c>
    </row>
    <row r="160" spans="1:25" x14ac:dyDescent="0.2">
      <c r="A160" s="50">
        <v>157000</v>
      </c>
      <c r="B160" s="1"/>
      <c r="C160" s="1">
        <f>'Income tables 2001-24'!AP166</f>
        <v>820</v>
      </c>
      <c r="D160" s="1">
        <f>'Income tables 2001-24'!BR166</f>
        <v>3180</v>
      </c>
      <c r="E160" s="1">
        <f>'Income tables 2001-24'!BU166</f>
        <v>3930</v>
      </c>
      <c r="F160" s="52"/>
      <c r="G160" s="52">
        <f>'Income tables 2001-24'!AQ166</f>
        <v>128.30000000000001</v>
      </c>
      <c r="H160" s="52">
        <f>'Income tables 2001-24'!BS166</f>
        <v>497.47</v>
      </c>
      <c r="I160" s="52">
        <f>'Income tables 2001-24'!BV166</f>
        <v>614.25</v>
      </c>
      <c r="J160" s="52"/>
      <c r="K160" s="52">
        <f>'Income tables 2001-24'!AR166</f>
        <v>34.9</v>
      </c>
      <c r="L160" s="52">
        <f>'Income tables 2001-24'!BT166</f>
        <v>135.298858</v>
      </c>
      <c r="M160" s="52">
        <f>'Income tables 2001-24'!BW166</f>
        <v>167.06417084</v>
      </c>
      <c r="Q160" t="s">
        <v>199</v>
      </c>
      <c r="R160">
        <f>'Age by income band distribution'!B163</f>
        <v>0</v>
      </c>
      <c r="S160">
        <f>'Age by income band distribution'!C163</f>
        <v>0</v>
      </c>
      <c r="T160">
        <f>'Age by income band distribution'!D163+'Age by income band distribution'!E163</f>
        <v>10</v>
      </c>
      <c r="U160">
        <f>'Age by income band distribution'!F163+'Age by income band distribution'!G163</f>
        <v>520</v>
      </c>
      <c r="V160">
        <f>'Age by income band distribution'!H163+'Age by income band distribution'!I163</f>
        <v>1200</v>
      </c>
      <c r="W160">
        <f>'Age by income band distribution'!J163+'Age by income band distribution'!K163</f>
        <v>1140</v>
      </c>
      <c r="X160">
        <f>'Age by income band distribution'!L163+'Age by income band distribution'!M163</f>
        <v>870</v>
      </c>
      <c r="Y160">
        <f>'Age by income band distribution'!N163+'Age by income band distribution'!O163+'Age by income band distribution'!P163</f>
        <v>500</v>
      </c>
    </row>
    <row r="161" spans="1:25" x14ac:dyDescent="0.2">
      <c r="A161" s="50">
        <v>158000</v>
      </c>
      <c r="B161" s="1"/>
      <c r="C161" s="1">
        <f>'Income tables 2001-24'!AP167</f>
        <v>1010</v>
      </c>
      <c r="D161" s="1">
        <f>'Income tables 2001-24'!BR167</f>
        <v>3070</v>
      </c>
      <c r="E161" s="1">
        <f>'Income tables 2001-24'!BU167</f>
        <v>3920</v>
      </c>
      <c r="F161" s="52"/>
      <c r="G161" s="52">
        <f>'Income tables 2001-24'!AQ167</f>
        <v>159.1</v>
      </c>
      <c r="H161" s="52">
        <f>'Income tables 2001-24'!BS167</f>
        <v>483.35</v>
      </c>
      <c r="I161" s="52">
        <f>'Income tables 2001-24'!BV167</f>
        <v>617.08000000000004</v>
      </c>
      <c r="J161" s="52"/>
      <c r="K161" s="52">
        <f>'Income tables 2001-24'!AR167</f>
        <v>43.3</v>
      </c>
      <c r="L161" s="52">
        <f>'Income tables 2001-24'!BT167</f>
        <v>131.64060936000001</v>
      </c>
      <c r="M161" s="52">
        <f>'Income tables 2001-24'!BW167</f>
        <v>168.06082189</v>
      </c>
      <c r="Q161" t="s">
        <v>201</v>
      </c>
      <c r="R161">
        <f>'Age by income band distribution'!B164</f>
        <v>10</v>
      </c>
      <c r="S161">
        <f>'Age by income band distribution'!C164</f>
        <v>0</v>
      </c>
      <c r="T161">
        <f>'Age by income band distribution'!D164+'Age by income band distribution'!E164</f>
        <v>10</v>
      </c>
      <c r="U161">
        <f>'Age by income band distribution'!F164+'Age by income band distribution'!G164</f>
        <v>530</v>
      </c>
      <c r="V161">
        <f>'Age by income band distribution'!H164+'Age by income band distribution'!I164</f>
        <v>1090</v>
      </c>
      <c r="W161">
        <f>'Age by income band distribution'!J164+'Age by income band distribution'!K164</f>
        <v>1050</v>
      </c>
      <c r="X161">
        <f>'Age by income band distribution'!L164+'Age by income band distribution'!M164</f>
        <v>810</v>
      </c>
      <c r="Y161">
        <f>'Age by income band distribution'!N164+'Age by income band distribution'!O164+'Age by income band distribution'!P164</f>
        <v>440</v>
      </c>
    </row>
    <row r="162" spans="1:25" x14ac:dyDescent="0.2">
      <c r="A162" s="50">
        <v>159000</v>
      </c>
      <c r="B162" s="1"/>
      <c r="C162" s="1">
        <f>'Income tables 2001-24'!AP168</f>
        <v>1000</v>
      </c>
      <c r="D162" s="1">
        <f>'Income tables 2001-24'!BR168</f>
        <v>3020</v>
      </c>
      <c r="E162" s="1">
        <f>'Income tables 2001-24'!BU168</f>
        <v>3830</v>
      </c>
      <c r="F162" s="52"/>
      <c r="G162" s="52">
        <f>'Income tables 2001-24'!AQ168</f>
        <v>158.5</v>
      </c>
      <c r="H162" s="52">
        <f>'Income tables 2001-24'!BS168</f>
        <v>478.97</v>
      </c>
      <c r="I162" s="52">
        <f>'Income tables 2001-24'!BV168</f>
        <v>607.37</v>
      </c>
      <c r="J162" s="52"/>
      <c r="K162" s="52">
        <f>'Income tables 2001-24'!AR168</f>
        <v>43.2</v>
      </c>
      <c r="L162" s="52">
        <f>'Income tables 2001-24'!BT168</f>
        <v>130.62107096</v>
      </c>
      <c r="M162" s="52">
        <f>'Income tables 2001-24'!BW168</f>
        <v>165.63720093999999</v>
      </c>
      <c r="Q162" t="s">
        <v>203</v>
      </c>
      <c r="R162">
        <f>'Age by income band distribution'!B165</f>
        <v>10</v>
      </c>
      <c r="S162">
        <f>'Age by income band distribution'!C165</f>
        <v>0</v>
      </c>
      <c r="T162">
        <f>'Age by income band distribution'!D165+'Age by income band distribution'!E165</f>
        <v>20</v>
      </c>
      <c r="U162">
        <f>'Age by income band distribution'!F165+'Age by income band distribution'!G165</f>
        <v>460</v>
      </c>
      <c r="V162">
        <f>'Age by income band distribution'!H165+'Age by income band distribution'!I165</f>
        <v>1090</v>
      </c>
      <c r="W162">
        <f>'Age by income band distribution'!J165+'Age by income band distribution'!K165</f>
        <v>1060</v>
      </c>
      <c r="X162">
        <f>'Age by income band distribution'!L165+'Age by income band distribution'!M165</f>
        <v>810</v>
      </c>
      <c r="Y162">
        <f>'Age by income band distribution'!N165+'Age by income band distribution'!O165+'Age by income band distribution'!P165</f>
        <v>470</v>
      </c>
    </row>
    <row r="163" spans="1:25" x14ac:dyDescent="0.2">
      <c r="A163" s="50">
        <v>160000</v>
      </c>
      <c r="B163" s="1"/>
      <c r="C163" s="1">
        <f>'Income tables 2001-24'!AP169</f>
        <v>1310</v>
      </c>
      <c r="D163" s="1">
        <f>'Income tables 2001-24'!BR169</f>
        <v>3090</v>
      </c>
      <c r="E163" s="1">
        <f>'Income tables 2001-24'!BU169</f>
        <v>3760</v>
      </c>
      <c r="F163" s="52"/>
      <c r="G163" s="52">
        <f>'Income tables 2001-24'!AQ169</f>
        <v>209</v>
      </c>
      <c r="H163" s="52">
        <f>'Income tables 2001-24'!BS169</f>
        <v>493.23</v>
      </c>
      <c r="I163" s="52">
        <f>'Income tables 2001-24'!BV169</f>
        <v>600.12</v>
      </c>
      <c r="J163" s="52"/>
      <c r="K163" s="52">
        <f>'Income tables 2001-24'!AR169</f>
        <v>57.1</v>
      </c>
      <c r="L163" s="52">
        <f>'Income tables 2001-24'!BT169</f>
        <v>134.68960471</v>
      </c>
      <c r="M163" s="52">
        <f>'Income tables 2001-24'!BW169</f>
        <v>163.88049722</v>
      </c>
      <c r="Q163" t="s">
        <v>205</v>
      </c>
      <c r="R163">
        <f>'Age by income band distribution'!B166</f>
        <v>10</v>
      </c>
      <c r="S163">
        <f>'Age by income band distribution'!C166</f>
        <v>0</v>
      </c>
      <c r="T163">
        <f>'Age by income band distribution'!D166+'Age by income band distribution'!E166</f>
        <v>10</v>
      </c>
      <c r="U163">
        <f>'Age by income band distribution'!F166+'Age by income band distribution'!G166</f>
        <v>490</v>
      </c>
      <c r="V163">
        <f>'Age by income band distribution'!H166+'Age by income band distribution'!I166</f>
        <v>1060</v>
      </c>
      <c r="W163">
        <f>'Age by income band distribution'!J166+'Age by income band distribution'!K166</f>
        <v>970</v>
      </c>
      <c r="X163">
        <f>'Age by income band distribution'!L166+'Age by income band distribution'!M166</f>
        <v>850</v>
      </c>
      <c r="Y163">
        <f>'Age by income band distribution'!N166+'Age by income band distribution'!O166+'Age by income band distribution'!P166</f>
        <v>460</v>
      </c>
    </row>
    <row r="164" spans="1:25" x14ac:dyDescent="0.2">
      <c r="A164" s="50">
        <v>161000</v>
      </c>
      <c r="B164" s="1"/>
      <c r="C164" s="1">
        <f>'Income tables 2001-24'!AP170</f>
        <v>980</v>
      </c>
      <c r="D164" s="1">
        <f>'Income tables 2001-24'!BR170</f>
        <v>3150</v>
      </c>
      <c r="E164" s="1">
        <f>'Income tables 2001-24'!BU170</f>
        <v>3970</v>
      </c>
      <c r="F164" s="52"/>
      <c r="G164" s="52">
        <f>'Income tables 2001-24'!AQ170</f>
        <v>157.30000000000001</v>
      </c>
      <c r="H164" s="52">
        <f>'Income tables 2001-24'!BS170</f>
        <v>505.67</v>
      </c>
      <c r="I164" s="52">
        <f>'Income tables 2001-24'!BV170</f>
        <v>637.27</v>
      </c>
      <c r="J164" s="52"/>
      <c r="K164" s="52">
        <f>'Income tables 2001-24'!AR170</f>
        <v>43</v>
      </c>
      <c r="L164" s="52">
        <f>'Income tables 2001-24'!BT170</f>
        <v>138.26033158000001</v>
      </c>
      <c r="M164" s="52">
        <f>'Income tables 2001-24'!BW170</f>
        <v>174.24281123</v>
      </c>
      <c r="Q164" t="s">
        <v>207</v>
      </c>
      <c r="R164">
        <f>'Age by income band distribution'!B167</f>
        <v>10</v>
      </c>
      <c r="S164">
        <f>'Age by income band distribution'!C167</f>
        <v>0</v>
      </c>
      <c r="T164">
        <f>'Age by income band distribution'!D167+'Age by income band distribution'!E167</f>
        <v>10</v>
      </c>
      <c r="U164">
        <f>'Age by income band distribution'!F167+'Age by income band distribution'!G167</f>
        <v>470</v>
      </c>
      <c r="V164">
        <f>'Age by income band distribution'!H167+'Age by income band distribution'!I167</f>
        <v>1040</v>
      </c>
      <c r="W164">
        <f>'Age by income band distribution'!J167+'Age by income band distribution'!K167</f>
        <v>990</v>
      </c>
      <c r="X164">
        <f>'Age by income band distribution'!L167+'Age by income band distribution'!M167</f>
        <v>830</v>
      </c>
      <c r="Y164">
        <f>'Age by income band distribution'!N167+'Age by income band distribution'!O167+'Age by income band distribution'!P167</f>
        <v>420</v>
      </c>
    </row>
    <row r="165" spans="1:25" x14ac:dyDescent="0.2">
      <c r="A165" s="50">
        <v>162000</v>
      </c>
      <c r="B165" s="1"/>
      <c r="C165" s="1">
        <f>'Income tables 2001-24'!AP171</f>
        <v>910</v>
      </c>
      <c r="D165" s="1">
        <f>'Income tables 2001-24'!BR171</f>
        <v>2960</v>
      </c>
      <c r="E165" s="1">
        <f>'Income tables 2001-24'!BU171</f>
        <v>3710</v>
      </c>
      <c r="F165" s="52"/>
      <c r="G165" s="52">
        <f>'Income tables 2001-24'!AQ171</f>
        <v>146.9</v>
      </c>
      <c r="H165" s="52">
        <f>'Income tables 2001-24'!BS171</f>
        <v>478.37</v>
      </c>
      <c r="I165" s="52">
        <f>'Income tables 2001-24'!BV171</f>
        <v>598.37</v>
      </c>
      <c r="J165" s="52"/>
      <c r="K165" s="52">
        <f>'Income tables 2001-24'!AR171</f>
        <v>40.200000000000003</v>
      </c>
      <c r="L165" s="52">
        <f>'Income tables 2001-24'!BT171</f>
        <v>130.96639403</v>
      </c>
      <c r="M165" s="52">
        <f>'Income tables 2001-24'!BW171</f>
        <v>163.81909490999999</v>
      </c>
      <c r="Q165" t="s">
        <v>209</v>
      </c>
      <c r="R165">
        <f>'Age by income band distribution'!B168</f>
        <v>0</v>
      </c>
      <c r="S165">
        <f>'Age by income band distribution'!C168</f>
        <v>0</v>
      </c>
      <c r="T165">
        <f>'Age by income band distribution'!D168+'Age by income band distribution'!E168</f>
        <v>10</v>
      </c>
      <c r="U165">
        <f>'Age by income band distribution'!F168+'Age by income band distribution'!G168</f>
        <v>470</v>
      </c>
      <c r="V165">
        <f>'Age by income band distribution'!H168+'Age by income band distribution'!I168</f>
        <v>1130</v>
      </c>
      <c r="W165">
        <f>'Age by income band distribution'!J168+'Age by income band distribution'!K168</f>
        <v>1080</v>
      </c>
      <c r="X165">
        <f>'Age by income band distribution'!L168+'Age by income band distribution'!M168</f>
        <v>850</v>
      </c>
      <c r="Y165">
        <f>'Age by income band distribution'!N168+'Age by income band distribution'!O168+'Age by income band distribution'!P168</f>
        <v>430</v>
      </c>
    </row>
    <row r="166" spans="1:25" x14ac:dyDescent="0.2">
      <c r="A166" s="50">
        <v>163000</v>
      </c>
      <c r="B166" s="1"/>
      <c r="C166" s="1">
        <f>'Income tables 2001-24'!AP172</f>
        <v>990</v>
      </c>
      <c r="D166" s="1">
        <f>'Income tables 2001-24'!BR172</f>
        <v>2900</v>
      </c>
      <c r="E166" s="1">
        <f>'Income tables 2001-24'!BU172</f>
        <v>3560</v>
      </c>
      <c r="F166" s="52"/>
      <c r="G166" s="52">
        <f>'Income tables 2001-24'!AQ172</f>
        <v>160.9</v>
      </c>
      <c r="H166" s="52">
        <f>'Income tables 2001-24'!BS172</f>
        <v>471.74</v>
      </c>
      <c r="I166" s="52">
        <f>'Income tables 2001-24'!BV172</f>
        <v>578</v>
      </c>
      <c r="J166" s="52"/>
      <c r="K166" s="52">
        <f>'Income tables 2001-24'!AR172</f>
        <v>44.1</v>
      </c>
      <c r="L166" s="52">
        <f>'Income tables 2001-24'!BT172</f>
        <v>129.31538916</v>
      </c>
      <c r="M166" s="52">
        <f>'Income tables 2001-24'!BW172</f>
        <v>158.44153793999999</v>
      </c>
      <c r="Q166" t="s">
        <v>211</v>
      </c>
      <c r="R166">
        <f>'Age by income band distribution'!B169</f>
        <v>10</v>
      </c>
      <c r="S166">
        <f>'Age by income band distribution'!C169</f>
        <v>0</v>
      </c>
      <c r="T166">
        <f>'Age by income band distribution'!D169+'Age by income band distribution'!E169</f>
        <v>10</v>
      </c>
      <c r="U166">
        <f>'Age by income band distribution'!F169+'Age by income band distribution'!G169</f>
        <v>440</v>
      </c>
      <c r="V166">
        <f>'Age by income band distribution'!H169+'Age by income band distribution'!I169</f>
        <v>980</v>
      </c>
      <c r="W166">
        <f>'Age by income band distribution'!J169+'Age by income band distribution'!K169</f>
        <v>1080</v>
      </c>
      <c r="X166">
        <f>'Age by income band distribution'!L169+'Age by income band distribution'!M169</f>
        <v>790</v>
      </c>
      <c r="Y166">
        <f>'Age by income band distribution'!N169+'Age by income band distribution'!O169+'Age by income band distribution'!P169</f>
        <v>420</v>
      </c>
    </row>
    <row r="167" spans="1:25" x14ac:dyDescent="0.2">
      <c r="A167" s="50">
        <v>164000</v>
      </c>
      <c r="B167" s="1"/>
      <c r="C167" s="1">
        <f>'Income tables 2001-24'!AP173</f>
        <v>1070</v>
      </c>
      <c r="D167" s="1">
        <f>'Income tables 2001-24'!BR173</f>
        <v>2730</v>
      </c>
      <c r="E167" s="1">
        <f>'Income tables 2001-24'!BU173</f>
        <v>3550</v>
      </c>
      <c r="F167" s="52"/>
      <c r="G167" s="52">
        <f>'Income tables 2001-24'!AQ173</f>
        <v>174.9</v>
      </c>
      <c r="H167" s="52">
        <f>'Income tables 2001-24'!BS173</f>
        <v>445.86</v>
      </c>
      <c r="I167" s="52">
        <f>'Income tables 2001-24'!BV173</f>
        <v>580.59</v>
      </c>
      <c r="J167" s="52"/>
      <c r="K167" s="52">
        <f>'Income tables 2001-24'!AR173</f>
        <v>48</v>
      </c>
      <c r="L167" s="52">
        <f>'Income tables 2001-24'!BT173</f>
        <v>122.37388767</v>
      </c>
      <c r="M167" s="52">
        <f>'Income tables 2001-24'!BW173</f>
        <v>159.35209788</v>
      </c>
      <c r="Q167" t="s">
        <v>213</v>
      </c>
      <c r="R167">
        <f>'Age by income band distribution'!B170</f>
        <v>0</v>
      </c>
      <c r="S167">
        <f>'Age by income band distribution'!C170</f>
        <v>0</v>
      </c>
      <c r="T167">
        <f>'Age by income band distribution'!D170+'Age by income band distribution'!E170</f>
        <v>10</v>
      </c>
      <c r="U167">
        <f>'Age by income band distribution'!F170+'Age by income band distribution'!G170</f>
        <v>410</v>
      </c>
      <c r="V167">
        <f>'Age by income band distribution'!H170+'Age by income band distribution'!I170</f>
        <v>990</v>
      </c>
      <c r="W167">
        <f>'Age by income band distribution'!J170+'Age by income band distribution'!K170</f>
        <v>1000</v>
      </c>
      <c r="X167">
        <f>'Age by income band distribution'!L170+'Age by income band distribution'!M170</f>
        <v>750</v>
      </c>
      <c r="Y167">
        <f>'Age by income band distribution'!N170+'Age by income band distribution'!O170+'Age by income band distribution'!P170</f>
        <v>410</v>
      </c>
    </row>
    <row r="168" spans="1:25" x14ac:dyDescent="0.2">
      <c r="A168" s="50">
        <v>165000</v>
      </c>
      <c r="B168" s="1"/>
      <c r="C168" s="1">
        <f>'Income tables 2001-24'!AP174</f>
        <v>750</v>
      </c>
      <c r="D168" s="1">
        <f>'Income tables 2001-24'!BR174</f>
        <v>2730</v>
      </c>
      <c r="E168" s="1">
        <f>'Income tables 2001-24'!BU174</f>
        <v>3410</v>
      </c>
      <c r="F168" s="52"/>
      <c r="G168" s="52">
        <f>'Income tables 2001-24'!AQ174</f>
        <v>123.4</v>
      </c>
      <c r="H168" s="52">
        <f>'Income tables 2001-24'!BS174</f>
        <v>448.46</v>
      </c>
      <c r="I168" s="52">
        <f>'Income tables 2001-24'!BV174</f>
        <v>560.48</v>
      </c>
      <c r="J168" s="52"/>
      <c r="K168" s="52">
        <f>'Income tables 2001-24'!AR174</f>
        <v>33.9</v>
      </c>
      <c r="L168" s="52">
        <f>'Income tables 2001-24'!BT174</f>
        <v>123.23974112000001</v>
      </c>
      <c r="M168" s="52">
        <f>'Income tables 2001-24'!BW174</f>
        <v>154.02280825</v>
      </c>
      <c r="Q168" t="s">
        <v>215</v>
      </c>
      <c r="R168">
        <f>'Age by income band distribution'!B171</f>
        <v>0</v>
      </c>
      <c r="S168">
        <f>'Age by income band distribution'!C171</f>
        <v>0</v>
      </c>
      <c r="T168">
        <f>'Age by income band distribution'!D171+'Age by income band distribution'!E171</f>
        <v>10</v>
      </c>
      <c r="U168">
        <f>'Age by income band distribution'!F171+'Age by income band distribution'!G171</f>
        <v>380</v>
      </c>
      <c r="V168">
        <f>'Age by income band distribution'!H171+'Age by income band distribution'!I171</f>
        <v>980</v>
      </c>
      <c r="W168">
        <f>'Age by income band distribution'!J171+'Age by income band distribution'!K171</f>
        <v>960</v>
      </c>
      <c r="X168">
        <f>'Age by income band distribution'!L171+'Age by income band distribution'!M171</f>
        <v>790</v>
      </c>
      <c r="Y168">
        <f>'Age by income band distribution'!N171+'Age by income band distribution'!O171+'Age by income band distribution'!P171</f>
        <v>440</v>
      </c>
    </row>
    <row r="169" spans="1:25" x14ac:dyDescent="0.2">
      <c r="A169" s="50">
        <v>166000</v>
      </c>
      <c r="B169" s="1"/>
      <c r="C169" s="1">
        <f>'Income tables 2001-24'!AP175</f>
        <v>760</v>
      </c>
      <c r="D169" s="1">
        <f>'Income tables 2001-24'!BR175</f>
        <v>2730</v>
      </c>
      <c r="E169" s="1">
        <f>'Income tables 2001-24'!BU175</f>
        <v>3550</v>
      </c>
      <c r="F169" s="52"/>
      <c r="G169" s="52">
        <f>'Income tables 2001-24'!AQ175</f>
        <v>125.8</v>
      </c>
      <c r="H169" s="52">
        <f>'Income tables 2001-24'!BS175</f>
        <v>452.43</v>
      </c>
      <c r="I169" s="52">
        <f>'Income tables 2001-24'!BV175</f>
        <v>586.65</v>
      </c>
      <c r="J169" s="52"/>
      <c r="K169" s="52">
        <f>'Income tables 2001-24'!AR175</f>
        <v>34.6</v>
      </c>
      <c r="L169" s="52">
        <f>'Income tables 2001-24'!BT175</f>
        <v>124.47634420999999</v>
      </c>
      <c r="M169" s="52">
        <f>'Income tables 2001-24'!BW175</f>
        <v>161.40497228000001</v>
      </c>
      <c r="Q169" t="s">
        <v>217</v>
      </c>
      <c r="R169">
        <f>'Age by income band distribution'!B172</f>
        <v>10</v>
      </c>
      <c r="S169">
        <f>'Age by income band distribution'!C172</f>
        <v>0</v>
      </c>
      <c r="T169">
        <f>'Age by income band distribution'!D172+'Age by income band distribution'!E172</f>
        <v>0</v>
      </c>
      <c r="U169">
        <f>'Age by income band distribution'!F172+'Age by income band distribution'!G172</f>
        <v>390</v>
      </c>
      <c r="V169">
        <f>'Age by income band distribution'!H172+'Age by income band distribution'!I172</f>
        <v>920</v>
      </c>
      <c r="W169">
        <f>'Age by income band distribution'!J172+'Age by income band distribution'!K172</f>
        <v>950</v>
      </c>
      <c r="X169">
        <f>'Age by income band distribution'!L172+'Age by income band distribution'!M172</f>
        <v>760</v>
      </c>
      <c r="Y169">
        <f>'Age by income band distribution'!N172+'Age by income band distribution'!O172+'Age by income band distribution'!P172</f>
        <v>370</v>
      </c>
    </row>
    <row r="170" spans="1:25" x14ac:dyDescent="0.2">
      <c r="A170" s="50">
        <v>167000</v>
      </c>
      <c r="B170" s="1"/>
      <c r="C170" s="1">
        <f>'Income tables 2001-24'!AP176</f>
        <v>720</v>
      </c>
      <c r="D170" s="1">
        <f>'Income tables 2001-24'!BR176</f>
        <v>2630</v>
      </c>
      <c r="E170" s="1">
        <f>'Income tables 2001-24'!BU176</f>
        <v>3280</v>
      </c>
      <c r="F170" s="52"/>
      <c r="G170" s="52">
        <f>'Income tables 2001-24'!AQ176</f>
        <v>119.8</v>
      </c>
      <c r="H170" s="52">
        <f>'Income tables 2001-24'!BS176</f>
        <v>437.04</v>
      </c>
      <c r="I170" s="52">
        <f>'Income tables 2001-24'!BV176</f>
        <v>546.62</v>
      </c>
      <c r="J170" s="52"/>
      <c r="K170" s="52">
        <f>'Income tables 2001-24'!AR176</f>
        <v>33</v>
      </c>
      <c r="L170" s="52">
        <f>'Income tables 2001-24'!BT176</f>
        <v>120.38872904999999</v>
      </c>
      <c r="M170" s="52">
        <f>'Income tables 2001-24'!BW176</f>
        <v>150.57373472999998</v>
      </c>
      <c r="Q170" t="s">
        <v>219</v>
      </c>
      <c r="R170">
        <f>'Age by income band distribution'!B173</f>
        <v>0</v>
      </c>
      <c r="S170">
        <f>'Age by income band distribution'!C173</f>
        <v>0</v>
      </c>
      <c r="T170">
        <f>'Age by income band distribution'!D173+'Age by income band distribution'!E173</f>
        <v>0</v>
      </c>
      <c r="U170">
        <f>'Age by income band distribution'!F173+'Age by income band distribution'!G173</f>
        <v>420</v>
      </c>
      <c r="V170">
        <f>'Age by income band distribution'!H173+'Age by income band distribution'!I173</f>
        <v>950</v>
      </c>
      <c r="W170">
        <f>'Age by income band distribution'!J173+'Age by income band distribution'!K173</f>
        <v>1030</v>
      </c>
      <c r="X170">
        <f>'Age by income band distribution'!L173+'Age by income band distribution'!M173</f>
        <v>760</v>
      </c>
      <c r="Y170">
        <f>'Age by income band distribution'!N173+'Age by income band distribution'!O173+'Age by income band distribution'!P173</f>
        <v>380</v>
      </c>
    </row>
    <row r="171" spans="1:25" x14ac:dyDescent="0.2">
      <c r="A171" s="50">
        <v>168000</v>
      </c>
      <c r="B171" s="1"/>
      <c r="C171" s="1">
        <f>'Income tables 2001-24'!AP177</f>
        <v>940</v>
      </c>
      <c r="D171" s="1">
        <f>'Income tables 2001-24'!BR177</f>
        <v>2550</v>
      </c>
      <c r="E171" s="1">
        <f>'Income tables 2001-24'!BU177</f>
        <v>3170</v>
      </c>
      <c r="F171" s="52"/>
      <c r="G171" s="52">
        <f>'Income tables 2001-24'!AQ177</f>
        <v>157.4</v>
      </c>
      <c r="H171" s="52">
        <f>'Income tables 2001-24'!BS177</f>
        <v>426.58</v>
      </c>
      <c r="I171" s="52">
        <f>'Income tables 2001-24'!BV177</f>
        <v>530.82000000000005</v>
      </c>
      <c r="J171" s="52"/>
      <c r="K171" s="52">
        <f>'Income tables 2001-24'!AR177</f>
        <v>43.4</v>
      </c>
      <c r="L171" s="52">
        <f>'Income tables 2001-24'!BT177</f>
        <v>117.64421859000001</v>
      </c>
      <c r="M171" s="52">
        <f>'Income tables 2001-24'!BW177</f>
        <v>146.39742285</v>
      </c>
      <c r="Q171" t="s">
        <v>221</v>
      </c>
      <c r="R171">
        <f>'Age by income band distribution'!B174</f>
        <v>10</v>
      </c>
      <c r="S171">
        <f>'Age by income band distribution'!C174</f>
        <v>0</v>
      </c>
      <c r="T171">
        <f>'Age by income band distribution'!D174+'Age by income band distribution'!E174</f>
        <v>10</v>
      </c>
      <c r="U171">
        <f>'Age by income band distribution'!F174+'Age by income band distribution'!G174</f>
        <v>360</v>
      </c>
      <c r="V171">
        <f>'Age by income band distribution'!H174+'Age by income band distribution'!I174</f>
        <v>920</v>
      </c>
      <c r="W171">
        <f>'Age by income band distribution'!J174+'Age by income band distribution'!K174</f>
        <v>930</v>
      </c>
      <c r="X171">
        <f>'Age by income band distribution'!L174+'Age by income band distribution'!M174</f>
        <v>700</v>
      </c>
      <c r="Y171">
        <f>'Age by income band distribution'!N174+'Age by income band distribution'!O174+'Age by income band distribution'!P174</f>
        <v>380</v>
      </c>
    </row>
    <row r="172" spans="1:25" x14ac:dyDescent="0.2">
      <c r="A172" s="50">
        <v>169000</v>
      </c>
      <c r="B172" s="1"/>
      <c r="C172" s="1">
        <f>'Income tables 2001-24'!AP178</f>
        <v>1160</v>
      </c>
      <c r="D172" s="1">
        <f>'Income tables 2001-24'!BR178</f>
        <v>2460</v>
      </c>
      <c r="E172" s="1">
        <f>'Income tables 2001-24'!BU178</f>
        <v>3210</v>
      </c>
      <c r="F172" s="52"/>
      <c r="G172" s="52">
        <f>'Income tables 2001-24'!AQ178</f>
        <v>195.4</v>
      </c>
      <c r="H172" s="52">
        <f>'Income tables 2001-24'!BS178</f>
        <v>414.99</v>
      </c>
      <c r="I172" s="52">
        <f>'Income tables 2001-24'!BV178</f>
        <v>540.87</v>
      </c>
      <c r="J172" s="52"/>
      <c r="K172" s="52">
        <f>'Income tables 2001-24'!AR178</f>
        <v>54</v>
      </c>
      <c r="L172" s="52">
        <f>'Income tables 2001-24'!BT178</f>
        <v>114.58271504000001</v>
      </c>
      <c r="M172" s="52">
        <f>'Income tables 2001-24'!BW178</f>
        <v>149.33912784999998</v>
      </c>
      <c r="Q172" t="s">
        <v>223</v>
      </c>
      <c r="R172">
        <f>'Age by income band distribution'!B175</f>
        <v>10</v>
      </c>
      <c r="S172">
        <f>'Age by income band distribution'!C175</f>
        <v>0</v>
      </c>
      <c r="T172">
        <f>'Age by income band distribution'!D175+'Age by income band distribution'!E175</f>
        <v>10</v>
      </c>
      <c r="U172">
        <f>'Age by income band distribution'!F175+'Age by income band distribution'!G175</f>
        <v>350</v>
      </c>
      <c r="V172">
        <f>'Age by income band distribution'!H175+'Age by income band distribution'!I175</f>
        <v>830</v>
      </c>
      <c r="W172">
        <f>'Age by income band distribution'!J175+'Age by income band distribution'!K175</f>
        <v>840</v>
      </c>
      <c r="X172">
        <f>'Age by income band distribution'!L175+'Age by income band distribution'!M175</f>
        <v>730</v>
      </c>
      <c r="Y172">
        <f>'Age by income band distribution'!N175+'Age by income band distribution'!O175+'Age by income band distribution'!P175</f>
        <v>400</v>
      </c>
    </row>
    <row r="173" spans="1:25" x14ac:dyDescent="0.2">
      <c r="A173" s="50">
        <v>170000</v>
      </c>
      <c r="B173" s="1"/>
      <c r="C173" s="1">
        <f>'Income tables 2001-24'!AP179</f>
        <v>970</v>
      </c>
      <c r="D173" s="1">
        <f>'Income tables 2001-24'!BR179</f>
        <v>2600</v>
      </c>
      <c r="E173" s="1">
        <f>'Income tables 2001-24'!BU179</f>
        <v>3190</v>
      </c>
      <c r="F173" s="52"/>
      <c r="G173" s="52">
        <f>'Income tables 2001-24'!AQ179</f>
        <v>164.5</v>
      </c>
      <c r="H173" s="52">
        <f>'Income tables 2001-24'!BS179</f>
        <v>441.43</v>
      </c>
      <c r="I173" s="52">
        <f>'Income tables 2001-24'!BV179</f>
        <v>541.45000000000005</v>
      </c>
      <c r="J173" s="52"/>
      <c r="K173" s="52">
        <f>'Income tables 2001-24'!AR179</f>
        <v>45.5</v>
      </c>
      <c r="L173" s="52">
        <f>'Income tables 2001-24'!BT179</f>
        <v>122.02643117</v>
      </c>
      <c r="M173" s="52">
        <f>'Income tables 2001-24'!BW179</f>
        <v>149.67659677</v>
      </c>
      <c r="Q173" t="s">
        <v>225</v>
      </c>
      <c r="R173">
        <f>'Age by income band distribution'!B176</f>
        <v>10</v>
      </c>
      <c r="S173">
        <f>'Age by income band distribution'!C176</f>
        <v>0</v>
      </c>
      <c r="T173">
        <f>'Age by income band distribution'!D176+'Age by income band distribution'!E176</f>
        <v>0</v>
      </c>
      <c r="U173">
        <f>'Age by income band distribution'!F176+'Age by income band distribution'!G176</f>
        <v>320</v>
      </c>
      <c r="V173">
        <f>'Age by income band distribution'!H176+'Age by income band distribution'!I176</f>
        <v>890</v>
      </c>
      <c r="W173">
        <f>'Age by income band distribution'!J176+'Age by income band distribution'!K176</f>
        <v>920</v>
      </c>
      <c r="X173">
        <f>'Age by income band distribution'!L176+'Age by income band distribution'!M176</f>
        <v>680</v>
      </c>
      <c r="Y173">
        <f>'Age by income band distribution'!N176+'Age by income band distribution'!O176+'Age by income band distribution'!P176</f>
        <v>400</v>
      </c>
    </row>
    <row r="174" spans="1:25" x14ac:dyDescent="0.2">
      <c r="A174" s="50">
        <v>171000</v>
      </c>
      <c r="B174" s="1"/>
      <c r="C174" s="1">
        <f>'Income tables 2001-24'!AP180</f>
        <v>570</v>
      </c>
      <c r="D174" s="1">
        <f>'Income tables 2001-24'!BR180</f>
        <v>2690</v>
      </c>
      <c r="E174" s="1">
        <f>'Income tables 2001-24'!BU180</f>
        <v>3220</v>
      </c>
      <c r="F174" s="52"/>
      <c r="G174" s="52">
        <f>'Income tables 2001-24'!AQ180</f>
        <v>97.2</v>
      </c>
      <c r="H174" s="52">
        <f>'Income tables 2001-24'!BS180</f>
        <v>459.23</v>
      </c>
      <c r="I174" s="52">
        <f>'Income tables 2001-24'!BV180</f>
        <v>549.45000000000005</v>
      </c>
      <c r="J174" s="52"/>
      <c r="K174" s="52">
        <f>'Income tables 2001-24'!AR180</f>
        <v>26.9</v>
      </c>
      <c r="L174" s="52">
        <f>'Income tables 2001-24'!BT180</f>
        <v>127.08513169</v>
      </c>
      <c r="M174" s="52">
        <f>'Income tables 2001-24'!BW180</f>
        <v>152.05213372</v>
      </c>
      <c r="Q174" s="88" t="s">
        <v>227</v>
      </c>
      <c r="R174">
        <f>'Age by income band distribution'!B177</f>
        <v>10</v>
      </c>
      <c r="S174">
        <f>'Age by income band distribution'!C177</f>
        <v>0</v>
      </c>
      <c r="T174">
        <f>'Age by income band distribution'!D177+'Age by income band distribution'!E177</f>
        <v>10</v>
      </c>
      <c r="U174">
        <f>'Age by income band distribution'!F177+'Age by income band distribution'!G177</f>
        <v>320</v>
      </c>
      <c r="V174">
        <f>'Age by income band distribution'!H177+'Age by income band distribution'!I177</f>
        <v>820</v>
      </c>
      <c r="W174">
        <f>'Age by income band distribution'!J177+'Age by income band distribution'!K177</f>
        <v>920</v>
      </c>
      <c r="X174">
        <f>'Age by income band distribution'!L177+'Age by income band distribution'!M177</f>
        <v>750</v>
      </c>
      <c r="Y174">
        <f>'Age by income band distribution'!N177+'Age by income band distribution'!O177+'Age by income band distribution'!P177</f>
        <v>370</v>
      </c>
    </row>
    <row r="175" spans="1:25" x14ac:dyDescent="0.2">
      <c r="A175" s="50">
        <v>172000</v>
      </c>
      <c r="B175" s="1"/>
      <c r="C175" s="1">
        <f>'Income tables 2001-24'!AP181</f>
        <v>750</v>
      </c>
      <c r="D175" s="1">
        <f>'Income tables 2001-24'!BR181</f>
        <v>2570</v>
      </c>
      <c r="E175" s="1">
        <f>'Income tables 2001-24'!BU181</f>
        <v>2980</v>
      </c>
      <c r="F175" s="52"/>
      <c r="G175" s="52">
        <f>'Income tables 2001-24'!AQ181</f>
        <v>128.6</v>
      </c>
      <c r="H175" s="52">
        <f>'Income tables 2001-24'!BS181</f>
        <v>439.88</v>
      </c>
      <c r="I175" s="52">
        <f>'Income tables 2001-24'!BV181</f>
        <v>511.4</v>
      </c>
      <c r="J175" s="52"/>
      <c r="K175" s="52">
        <f>'Income tables 2001-24'!AR181</f>
        <v>35.6</v>
      </c>
      <c r="L175" s="52">
        <f>'Income tables 2001-24'!BT181</f>
        <v>121.87101504</v>
      </c>
      <c r="M175" s="52">
        <f>'Income tables 2001-24'!BW181</f>
        <v>141.68536434000001</v>
      </c>
      <c r="Q175" s="88" t="s">
        <v>229</v>
      </c>
      <c r="R175">
        <f>'Age by income band distribution'!B178</f>
        <v>10</v>
      </c>
      <c r="S175">
        <f>'Age by income band distribution'!C178</f>
        <v>0</v>
      </c>
      <c r="T175">
        <f>'Age by income band distribution'!D178+'Age by income band distribution'!E178</f>
        <v>10</v>
      </c>
      <c r="U175">
        <f>'Age by income band distribution'!F178+'Age by income band distribution'!G178</f>
        <v>330</v>
      </c>
      <c r="V175">
        <f>'Age by income band distribution'!H178+'Age by income band distribution'!I178</f>
        <v>910</v>
      </c>
      <c r="W175">
        <f>'Age by income band distribution'!J178+'Age by income band distribution'!K178</f>
        <v>910</v>
      </c>
      <c r="X175">
        <f>'Age by income band distribution'!L178+'Age by income band distribution'!M178</f>
        <v>710</v>
      </c>
      <c r="Y175">
        <f>'Age by income band distribution'!N178+'Age by income band distribution'!O178+'Age by income band distribution'!P178</f>
        <v>350</v>
      </c>
    </row>
    <row r="176" spans="1:25" x14ac:dyDescent="0.2">
      <c r="A176" s="50">
        <v>173000</v>
      </c>
      <c r="B176" s="1"/>
      <c r="C176" s="1">
        <f>'Income tables 2001-24'!AP182</f>
        <v>1140</v>
      </c>
      <c r="D176" s="1">
        <f>'Income tables 2001-24'!BR182</f>
        <v>2500</v>
      </c>
      <c r="E176" s="1">
        <f>'Income tables 2001-24'!BU182</f>
        <v>3060</v>
      </c>
      <c r="F176" s="52"/>
      <c r="G176" s="52">
        <f>'Income tables 2001-24'!AQ182</f>
        <v>196.6</v>
      </c>
      <c r="H176" s="52">
        <f>'Income tables 2001-24'!BS182</f>
        <v>430.53</v>
      </c>
      <c r="I176" s="52">
        <f>'Income tables 2001-24'!BV182</f>
        <v>528.54999999999995</v>
      </c>
      <c r="J176" s="52"/>
      <c r="K176" s="52">
        <f>'Income tables 2001-24'!AR182</f>
        <v>54.5</v>
      </c>
      <c r="L176" s="52">
        <f>'Income tables 2001-24'!BT182</f>
        <v>119.40991098000001</v>
      </c>
      <c r="M176" s="52">
        <f>'Income tables 2001-24'!BW182</f>
        <v>146.59946538999998</v>
      </c>
      <c r="Q176" s="88" t="s">
        <v>230</v>
      </c>
      <c r="R176">
        <f>'Age by income band distribution'!B179</f>
        <v>10</v>
      </c>
      <c r="S176">
        <f>'Age by income band distribution'!C179</f>
        <v>0</v>
      </c>
      <c r="T176">
        <f>'Age by income band distribution'!D179+'Age by income band distribution'!E179</f>
        <v>10</v>
      </c>
      <c r="U176">
        <f>'Age by income band distribution'!F179+'Age by income band distribution'!G179</f>
        <v>280</v>
      </c>
      <c r="V176">
        <f>'Age by income band distribution'!H179+'Age by income band distribution'!I179</f>
        <v>830</v>
      </c>
      <c r="W176">
        <f>'Age by income band distribution'!J179+'Age by income band distribution'!K179</f>
        <v>880</v>
      </c>
      <c r="X176">
        <f>'Age by income band distribution'!L179+'Age by income band distribution'!M179</f>
        <v>650</v>
      </c>
      <c r="Y176">
        <f>'Age by income band distribution'!N179+'Age by income band distribution'!O179+'Age by income band distribution'!P179</f>
        <v>340</v>
      </c>
    </row>
    <row r="177" spans="1:25" x14ac:dyDescent="0.2">
      <c r="A177" s="50">
        <v>174000</v>
      </c>
      <c r="B177" s="1"/>
      <c r="C177" s="1">
        <f>'Income tables 2001-24'!AP183</f>
        <v>1020</v>
      </c>
      <c r="D177" s="1">
        <f>'Income tables 2001-24'!BR183</f>
        <v>2300</v>
      </c>
      <c r="E177" s="1">
        <f>'Income tables 2001-24'!BU183</f>
        <v>2950</v>
      </c>
      <c r="F177" s="52"/>
      <c r="G177" s="52">
        <f>'Income tables 2001-24'!AQ183</f>
        <v>177</v>
      </c>
      <c r="H177" s="52">
        <f>'Income tables 2001-24'!BS183</f>
        <v>398.49</v>
      </c>
      <c r="I177" s="52">
        <f>'Income tables 2001-24'!BV183</f>
        <v>511.47</v>
      </c>
      <c r="J177" s="52"/>
      <c r="K177" s="52">
        <f>'Income tables 2001-24'!AR183</f>
        <v>49.1</v>
      </c>
      <c r="L177" s="52">
        <f>'Income tables 2001-24'!BT183</f>
        <v>110.64656486</v>
      </c>
      <c r="M177" s="52">
        <f>'Income tables 2001-24'!BW183</f>
        <v>142.01582408000002</v>
      </c>
      <c r="Q177" s="88" t="s">
        <v>232</v>
      </c>
      <c r="R177">
        <f>'Age by income band distribution'!B180</f>
        <v>10</v>
      </c>
      <c r="S177">
        <f>'Age by income band distribution'!C180</f>
        <v>0</v>
      </c>
      <c r="T177">
        <f>'Age by income band distribution'!D180+'Age by income band distribution'!E180</f>
        <v>10</v>
      </c>
      <c r="U177">
        <f>'Age by income band distribution'!F180+'Age by income band distribution'!G180</f>
        <v>320</v>
      </c>
      <c r="V177">
        <f>'Age by income band distribution'!H180+'Age by income band distribution'!I180</f>
        <v>780</v>
      </c>
      <c r="W177">
        <f>'Age by income band distribution'!J180+'Age by income band distribution'!K180</f>
        <v>850</v>
      </c>
      <c r="X177">
        <f>'Age by income band distribution'!L180+'Age by income band distribution'!M180</f>
        <v>680</v>
      </c>
      <c r="Y177">
        <f>'Age by income band distribution'!N180+'Age by income band distribution'!O180+'Age by income band distribution'!P180</f>
        <v>420</v>
      </c>
    </row>
    <row r="178" spans="1:25" x14ac:dyDescent="0.2">
      <c r="A178" s="50">
        <v>175000</v>
      </c>
      <c r="B178" s="1"/>
      <c r="C178" s="1">
        <f>'Income tables 2001-24'!AP184</f>
        <v>760</v>
      </c>
      <c r="D178" s="1">
        <f>'Income tables 2001-24'!BR184</f>
        <v>2560</v>
      </c>
      <c r="E178" s="1">
        <f>'Income tables 2001-24'!BU184</f>
        <v>3120</v>
      </c>
      <c r="F178" s="52"/>
      <c r="G178" s="52">
        <f>'Income tables 2001-24'!AQ184</f>
        <v>132.69999999999999</v>
      </c>
      <c r="H178" s="52">
        <f>'Income tables 2001-24'!BS184</f>
        <v>446.97</v>
      </c>
      <c r="I178" s="52">
        <f>'Income tables 2001-24'!BV184</f>
        <v>545</v>
      </c>
      <c r="J178" s="52"/>
      <c r="K178" s="52">
        <f>'Income tables 2001-24'!AR184</f>
        <v>36.9</v>
      </c>
      <c r="L178" s="52">
        <f>'Income tables 2001-24'!BT184</f>
        <v>124.24715944</v>
      </c>
      <c r="M178" s="52">
        <f>'Income tables 2001-24'!BW184</f>
        <v>151.49419025</v>
      </c>
      <c r="Q178" s="88" t="s">
        <v>233</v>
      </c>
      <c r="R178">
        <f>'Age by income band distribution'!B181</f>
        <v>10</v>
      </c>
      <c r="S178">
        <f>'Age by income band distribution'!C181</f>
        <v>0</v>
      </c>
      <c r="T178">
        <f>'Age by income band distribution'!D181+'Age by income band distribution'!E181</f>
        <v>0</v>
      </c>
      <c r="U178">
        <f>'Age by income band distribution'!F181+'Age by income band distribution'!G181</f>
        <v>280</v>
      </c>
      <c r="V178">
        <f>'Age by income band distribution'!H181+'Age by income band distribution'!I181</f>
        <v>770</v>
      </c>
      <c r="W178">
        <f>'Age by income band distribution'!J181+'Age by income band distribution'!K181</f>
        <v>870</v>
      </c>
      <c r="X178">
        <f>'Age by income band distribution'!L181+'Age by income band distribution'!M181</f>
        <v>630</v>
      </c>
      <c r="Y178">
        <f>'Age by income band distribution'!N181+'Age by income band distribution'!O181+'Age by income band distribution'!P181</f>
        <v>380</v>
      </c>
    </row>
    <row r="179" spans="1:25" x14ac:dyDescent="0.2">
      <c r="A179" s="50">
        <v>176000</v>
      </c>
      <c r="B179" s="1"/>
      <c r="C179" s="1">
        <f>'Income tables 2001-24'!AP185</f>
        <v>770</v>
      </c>
      <c r="D179" s="1">
        <f>'Income tables 2001-24'!BR185</f>
        <v>2690</v>
      </c>
      <c r="E179" s="1">
        <f>'Income tables 2001-24'!BU185</f>
        <v>3240</v>
      </c>
      <c r="F179" s="52"/>
      <c r="G179" s="52">
        <f>'Income tables 2001-24'!AQ185</f>
        <v>135.19999999999999</v>
      </c>
      <c r="H179" s="52">
        <f>'Income tables 2001-24'!BS185</f>
        <v>471.12</v>
      </c>
      <c r="I179" s="52">
        <f>'Income tables 2001-24'!BV185</f>
        <v>567.83000000000004</v>
      </c>
      <c r="J179" s="52"/>
      <c r="K179" s="52">
        <f>'Income tables 2001-24'!AR185</f>
        <v>37.6</v>
      </c>
      <c r="L179" s="52">
        <f>'Income tables 2001-24'!BT185</f>
        <v>131.08999793999999</v>
      </c>
      <c r="M179" s="52">
        <f>'Income tables 2001-24'!BW185</f>
        <v>158.00056305000001</v>
      </c>
      <c r="Q179" s="88" t="s">
        <v>234</v>
      </c>
      <c r="R179">
        <f>'Age by income band distribution'!B182</f>
        <v>10</v>
      </c>
      <c r="S179">
        <f>'Age by income band distribution'!C182</f>
        <v>0</v>
      </c>
      <c r="T179">
        <f>'Age by income band distribution'!D182+'Age by income band distribution'!E182</f>
        <v>10</v>
      </c>
      <c r="U179">
        <f>'Age by income band distribution'!F182+'Age by income band distribution'!G182</f>
        <v>290</v>
      </c>
      <c r="V179">
        <f>'Age by income band distribution'!H182+'Age by income band distribution'!I182</f>
        <v>830</v>
      </c>
      <c r="W179">
        <f>'Age by income band distribution'!J182+'Age by income band distribution'!K182</f>
        <v>940</v>
      </c>
      <c r="X179">
        <f>'Age by income band distribution'!L182+'Age by income band distribution'!M182</f>
        <v>640</v>
      </c>
      <c r="Y179">
        <f>'Age by income band distribution'!N182+'Age by income band distribution'!O182+'Age by income band distribution'!P182</f>
        <v>420</v>
      </c>
    </row>
    <row r="180" spans="1:25" x14ac:dyDescent="0.2">
      <c r="A180" s="50">
        <v>177000</v>
      </c>
      <c r="B180" s="1"/>
      <c r="C180" s="1">
        <f>'Income tables 2001-24'!AP186</f>
        <v>800</v>
      </c>
      <c r="D180" s="1">
        <f>'Income tables 2001-24'!BR186</f>
        <v>2500</v>
      </c>
      <c r="E180" s="1">
        <f>'Income tables 2001-24'!BU186</f>
        <v>3170</v>
      </c>
      <c r="F180" s="52"/>
      <c r="G180" s="52">
        <f>'Income tables 2001-24'!AQ186</f>
        <v>141.19999999999999</v>
      </c>
      <c r="H180" s="52">
        <f>'Income tables 2001-24'!BS186</f>
        <v>441.41</v>
      </c>
      <c r="I180" s="52">
        <f>'Income tables 2001-24'!BV186</f>
        <v>560.03</v>
      </c>
      <c r="J180" s="52"/>
      <c r="K180" s="52">
        <f>'Income tables 2001-24'!AR186</f>
        <v>39.299999999999997</v>
      </c>
      <c r="L180" s="52">
        <f>'Income tables 2001-24'!BT186</f>
        <v>122.95635920000001</v>
      </c>
      <c r="M180" s="52">
        <f>'Income tables 2001-24'!BW186</f>
        <v>155.99858032</v>
      </c>
      <c r="Q180" s="88" t="s">
        <v>235</v>
      </c>
      <c r="R180">
        <f>'Age by income band distribution'!B183</f>
        <v>10</v>
      </c>
      <c r="S180">
        <f>'Age by income band distribution'!C183</f>
        <v>0</v>
      </c>
      <c r="T180">
        <f>'Age by income band distribution'!D183+'Age by income band distribution'!E183</f>
        <v>0</v>
      </c>
      <c r="U180">
        <f>'Age by income band distribution'!F183+'Age by income band distribution'!G183</f>
        <v>300</v>
      </c>
      <c r="V180">
        <f>'Age by income band distribution'!H183+'Age by income band distribution'!I183</f>
        <v>830</v>
      </c>
      <c r="W180">
        <f>'Age by income band distribution'!J183+'Age by income band distribution'!K183</f>
        <v>950</v>
      </c>
      <c r="X180">
        <f>'Age by income band distribution'!L183+'Age by income band distribution'!M183</f>
        <v>750</v>
      </c>
      <c r="Y180">
        <f>'Age by income band distribution'!N183+'Age by income band distribution'!O183+'Age by income band distribution'!P183</f>
        <v>400</v>
      </c>
    </row>
    <row r="181" spans="1:25" x14ac:dyDescent="0.2">
      <c r="A181" s="50">
        <v>178000</v>
      </c>
      <c r="B181" s="1"/>
      <c r="C181" s="1">
        <f>'Income tables 2001-24'!AP187</f>
        <v>610</v>
      </c>
      <c r="D181" s="1">
        <f>'Income tables 2001-24'!BR187</f>
        <v>2480</v>
      </c>
      <c r="E181" s="1">
        <f>'Income tables 2001-24'!BU187</f>
        <v>3150</v>
      </c>
      <c r="F181" s="52"/>
      <c r="G181" s="52">
        <f>'Income tables 2001-24'!AQ187</f>
        <v>108.3</v>
      </c>
      <c r="H181" s="52">
        <f>'Income tables 2001-24'!BS187</f>
        <v>440.21</v>
      </c>
      <c r="I181" s="52">
        <f>'Income tables 2001-24'!BV187</f>
        <v>559.69000000000005</v>
      </c>
      <c r="J181" s="52"/>
      <c r="K181" s="52">
        <f>'Income tables 2001-24'!AR187</f>
        <v>30.2</v>
      </c>
      <c r="L181" s="52">
        <f>'Income tables 2001-24'!BT187</f>
        <v>122.75130865999999</v>
      </c>
      <c r="M181" s="52">
        <f>'Income tables 2001-24'!BW187</f>
        <v>156.06882716999999</v>
      </c>
      <c r="Q181" s="88" t="s">
        <v>236</v>
      </c>
      <c r="R181">
        <f>'Age by income band distribution'!B184</f>
        <v>0</v>
      </c>
      <c r="S181">
        <f>'Age by income band distribution'!C184</f>
        <v>0</v>
      </c>
      <c r="T181">
        <f>'Age by income band distribution'!D184+'Age by income band distribution'!E184</f>
        <v>10</v>
      </c>
      <c r="U181">
        <f>'Age by income band distribution'!F184+'Age by income band distribution'!G184</f>
        <v>310</v>
      </c>
      <c r="V181">
        <f>'Age by income band distribution'!H184+'Age by income band distribution'!I184</f>
        <v>810</v>
      </c>
      <c r="W181">
        <f>'Age by income band distribution'!J184+'Age by income band distribution'!K184</f>
        <v>880</v>
      </c>
      <c r="X181">
        <f>'Age by income band distribution'!L184+'Age by income band distribution'!M184</f>
        <v>720</v>
      </c>
      <c r="Y181">
        <f>'Age by income band distribution'!N184+'Age by income band distribution'!O184+'Age by income band distribution'!P184</f>
        <v>430</v>
      </c>
    </row>
    <row r="182" spans="1:25" x14ac:dyDescent="0.2">
      <c r="A182" s="50">
        <v>179000</v>
      </c>
      <c r="B182" s="1"/>
      <c r="C182" s="1">
        <f>'Income tables 2001-24'!AP188</f>
        <v>570</v>
      </c>
      <c r="D182" s="1">
        <f>'Income tables 2001-24'!BR188</f>
        <v>2820</v>
      </c>
      <c r="E182" s="1">
        <f>'Income tables 2001-24'!BU188</f>
        <v>3380</v>
      </c>
      <c r="F182" s="52"/>
      <c r="G182" s="52">
        <f>'Income tables 2001-24'!AQ188</f>
        <v>101.8</v>
      </c>
      <c r="H182" s="52">
        <f>'Income tables 2001-24'!BS188</f>
        <v>502.87</v>
      </c>
      <c r="I182" s="52">
        <f>'Income tables 2001-24'!BV188</f>
        <v>603.69000000000005</v>
      </c>
      <c r="J182" s="52"/>
      <c r="K182" s="52">
        <f>'Income tables 2001-24'!AR188</f>
        <v>28.4</v>
      </c>
      <c r="L182" s="52">
        <f>'Income tables 2001-24'!BT188</f>
        <v>140.36986266999997</v>
      </c>
      <c r="M182" s="52">
        <f>'Income tables 2001-24'!BW188</f>
        <v>168.50789690000002</v>
      </c>
      <c r="Q182" s="88" t="s">
        <v>237</v>
      </c>
      <c r="R182">
        <f>'Age by income band distribution'!B185</f>
        <v>10</v>
      </c>
      <c r="S182">
        <f>'Age by income band distribution'!C185</f>
        <v>0</v>
      </c>
      <c r="T182">
        <f>'Age by income band distribution'!D185+'Age by income band distribution'!E185</f>
        <v>0</v>
      </c>
      <c r="U182">
        <f>'Age by income band distribution'!F185+'Age by income band distribution'!G185</f>
        <v>300</v>
      </c>
      <c r="V182">
        <f>'Age by income band distribution'!H185+'Age by income band distribution'!I185</f>
        <v>800</v>
      </c>
      <c r="W182">
        <f>'Age by income band distribution'!J185+'Age by income band distribution'!K185</f>
        <v>890</v>
      </c>
      <c r="X182">
        <f>'Age by income band distribution'!L185+'Age by income band distribution'!M185</f>
        <v>710</v>
      </c>
      <c r="Y182">
        <f>'Age by income band distribution'!N185+'Age by income band distribution'!O185+'Age by income band distribution'!P185</f>
        <v>440</v>
      </c>
    </row>
    <row r="183" spans="1:25" x14ac:dyDescent="0.2">
      <c r="A183" s="50">
        <v>180000</v>
      </c>
      <c r="B183" s="1"/>
      <c r="C183" s="1">
        <f>'Income tables 2001-24'!AP189</f>
        <v>710</v>
      </c>
      <c r="D183" s="1">
        <f>'Income tables 2001-24'!BR189</f>
        <v>5330</v>
      </c>
      <c r="E183" s="1">
        <f>'Income tables 2001-24'!BU189</f>
        <v>7110</v>
      </c>
      <c r="F183" s="52"/>
      <c r="G183" s="52">
        <f>'Income tables 2001-24'!AQ189</f>
        <v>127.5</v>
      </c>
      <c r="H183" s="52">
        <f>'Income tables 2001-24'!BS189</f>
        <v>957.37</v>
      </c>
      <c r="I183" s="52">
        <f>'Income tables 2001-24'!BV189</f>
        <v>1277.0999999999999</v>
      </c>
      <c r="J183" s="52"/>
      <c r="K183" s="52">
        <f>'Income tables 2001-24'!AR189</f>
        <v>35.6</v>
      </c>
      <c r="L183" s="52">
        <f>'Income tables 2001-24'!BT189</f>
        <v>267.54367478</v>
      </c>
      <c r="M183" s="52">
        <f>'Income tables 2001-24'!BW189</f>
        <v>356.90099305000001</v>
      </c>
      <c r="Q183" s="88" t="s">
        <v>238</v>
      </c>
      <c r="R183">
        <f>'Age by income band distribution'!B186</f>
        <v>10</v>
      </c>
      <c r="S183">
        <f>'Age by income band distribution'!C186</f>
        <v>0</v>
      </c>
      <c r="T183">
        <f>'Age by income band distribution'!D186+'Age by income band distribution'!E186</f>
        <v>10</v>
      </c>
      <c r="U183">
        <f>'Age by income band distribution'!F186+'Age by income band distribution'!G186</f>
        <v>330</v>
      </c>
      <c r="V183">
        <f>'Age by income band distribution'!H186+'Age by income band distribution'!I186</f>
        <v>840</v>
      </c>
      <c r="W183">
        <f>'Age by income band distribution'!J186+'Age by income band distribution'!K186</f>
        <v>970</v>
      </c>
      <c r="X183">
        <f>'Age by income band distribution'!L186+'Age by income band distribution'!M186</f>
        <v>790</v>
      </c>
      <c r="Y183">
        <f>'Age by income band distribution'!N186+'Age by income band distribution'!O186+'Age by income band distribution'!P186</f>
        <v>420</v>
      </c>
    </row>
    <row r="184" spans="1:25" x14ac:dyDescent="0.2">
      <c r="A184" s="50">
        <v>181000</v>
      </c>
      <c r="B184" s="1"/>
      <c r="C184" s="1">
        <f>'Income tables 2001-24'!AP190</f>
        <v>680</v>
      </c>
      <c r="D184" s="1">
        <f>'Income tables 2001-24'!BR190</f>
        <v>3670</v>
      </c>
      <c r="E184" s="1">
        <f>'Income tables 2001-24'!BU190</f>
        <v>4550</v>
      </c>
      <c r="F184" s="52"/>
      <c r="G184" s="52">
        <f>'Income tables 2001-24'!AQ190</f>
        <v>122.8</v>
      </c>
      <c r="H184" s="52">
        <f>'Income tables 2001-24'!BS190</f>
        <v>662.74</v>
      </c>
      <c r="I184" s="52">
        <f>'Income tables 2001-24'!BV190</f>
        <v>821.33</v>
      </c>
      <c r="J184" s="52"/>
      <c r="K184" s="52">
        <f>'Income tables 2001-24'!AR190</f>
        <v>34.299999999999997</v>
      </c>
      <c r="L184" s="52">
        <f>'Income tables 2001-24'!BT190</f>
        <v>185.42831371</v>
      </c>
      <c r="M184" s="52">
        <f>'Income tables 2001-24'!BW190</f>
        <v>229.80670194999999</v>
      </c>
      <c r="Q184" s="88" t="s">
        <v>239</v>
      </c>
      <c r="R184">
        <f>'Age by income band distribution'!B187</f>
        <v>40</v>
      </c>
      <c r="S184">
        <f>'Age by income band distribution'!C187</f>
        <v>0</v>
      </c>
      <c r="T184">
        <f>'Age by income band distribution'!D187+'Age by income band distribution'!E187</f>
        <v>50</v>
      </c>
      <c r="U184">
        <f>'Age by income band distribution'!F187+'Age by income band distribution'!G187</f>
        <v>550</v>
      </c>
      <c r="V184">
        <f>'Age by income band distribution'!H187+'Age by income band distribution'!I187</f>
        <v>1600</v>
      </c>
      <c r="W184">
        <f>'Age by income band distribution'!J187+'Age by income band distribution'!K187</f>
        <v>1880</v>
      </c>
      <c r="X184">
        <f>'Age by income band distribution'!L187+'Age by income band distribution'!M187</f>
        <v>1760</v>
      </c>
      <c r="Y184">
        <f>'Age by income band distribution'!N187+'Age by income band distribution'!O187+'Age by income band distribution'!P187</f>
        <v>1230</v>
      </c>
    </row>
    <row r="185" spans="1:25" x14ac:dyDescent="0.2">
      <c r="A185" s="50">
        <v>182000</v>
      </c>
      <c r="B185" s="1"/>
      <c r="C185" s="1">
        <f>'Income tables 2001-24'!AP191</f>
        <v>710</v>
      </c>
      <c r="D185" s="1">
        <f>'Income tables 2001-24'!BR191</f>
        <v>2170</v>
      </c>
      <c r="E185" s="1">
        <f>'Income tables 2001-24'!BU191</f>
        <v>2750</v>
      </c>
      <c r="F185" s="52"/>
      <c r="G185" s="52">
        <f>'Income tables 2001-24'!AQ191</f>
        <v>128.80000000000001</v>
      </c>
      <c r="H185" s="52">
        <f>'Income tables 2001-24'!BS191</f>
        <v>393.11</v>
      </c>
      <c r="I185" s="52">
        <f>'Income tables 2001-24'!BV191</f>
        <v>498.92</v>
      </c>
      <c r="J185" s="52"/>
      <c r="K185" s="52">
        <f>'Income tables 2001-24'!AR191</f>
        <v>36.1</v>
      </c>
      <c r="L185" s="52">
        <f>'Income tables 2001-24'!BT191</f>
        <v>110.25366815999999</v>
      </c>
      <c r="M185" s="52">
        <f>'Income tables 2001-24'!BW191</f>
        <v>139.92982988999998</v>
      </c>
      <c r="Q185" s="88" t="s">
        <v>325</v>
      </c>
      <c r="R185">
        <f>'Age by income band distribution'!B188</f>
        <v>340</v>
      </c>
      <c r="S185">
        <f>'Age by income band distribution'!C188</f>
        <v>10</v>
      </c>
      <c r="T185">
        <f>'Age by income band distribution'!D188+'Age by income band distribution'!E188</f>
        <v>220</v>
      </c>
      <c r="U185">
        <f>'Age by income band distribution'!F188+'Age by income band distribution'!G188</f>
        <v>9750</v>
      </c>
      <c r="V185">
        <f>'Age by income band distribution'!H188+'Age by income band distribution'!I188</f>
        <v>37240</v>
      </c>
      <c r="W185">
        <f>'Age by income band distribution'!J188+'Age by income band distribution'!K188</f>
        <v>49540</v>
      </c>
      <c r="X185">
        <f>'Age by income band distribution'!L188+'Age by income band distribution'!M188</f>
        <v>37260</v>
      </c>
      <c r="Y185">
        <f>'Age by income band distribution'!N188+'Age by income band distribution'!O188+'Age by income band distribution'!P188</f>
        <v>19370</v>
      </c>
    </row>
    <row r="186" spans="1:25" x14ac:dyDescent="0.2">
      <c r="A186" s="50">
        <v>183000</v>
      </c>
      <c r="B186" s="1"/>
      <c r="C186" s="1">
        <f>'Income tables 2001-24'!AP192</f>
        <v>670</v>
      </c>
      <c r="D186" s="1">
        <f>'Income tables 2001-24'!BR192</f>
        <v>1980</v>
      </c>
      <c r="E186" s="1">
        <f>'Income tables 2001-24'!BU192</f>
        <v>2510</v>
      </c>
      <c r="F186" s="52"/>
      <c r="G186" s="52">
        <f>'Income tables 2001-24'!AQ192</f>
        <v>122.2</v>
      </c>
      <c r="H186" s="52">
        <f>'Income tables 2001-24'!BS192</f>
        <v>360.61</v>
      </c>
      <c r="I186" s="52">
        <f>'Income tables 2001-24'!BV192</f>
        <v>457.54</v>
      </c>
      <c r="J186" s="52"/>
      <c r="K186" s="52">
        <f>'Income tables 2001-24'!AR192</f>
        <v>34.299999999999997</v>
      </c>
      <c r="L186" s="52">
        <f>'Income tables 2001-24'!BT192</f>
        <v>101.35483074</v>
      </c>
      <c r="M186" s="52">
        <f>'Income tables 2001-24'!BW192</f>
        <v>128.6022543</v>
      </c>
      <c r="Q186" t="s">
        <v>315</v>
      </c>
      <c r="R186" s="1">
        <f>'Age by income band distribution'!B189</f>
        <v>5050</v>
      </c>
      <c r="S186">
        <f>'Age by income band distribution'!C189</f>
        <v>206020</v>
      </c>
      <c r="T186">
        <f>'Age by income band distribution'!D189+'Age by income band distribution'!E189</f>
        <v>620080</v>
      </c>
      <c r="U186">
        <f>'Age by income band distribution'!F189+'Age by income band distribution'!G189</f>
        <v>852470</v>
      </c>
      <c r="V186">
        <f>'Age by income band distribution'!H189+'Age by income band distribution'!I189</f>
        <v>784020</v>
      </c>
      <c r="W186">
        <f>'Age by income band distribution'!J189+'Age by income band distribution'!K189</f>
        <v>674900</v>
      </c>
      <c r="X186">
        <f>'Age by income band distribution'!L189+'Age by income band distribution'!M189</f>
        <v>636670</v>
      </c>
      <c r="Y186">
        <f>'Age by income band distribution'!N189+'Age by income band distribution'!O189+'Age by income band distribution'!P189</f>
        <v>915670</v>
      </c>
    </row>
    <row r="187" spans="1:25" x14ac:dyDescent="0.2">
      <c r="A187" s="50">
        <v>184000</v>
      </c>
      <c r="B187" s="1"/>
      <c r="C187" s="1">
        <f>'Income tables 2001-24'!AP193</f>
        <v>780</v>
      </c>
      <c r="D187" s="1">
        <f>'Income tables 2001-24'!BR193</f>
        <v>1830</v>
      </c>
      <c r="E187" s="1">
        <f>'Income tables 2001-24'!BU193</f>
        <v>2330</v>
      </c>
      <c r="F187" s="52"/>
      <c r="G187" s="52">
        <f>'Income tables 2001-24'!AQ193</f>
        <v>143.1</v>
      </c>
      <c r="H187" s="52">
        <f>'Income tables 2001-24'!BS193</f>
        <v>335.06</v>
      </c>
      <c r="I187" s="52">
        <f>'Income tables 2001-24'!BV193</f>
        <v>427.18</v>
      </c>
      <c r="J187" s="52"/>
      <c r="K187" s="52">
        <f>'Income tables 2001-24'!AR193</f>
        <v>40.1</v>
      </c>
      <c r="L187" s="52">
        <f>'Income tables 2001-24'!BT193</f>
        <v>94.373033239999998</v>
      </c>
      <c r="M187" s="52">
        <f>'Income tables 2001-24'!BW193</f>
        <v>120.31800702</v>
      </c>
    </row>
    <row r="188" spans="1:25" x14ac:dyDescent="0.2">
      <c r="A188" s="50">
        <v>185000</v>
      </c>
      <c r="B188" s="1"/>
      <c r="C188" s="1">
        <f>'Income tables 2001-24'!AP194</f>
        <v>700</v>
      </c>
      <c r="D188" s="1">
        <f>'Income tables 2001-24'!BR194</f>
        <v>1820</v>
      </c>
      <c r="E188" s="1">
        <f>'Income tables 2001-24'!BU194</f>
        <v>2400</v>
      </c>
      <c r="F188" s="52"/>
      <c r="G188" s="52">
        <f>'Income tables 2001-24'!AQ194</f>
        <v>129.1</v>
      </c>
      <c r="H188" s="52">
        <f>'Income tables 2001-24'!BS194</f>
        <v>335.8</v>
      </c>
      <c r="I188" s="52">
        <f>'Income tables 2001-24'!BV194</f>
        <v>442.26</v>
      </c>
      <c r="J188" s="52"/>
      <c r="K188" s="52">
        <f>'Income tables 2001-24'!AR194</f>
        <v>36.299999999999997</v>
      </c>
      <c r="L188" s="52">
        <f>'Income tables 2001-24'!BT194</f>
        <v>94.781616389999996</v>
      </c>
      <c r="M188" s="52">
        <f>'Income tables 2001-24'!BW194</f>
        <v>124.82720123999999</v>
      </c>
    </row>
    <row r="189" spans="1:25" x14ac:dyDescent="0.2">
      <c r="A189" s="50">
        <v>186000</v>
      </c>
      <c r="B189" s="1"/>
      <c r="C189" s="1">
        <f>'Income tables 2001-24'!AP195</f>
        <v>520</v>
      </c>
      <c r="D189" s="1">
        <f>'Income tables 2001-24'!BR195</f>
        <v>1820</v>
      </c>
      <c r="E189" s="1">
        <f>'Income tables 2001-24'!BU195</f>
        <v>2430</v>
      </c>
      <c r="F189" s="52"/>
      <c r="G189" s="52">
        <f>'Income tables 2001-24'!AQ195</f>
        <v>96.4</v>
      </c>
      <c r="H189" s="52">
        <f>'Income tables 2001-24'!BS195</f>
        <v>338.31</v>
      </c>
      <c r="I189" s="52">
        <f>'Income tables 2001-24'!BV195</f>
        <v>450.16</v>
      </c>
      <c r="J189" s="52"/>
      <c r="K189" s="52">
        <f>'Income tables 2001-24'!AR195</f>
        <v>27.1</v>
      </c>
      <c r="L189" s="52">
        <f>'Income tables 2001-24'!BT195</f>
        <v>95.679922860000005</v>
      </c>
      <c r="M189" s="52">
        <f>'Income tables 2001-24'!BW195</f>
        <v>127.31382201000001</v>
      </c>
    </row>
    <row r="190" spans="1:25" x14ac:dyDescent="0.2">
      <c r="A190" s="50">
        <v>187000</v>
      </c>
      <c r="B190" s="1"/>
      <c r="C190" s="1">
        <f>'Income tables 2001-24'!AP196</f>
        <v>750</v>
      </c>
      <c r="D190" s="1">
        <f>'Income tables 2001-24'!BR196</f>
        <v>1690</v>
      </c>
      <c r="E190" s="1">
        <f>'Income tables 2001-24'!BU196</f>
        <v>2100</v>
      </c>
      <c r="F190" s="52"/>
      <c r="G190" s="52">
        <f>'Income tables 2001-24'!AQ196</f>
        <v>139.9</v>
      </c>
      <c r="H190" s="52">
        <f>'Income tables 2001-24'!BS196</f>
        <v>314.82</v>
      </c>
      <c r="I190" s="52">
        <f>'Income tables 2001-24'!BV196</f>
        <v>391.24</v>
      </c>
      <c r="J190" s="52"/>
      <c r="K190" s="52">
        <f>'Income tables 2001-24'!AR196</f>
        <v>39.299999999999997</v>
      </c>
      <c r="L190" s="52">
        <f>'Income tables 2001-24'!BT196</f>
        <v>89.222863790000005</v>
      </c>
      <c r="M190" s="52">
        <f>'Income tables 2001-24'!BW196</f>
        <v>110.87714118000001</v>
      </c>
    </row>
    <row r="191" spans="1:25" x14ac:dyDescent="0.2">
      <c r="A191" s="50">
        <v>188000</v>
      </c>
      <c r="B191" s="1"/>
      <c r="C191" s="1">
        <f>'Income tables 2001-24'!AP197</f>
        <v>470</v>
      </c>
      <c r="D191" s="1">
        <f>'Income tables 2001-24'!BR197</f>
        <v>1670</v>
      </c>
      <c r="E191" s="1">
        <f>'Income tables 2001-24'!BU197</f>
        <v>2050</v>
      </c>
      <c r="F191" s="52"/>
      <c r="G191" s="52">
        <f>'Income tables 2001-24'!AQ197</f>
        <v>88.1</v>
      </c>
      <c r="H191" s="52">
        <f>'Income tables 2001-24'!BS197</f>
        <v>313.86</v>
      </c>
      <c r="I191" s="52">
        <f>'Income tables 2001-24'!BV197</f>
        <v>384.79</v>
      </c>
      <c r="J191" s="52"/>
      <c r="K191" s="52">
        <f>'Income tables 2001-24'!AR197</f>
        <v>24.8</v>
      </c>
      <c r="L191" s="52">
        <f>'Income tables 2001-24'!BT197</f>
        <v>89.125330079999998</v>
      </c>
      <c r="M191" s="52">
        <f>'Income tables 2001-24'!BW197</f>
        <v>109.27334784</v>
      </c>
    </row>
    <row r="192" spans="1:25" x14ac:dyDescent="0.2">
      <c r="A192" s="50">
        <v>189000</v>
      </c>
      <c r="B192" s="1"/>
      <c r="C192" s="1">
        <f>'Income tables 2001-24'!AP198</f>
        <v>480</v>
      </c>
      <c r="D192" s="1">
        <f>'Income tables 2001-24'!BR198</f>
        <v>1570</v>
      </c>
      <c r="E192" s="1">
        <f>'Income tables 2001-24'!BU198</f>
        <v>1870</v>
      </c>
      <c r="F192" s="52"/>
      <c r="G192" s="52">
        <f>'Income tables 2001-24'!AQ198</f>
        <v>90.5</v>
      </c>
      <c r="H192" s="52">
        <f>'Income tables 2001-24'!BS198</f>
        <v>296.32</v>
      </c>
      <c r="I192" s="52">
        <f>'Income tables 2001-24'!BV198</f>
        <v>352.3</v>
      </c>
      <c r="J192" s="52"/>
      <c r="K192" s="52">
        <f>'Income tables 2001-24'!AR198</f>
        <v>25.5</v>
      </c>
      <c r="L192" s="52">
        <f>'Income tables 2001-24'!BT198</f>
        <v>84.31308159999999</v>
      </c>
      <c r="M192" s="52">
        <f>'Income tables 2001-24'!BW198</f>
        <v>100.24273406</v>
      </c>
    </row>
    <row r="193" spans="1:13" x14ac:dyDescent="0.2">
      <c r="A193" s="50">
        <v>190000</v>
      </c>
      <c r="B193" s="1"/>
      <c r="C193" s="1">
        <f>'Income tables 2001-24'!AP199</f>
        <v>570</v>
      </c>
      <c r="D193" s="1">
        <f>'Income tables 2001-24'!BR199</f>
        <v>1550</v>
      </c>
      <c r="E193" s="1">
        <f>'Income tables 2001-24'!BU199</f>
        <v>2000</v>
      </c>
      <c r="F193" s="52"/>
      <c r="G193" s="52">
        <f>'Income tables 2001-24'!AQ199</f>
        <v>108</v>
      </c>
      <c r="H193" s="52">
        <f>'Income tables 2001-24'!BS199</f>
        <v>294.31</v>
      </c>
      <c r="I193" s="52">
        <f>'Income tables 2001-24'!BV199</f>
        <v>379</v>
      </c>
      <c r="J193" s="52"/>
      <c r="K193" s="52">
        <f>'Income tables 2001-24'!AR199</f>
        <v>30.5</v>
      </c>
      <c r="L193" s="52">
        <f>'Income tables 2001-24'!BT199</f>
        <v>83.906486349999994</v>
      </c>
      <c r="M193" s="52">
        <f>'Income tables 2001-24'!BW199</f>
        <v>108.05171141</v>
      </c>
    </row>
    <row r="194" spans="1:13" x14ac:dyDescent="0.2">
      <c r="A194" s="50">
        <v>191000</v>
      </c>
      <c r="B194" s="1"/>
      <c r="C194" s="1">
        <f>'Income tables 2001-24'!AP200</f>
        <v>600</v>
      </c>
      <c r="D194" s="1">
        <f>'Income tables 2001-24'!BR200</f>
        <v>1660</v>
      </c>
      <c r="E194" s="1">
        <f>'Income tables 2001-24'!BU200</f>
        <v>2000</v>
      </c>
      <c r="F194" s="52"/>
      <c r="G194" s="52">
        <f>'Income tables 2001-24'!AQ200</f>
        <v>114.3</v>
      </c>
      <c r="H194" s="52">
        <f>'Income tables 2001-24'!BS200</f>
        <v>315.82</v>
      </c>
      <c r="I194" s="52">
        <f>'Income tables 2001-24'!BV200</f>
        <v>381.74</v>
      </c>
      <c r="J194" s="52"/>
      <c r="K194" s="52">
        <f>'Income tables 2001-24'!AR200</f>
        <v>32.299999999999997</v>
      </c>
      <c r="L194" s="52">
        <f>'Income tables 2001-24'!BT200</f>
        <v>90.209700819999995</v>
      </c>
      <c r="M194" s="52">
        <f>'Income tables 2001-24'!BW200</f>
        <v>109.03768092</v>
      </c>
    </row>
    <row r="195" spans="1:13" x14ac:dyDescent="0.2">
      <c r="A195" s="50">
        <v>192000</v>
      </c>
      <c r="B195" s="1"/>
      <c r="C195" s="1">
        <f>'Income tables 2001-24'!AP201</f>
        <v>490</v>
      </c>
      <c r="D195" s="1">
        <f>'Income tables 2001-24'!BR201</f>
        <v>1500</v>
      </c>
      <c r="E195" s="1">
        <f>'Income tables 2001-24'!BU201</f>
        <v>1890</v>
      </c>
      <c r="F195" s="52"/>
      <c r="G195" s="52">
        <f>'Income tables 2001-24'!AQ201</f>
        <v>93.8</v>
      </c>
      <c r="H195" s="52">
        <f>'Income tables 2001-24'!BS201</f>
        <v>286.49</v>
      </c>
      <c r="I195" s="52">
        <f>'Income tables 2001-24'!BV201</f>
        <v>362.11</v>
      </c>
      <c r="J195" s="52"/>
      <c r="K195" s="52">
        <f>'Income tables 2001-24'!AR201</f>
        <v>26.5</v>
      </c>
      <c r="L195" s="52">
        <f>'Income tables 2001-24'!BT201</f>
        <v>81.99155162000001</v>
      </c>
      <c r="M195" s="52">
        <f>'Income tables 2001-24'!BW201</f>
        <v>103.63145788</v>
      </c>
    </row>
    <row r="196" spans="1:13" x14ac:dyDescent="0.2">
      <c r="A196" s="50">
        <v>193000</v>
      </c>
      <c r="B196" s="1"/>
      <c r="C196" s="1">
        <f>'Income tables 2001-24'!AP202</f>
        <v>710</v>
      </c>
      <c r="D196" s="1">
        <f>'Income tables 2001-24'!BR202</f>
        <v>1460</v>
      </c>
      <c r="E196" s="1">
        <f>'Income tables 2001-24'!BU202</f>
        <v>1800</v>
      </c>
      <c r="F196" s="52"/>
      <c r="G196" s="52">
        <f>'Income tables 2001-24'!AQ202</f>
        <v>136.69999999999999</v>
      </c>
      <c r="H196" s="52">
        <f>'Income tables 2001-24'!BS202</f>
        <v>281.61</v>
      </c>
      <c r="I196" s="52">
        <f>'Income tables 2001-24'!BV202</f>
        <v>345.52</v>
      </c>
      <c r="J196" s="52"/>
      <c r="K196" s="52">
        <f>'Income tables 2001-24'!AR202</f>
        <v>38.700000000000003</v>
      </c>
      <c r="L196" s="52">
        <f>'Income tables 2001-24'!BT202</f>
        <v>80.744841900000011</v>
      </c>
      <c r="M196" s="52">
        <f>'Income tables 2001-24'!BW202</f>
        <v>99.06738931999999</v>
      </c>
    </row>
    <row r="197" spans="1:13" x14ac:dyDescent="0.2">
      <c r="A197" s="50">
        <v>194000</v>
      </c>
      <c r="B197" s="1"/>
      <c r="C197" s="1">
        <f>'Income tables 2001-24'!AP203</f>
        <v>380</v>
      </c>
      <c r="D197" s="1">
        <f>'Income tables 2001-24'!BR203</f>
        <v>1370</v>
      </c>
      <c r="E197" s="1">
        <f>'Income tables 2001-24'!BU203</f>
        <v>1750</v>
      </c>
      <c r="F197" s="52"/>
      <c r="G197" s="52">
        <f>'Income tables 2001-24'!AQ203</f>
        <v>73.599999999999994</v>
      </c>
      <c r="H197" s="52">
        <f>'Income tables 2001-24'!BS203</f>
        <v>265.10000000000002</v>
      </c>
      <c r="I197" s="52">
        <f>'Income tables 2001-24'!BV203</f>
        <v>338.42</v>
      </c>
      <c r="J197" s="52"/>
      <c r="K197" s="52">
        <f>'Income tables 2001-24'!AR203</f>
        <v>20.8</v>
      </c>
      <c r="L197" s="52">
        <f>'Income tables 2001-24'!BT203</f>
        <v>76.152905579999995</v>
      </c>
      <c r="M197" s="52">
        <f>'Income tables 2001-24'!BW203</f>
        <v>97.215266849999992</v>
      </c>
    </row>
    <row r="198" spans="1:13" x14ac:dyDescent="0.2">
      <c r="A198" s="50">
        <v>195000</v>
      </c>
      <c r="B198" s="1"/>
      <c r="C198" s="1">
        <f>'Income tables 2001-24'!AP204</f>
        <v>570</v>
      </c>
      <c r="D198" s="1">
        <f>'Income tables 2001-24'!BR204</f>
        <v>1420</v>
      </c>
      <c r="E198" s="1">
        <f>'Income tables 2001-24'!BU204</f>
        <v>1740</v>
      </c>
      <c r="F198" s="52"/>
      <c r="G198" s="52">
        <f>'Income tables 2001-24'!AQ204</f>
        <v>110.9</v>
      </c>
      <c r="H198" s="52">
        <f>'Income tables 2001-24'!BS204</f>
        <v>275.41000000000003</v>
      </c>
      <c r="I198" s="52">
        <f>'Income tables 2001-24'!BV204</f>
        <v>337.65</v>
      </c>
      <c r="J198" s="52"/>
      <c r="K198" s="52">
        <f>'Income tables 2001-24'!AR204</f>
        <v>31.4</v>
      </c>
      <c r="L198" s="52">
        <f>'Income tables 2001-24'!BT204</f>
        <v>79.260210450000002</v>
      </c>
      <c r="M198" s="52">
        <f>'Income tables 2001-24'!BW204</f>
        <v>97.171651620000006</v>
      </c>
    </row>
    <row r="199" spans="1:13" x14ac:dyDescent="0.2">
      <c r="A199" s="50">
        <v>196000</v>
      </c>
      <c r="B199" s="1"/>
      <c r="C199" s="1">
        <f>'Income tables 2001-24'!AP205</f>
        <v>720</v>
      </c>
      <c r="D199" s="1">
        <f>'Income tables 2001-24'!BR205</f>
        <v>1390</v>
      </c>
      <c r="E199" s="1">
        <f>'Income tables 2001-24'!BU205</f>
        <v>1680</v>
      </c>
      <c r="F199" s="52"/>
      <c r="G199" s="52">
        <f>'Income tables 2001-24'!AQ205</f>
        <v>140.69999999999999</v>
      </c>
      <c r="H199" s="52">
        <f>'Income tables 2001-24'!BS205</f>
        <v>271.52999999999997</v>
      </c>
      <c r="I199" s="52">
        <f>'Income tables 2001-24'!BV205</f>
        <v>328.82</v>
      </c>
      <c r="J199" s="52"/>
      <c r="K199" s="52">
        <f>'Income tables 2001-24'!AR205</f>
        <v>39.9</v>
      </c>
      <c r="L199" s="52">
        <f>'Income tables 2001-24'!BT205</f>
        <v>78.282479219999999</v>
      </c>
      <c r="M199" s="52">
        <f>'Income tables 2001-24'!BW205</f>
        <v>94.801690379999997</v>
      </c>
    </row>
    <row r="200" spans="1:13" x14ac:dyDescent="0.2">
      <c r="A200" s="50">
        <v>197000</v>
      </c>
      <c r="B200" s="1"/>
      <c r="C200" s="1">
        <f>'Income tables 2001-24'!AP206</f>
        <v>440</v>
      </c>
      <c r="D200" s="1">
        <f>'Income tables 2001-24'!BR206</f>
        <v>1320</v>
      </c>
      <c r="E200" s="1">
        <f>'Income tables 2001-24'!BU206</f>
        <v>1670</v>
      </c>
      <c r="F200" s="52"/>
      <c r="G200" s="52">
        <f>'Income tables 2001-24'!AQ206</f>
        <v>86.4</v>
      </c>
      <c r="H200" s="52">
        <f>'Income tables 2001-24'!BS206</f>
        <v>258.58999999999997</v>
      </c>
      <c r="I200" s="52">
        <f>'Income tables 2001-24'!BV206</f>
        <v>327.74</v>
      </c>
      <c r="J200" s="52"/>
      <c r="K200" s="52">
        <f>'Income tables 2001-24'!AR206</f>
        <v>24.5</v>
      </c>
      <c r="L200" s="52">
        <f>'Income tables 2001-24'!BT206</f>
        <v>74.68892305</v>
      </c>
      <c r="M200" s="52">
        <f>'Income tables 2001-24'!BW206</f>
        <v>94.658601329999996</v>
      </c>
    </row>
    <row r="201" spans="1:13" x14ac:dyDescent="0.2">
      <c r="A201" s="50">
        <v>198000</v>
      </c>
      <c r="B201" s="1"/>
      <c r="C201" s="1">
        <f>'Income tables 2001-24'!AP207</f>
        <v>450</v>
      </c>
      <c r="D201" s="1">
        <f>'Income tables 2001-24'!BR207</f>
        <v>1370</v>
      </c>
      <c r="E201" s="1">
        <f>'Income tables 2001-24'!BU207</f>
        <v>1590</v>
      </c>
      <c r="F201" s="52"/>
      <c r="G201" s="52">
        <f>'Income tables 2001-24'!AQ207</f>
        <v>88.9</v>
      </c>
      <c r="H201" s="52">
        <f>'Income tables 2001-24'!BS207</f>
        <v>270.58</v>
      </c>
      <c r="I201" s="52">
        <f>'Income tables 2001-24'!BV207</f>
        <v>314.43</v>
      </c>
      <c r="J201" s="52"/>
      <c r="K201" s="52">
        <f>'Income tables 2001-24'!AR207</f>
        <v>25.2</v>
      </c>
      <c r="L201" s="52">
        <f>'Income tables 2001-24'!BT207</f>
        <v>78.290500309999999</v>
      </c>
      <c r="M201" s="52">
        <f>'Income tables 2001-24'!BW207</f>
        <v>90.977805950000004</v>
      </c>
    </row>
    <row r="202" spans="1:13" x14ac:dyDescent="0.2">
      <c r="A202" s="50">
        <v>199000</v>
      </c>
      <c r="B202" s="1"/>
      <c r="C202" s="1">
        <f>'Income tables 2001-24'!AP208</f>
        <v>360</v>
      </c>
      <c r="D202" s="1">
        <f>'Income tables 2001-24'!BR208</f>
        <v>1250</v>
      </c>
      <c r="E202" s="1">
        <f>'Income tables 2001-24'!BU208</f>
        <v>1620</v>
      </c>
      <c r="F202" s="52"/>
      <c r="G202" s="52">
        <f>'Income tables 2001-24'!AQ208</f>
        <v>71.5</v>
      </c>
      <c r="H202" s="52">
        <f>'Income tables 2001-24'!BS208</f>
        <v>248.32</v>
      </c>
      <c r="I202" s="52">
        <f>'Income tables 2001-24'!BV208</f>
        <v>320.58999999999997</v>
      </c>
      <c r="J202" s="52"/>
      <c r="K202" s="52">
        <f>'Income tables 2001-24'!AR208</f>
        <v>20.3</v>
      </c>
      <c r="L202" s="52">
        <f>'Income tables 2001-24'!BT208</f>
        <v>71.974966659999993</v>
      </c>
      <c r="M202" s="52">
        <f>'Income tables 2001-24'!BW208</f>
        <v>92.922391989999994</v>
      </c>
    </row>
    <row r="203" spans="1:13" x14ac:dyDescent="0.2">
      <c r="A203" s="50">
        <v>200000</v>
      </c>
      <c r="B203" s="1"/>
      <c r="C203" s="1">
        <f>'Income tables 2001-24'!AP209</f>
        <v>680</v>
      </c>
      <c r="D203" s="1">
        <f>'Income tables 2001-24'!BR209</f>
        <v>1350</v>
      </c>
      <c r="E203" s="1">
        <f>'Income tables 2001-24'!BU209</f>
        <v>1740</v>
      </c>
      <c r="F203" s="52"/>
      <c r="G203" s="52">
        <f>'Income tables 2001-24'!AQ209</f>
        <v>135.69999999999999</v>
      </c>
      <c r="H203" s="52">
        <f>'Income tables 2001-24'!BS209</f>
        <v>268.8</v>
      </c>
      <c r="I203" s="52">
        <f>'Income tables 2001-24'!BV209</f>
        <v>347.38</v>
      </c>
      <c r="J203" s="52"/>
      <c r="K203" s="52">
        <f>'Income tables 2001-24'!AR209</f>
        <v>38.6</v>
      </c>
      <c r="L203" s="52">
        <f>'Income tables 2001-24'!BT209</f>
        <v>78.053787830000005</v>
      </c>
      <c r="M203" s="52">
        <f>'Income tables 2001-24'!BW209</f>
        <v>100.86590045999999</v>
      </c>
    </row>
    <row r="204" spans="1:13" x14ac:dyDescent="0.2">
      <c r="A204" s="50"/>
    </row>
    <row r="205" spans="1:13" x14ac:dyDescent="0.2">
      <c r="A205" s="50"/>
    </row>
    <row r="206" spans="1:13" x14ac:dyDescent="0.2">
      <c r="A206" s="50"/>
    </row>
    <row r="207" spans="1:13" x14ac:dyDescent="0.2">
      <c r="A207" s="50"/>
    </row>
    <row r="208" spans="1:13" x14ac:dyDescent="0.2">
      <c r="A208" s="50"/>
    </row>
    <row r="209" spans="1:1" x14ac:dyDescent="0.2">
      <c r="A209" s="50"/>
    </row>
    <row r="210" spans="1:1" x14ac:dyDescent="0.2">
      <c r="A210" s="50"/>
    </row>
    <row r="211" spans="1:1" x14ac:dyDescent="0.2">
      <c r="A211" s="50"/>
    </row>
    <row r="212" spans="1:1" x14ac:dyDescent="0.2">
      <c r="A212" s="50"/>
    </row>
    <row r="213" spans="1:1" x14ac:dyDescent="0.2">
      <c r="A213" s="50"/>
    </row>
    <row r="214" spans="1:1" x14ac:dyDescent="0.2">
      <c r="A214" s="50"/>
    </row>
    <row r="215" spans="1:1" x14ac:dyDescent="0.2">
      <c r="A215" s="50"/>
    </row>
    <row r="216" spans="1:1" x14ac:dyDescent="0.2">
      <c r="A216" s="50"/>
    </row>
    <row r="217" spans="1:1" x14ac:dyDescent="0.2">
      <c r="A217" s="50"/>
    </row>
    <row r="218" spans="1:1" x14ac:dyDescent="0.2">
      <c r="A218" s="50"/>
    </row>
    <row r="219" spans="1:1" x14ac:dyDescent="0.2">
      <c r="A219" s="50"/>
    </row>
    <row r="220" spans="1:1" x14ac:dyDescent="0.2">
      <c r="A220" s="50"/>
    </row>
    <row r="221" spans="1:1" x14ac:dyDescent="0.2">
      <c r="A221" s="50"/>
    </row>
    <row r="222" spans="1:1" x14ac:dyDescent="0.2">
      <c r="A222" s="50"/>
    </row>
    <row r="223" spans="1:1" x14ac:dyDescent="0.2">
      <c r="A223" s="50"/>
    </row>
    <row r="224" spans="1:1" x14ac:dyDescent="0.2">
      <c r="A224" s="51"/>
    </row>
  </sheetData>
  <mergeCells count="3">
    <mergeCell ref="B1:E1"/>
    <mergeCell ref="F1:I1"/>
    <mergeCell ref="J1:M1"/>
  </mergeCells>
  <pageMargins left="0.7" right="0.7" top="0.75" bottom="0.75" header="0.3" footer="0.3"/>
  <pageSetup paperSize="9" orientation="portrait" r:id="rId1"/>
  <headerFooter>
    <oddHeader>&amp;C&amp;"Verdana"&amp;8&amp;K000000[UNCLASSIFIED]&amp;1#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RNZDocument" ma:contentTypeID="0x010100A99A3D3464918141880706C171BD7BAA01008147ACEF40A7FB46ADFA656A8BBDCBF4" ma:contentTypeVersion="223" ma:contentTypeDescription="Inland Revenue NZ Document" ma:contentTypeScope="" ma:versionID="39d4e48b953353585b2c805b36960acf">
  <xsd:schema xmlns:xsd="http://www.w3.org/2001/XMLSchema" xmlns:xs="http://www.w3.org/2001/XMLSchema" xmlns:p="http://schemas.microsoft.com/office/2006/metadata/properties" xmlns:ns1="http://schemas.microsoft.com/sharepoint/v3" xmlns:ns2="bb3e7710-6c86-4f33-9fa7-57e5751d8f3f" xmlns:ns3="http://schemas.microsoft.com/sharepoint/v3/fields" xmlns:ns4="c5adfe54-fbe5-48bd-85df-7b64eb8cbe32" targetNamespace="http://schemas.microsoft.com/office/2006/metadata/properties" ma:root="true" ma:fieldsID="34249fdab8066f3d6dbf0d854b7bbd17" ns1:_="" ns2:_="" ns3:_="" ns4:_="">
    <xsd:import namespace="http://schemas.microsoft.com/sharepoint/v3"/>
    <xsd:import namespace="bb3e7710-6c86-4f33-9fa7-57e5751d8f3f"/>
    <xsd:import namespace="http://schemas.microsoft.com/sharepoint/v3/fields"/>
    <xsd:import namespace="c5adfe54-fbe5-48bd-85df-7b64eb8cbe32"/>
    <xsd:element name="properties">
      <xsd:complexType>
        <xsd:sequence>
          <xsd:element name="documentManagement">
            <xsd:complexType>
              <xsd:all>
                <xsd:element ref="ns2:_dlc_DocId" minOccurs="0"/>
                <xsd:element ref="ns2:_dlc_DocIdUrl" minOccurs="0"/>
                <xsd:element ref="ns2:_dlc_DocIdPersistId" minOccurs="0"/>
                <xsd:element ref="ns3:_Version" minOccurs="0"/>
                <xsd:element ref="ns3:wic_System_Copyright" minOccurs="0"/>
                <xsd:element ref="ns1:SecurityClassificationTaxHTField" minOccurs="0"/>
                <xsd:element ref="ns2:TaxCatchAll" minOccurs="0"/>
                <xsd:element ref="ns2:TaxCatchAllLabel" minOccurs="0"/>
                <xsd:element ref="ns1:InformationTypeTaxHTField" minOccurs="0"/>
                <xsd:element ref="ns1:BusinessUnitTaxHTField" minOccurs="0"/>
                <xsd:element ref="ns1:BusinessActivityTaxHTField" minOccurs="0"/>
                <xsd:element ref="ns1:DocumentStatusTaxHTField" minOccurs="0"/>
                <xsd:element ref="ns4:MediaServiceMetadata" minOccurs="0"/>
                <xsd:element ref="ns4:MediaServiceFastMetadata" minOccurs="0"/>
                <xsd:element ref="ns4:MediaServiceOCR" minOccurs="0"/>
                <xsd:element ref="ns4:MediaServiceGenerationTime" minOccurs="0"/>
                <xsd:element ref="ns4:MediaServiceEventHashCode" minOccurs="0"/>
                <xsd:element ref="ns4:MediaServiceDateTaken" minOccurs="0"/>
                <xsd:element ref="ns2:SharedWithUsers" minOccurs="0"/>
                <xsd:element ref="ns2:SharedWithDetails" minOccurs="0"/>
                <xsd:element ref="ns4:MediaServiceAutoKeyPoints" minOccurs="0"/>
                <xsd:element ref="ns4:MediaServiceKeyPoints" minOccurs="0"/>
                <xsd:element ref="ns4:lcf76f155ced4ddcb4097134ff3c332f" minOccurs="0"/>
                <xsd:element ref="ns4:MediaServiceSearchProperties" minOccurs="0"/>
                <xsd:element ref="ns4:MediaServiceObjectDetectorVersions" minOccurs="0"/>
                <xsd:element ref="ns4:MediaLengthInSeconds" minOccurs="0"/>
                <xsd:element ref="ns2:i0f84bba906045b4af568ee102a52dcb"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ecurityClassificationTaxHTField" ma:index="14" nillable="true" ma:taxonomy="true" ma:internalName="SecurityClassificationTaxHTField" ma:taxonomyFieldName="SecurityClassification" ma:displayName="Security Classification" ma:default="" ma:fieldId="{2f32f5bd-a907-45fd-bdaf-7ab6f283ee72}" ma:sspId="5927ce2a-d703-4d88-aeb0-762fc977e677" ma:termSetId="8ca4c15b-f438-4b25-aeeb-6af3186238a8" ma:anchorId="00000000-0000-0000-0000-000000000000" ma:open="false" ma:isKeyword="false">
      <xsd:complexType>
        <xsd:sequence>
          <xsd:element ref="pc:Terms" minOccurs="0" maxOccurs="1"/>
        </xsd:sequence>
      </xsd:complexType>
    </xsd:element>
    <xsd:element name="InformationTypeTaxHTField" ma:index="19" nillable="true" ma:taxonomy="true" ma:internalName="InformationTypeTaxHTField" ma:taxonomyFieldName="InformationType" ma:displayName="Information Type" ma:default="" ma:fieldId="{8fb119d1-9c50-490f-b5e6-737b1bfc5b86}" ma:sspId="5927ce2a-d703-4d88-aeb0-762fc977e677" ma:termSetId="fb36316d-ed76-4880-8cc4-a796bc5567d4" ma:anchorId="00000000-0000-0000-0000-000000000000" ma:open="false" ma:isKeyword="false">
      <xsd:complexType>
        <xsd:sequence>
          <xsd:element ref="pc:Terms" minOccurs="0" maxOccurs="1"/>
        </xsd:sequence>
      </xsd:complexType>
    </xsd:element>
    <xsd:element name="BusinessUnitTaxHTField" ma:index="21" nillable="true" ma:taxonomy="true" ma:internalName="BusinessUnitTaxHTField" ma:taxonomyFieldName="BusinessUnit" ma:displayName="Business Unit" ma:default="1;#Revenue Forecasting|22a6019e-35a7-4192-b120-5b0f20d70de5" ma:fieldId="{1d18cb4a-1f03-4570-adf9-d6a1ebf9e20b}" ma:sspId="5927ce2a-d703-4d88-aeb0-762fc977e677" ma:termSetId="8ed8c9ea-7052-4c1d-a4d7-b9c10bffea6f" ma:anchorId="00000000-0000-0000-0000-000000000000" ma:open="true" ma:isKeyword="false">
      <xsd:complexType>
        <xsd:sequence>
          <xsd:element ref="pc:Terms" minOccurs="0" maxOccurs="1"/>
        </xsd:sequence>
      </xsd:complexType>
    </xsd:element>
    <xsd:element name="BusinessActivityTaxHTField" ma:index="23" nillable="true" ma:taxonomy="true" ma:internalName="BusinessActivityTaxHTField" ma:taxonomyFieldName="BusinessActivity" ma:displayName="Business Activity" ma:default="" ma:fieldId="{8b785374-fa9b-49db-abe4-1b5a58a03ecd}" ma:sspId="5927ce2a-d703-4d88-aeb0-762fc977e677" ma:termSetId="27f16461-a9a1-4d80-ad53-ffc6708317a7" ma:anchorId="00000000-0000-0000-0000-000000000000" ma:open="false" ma:isKeyword="false">
      <xsd:complexType>
        <xsd:sequence>
          <xsd:element ref="pc:Terms" minOccurs="0" maxOccurs="1"/>
        </xsd:sequence>
      </xsd:complexType>
    </xsd:element>
    <xsd:element name="DocumentStatusTaxHTField" ma:index="25" nillable="true" ma:taxonomy="true" ma:internalName="DocumentStatusTaxHTField" ma:taxonomyFieldName="DocumentStatus" ma:displayName="Document Status" ma:default="" ma:fieldId="{0c319c61-60f4-4dca-bfac-89e3c05fb13d}" ma:sspId="5927ce2a-d703-4d88-aeb0-762fc977e677" ma:termSetId="3358e485-0f01-450b-a1f2-018b96e592d0" ma:anchorId="00000000-0000-0000-0000-000000000000" ma:open="false" ma:isKeyword="false">
      <xsd:complexType>
        <xsd:sequence>
          <xsd:element ref="pc:Terms" minOccurs="0" maxOccurs="1"/>
        </xsd:sequence>
      </xsd:complexType>
    </xsd:element>
    <xsd:element name="_ip_UnifiedCompliancePolicyProperties" ma:index="44" nillable="true" ma:displayName="Unified Compliance Policy Properties" ma:hidden="true" ma:internalName="_ip_UnifiedCompliancePolicyProperties">
      <xsd:simpleType>
        <xsd:restriction base="dms:Note"/>
      </xsd:simpleType>
    </xsd:element>
    <xsd:element name="_ip_UnifiedCompliancePolicyUIAction" ma:index="4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3e7710-6c86-4f33-9fa7-57e5751d8f3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93a04445-fec4-4866-9a4d-c0d26f34d264}" ma:internalName="TaxCatchAll" ma:showField="CatchAllData" ma:web="bb3e7710-6c86-4f33-9fa7-57e5751d8f3f">
      <xsd:complexType>
        <xsd:complexContent>
          <xsd:extension base="dms:MultiChoiceLookup">
            <xsd:sequence>
              <xsd:element name="Value" type="dms:Lookup" maxOccurs="unbounded" minOccurs="0" nillable="true"/>
            </xsd:sequence>
          </xsd:extension>
        </xsd:complexContent>
      </xsd:complexType>
    </xsd:element>
    <xsd:element name="TaxCatchAllLabel" ma:index="16" nillable="true" ma:displayName="Taxonomy Catch All Column1" ma:hidden="true" ma:list="{93a04445-fec4-4866-9a4d-c0d26f34d264}" ma:internalName="TaxCatchAllLabel" ma:readOnly="true" ma:showField="CatchAllDataLabel" ma:web="bb3e7710-6c86-4f33-9fa7-57e5751d8f3f">
      <xsd:complexType>
        <xsd:complexContent>
          <xsd:extension base="dms:MultiChoiceLookup">
            <xsd:sequence>
              <xsd:element name="Value" type="dms:Lookup" maxOccurs="unbounded" minOccurs="0" nillable="true"/>
            </xsd:sequence>
          </xsd:extension>
        </xsd:complexContent>
      </xsd:complexType>
    </xsd:element>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element name="i0f84bba906045b4af568ee102a52dcb" ma:index="43" nillable="true" ma:taxonomy="true" ma:internalName="i0f84bba906045b4af568ee102a52dcb" ma:taxonomyFieldName="RevIMBCS" ma:displayName="Records Classification" ma:indexed="true" ma:default="" ma:fieldId="{20f84bba-9060-45b4-af56-8ee102a52dcb}" ma:sspId="5927ce2a-d703-4d88-aeb0-762fc977e677" ma:termSetId="be3f21f3-a222-47a1-85c1-570715bf89c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2" nillable="true" ma:displayName="Version" ma:internalName="_Version">
      <xsd:simpleType>
        <xsd:restriction base="dms:Text"/>
      </xsd:simpleType>
    </xsd:element>
    <xsd:element name="wic_System_Copyright" ma:index="13" nillable="true" ma:displayName="Copyright" ma:internalName="wic_System_Copyrigh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dfe54-fbe5-48bd-85df-7b64eb8cbe32"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5927ce2a-d703-4d88-aeb0-762fc977e677" ma:termSetId="09814cd3-568e-fe90-9814-8d621ff8fb84" ma:anchorId="fba54fb3-c3e1-fe81-a776-ca4b69148c4d" ma:open="true" ma:isKeyword="false">
      <xsd:complexType>
        <xsd:sequence>
          <xsd:element ref="pc:Terms" minOccurs="0" maxOccurs="1"/>
        </xsd:sequence>
      </xsd:complexType>
    </xsd:element>
    <xsd:element name="MediaServiceSearchProperties" ma:index="39" nillable="true" ma:displayName="MediaServiceSearchProperties" ma:hidden="true" ma:internalName="MediaServiceSearchProperties" ma:readOnly="true">
      <xsd:simpleType>
        <xsd:restriction base="dms:Note"/>
      </xsd:simpleType>
    </xsd:element>
    <xsd:element name="MediaServiceObjectDetectorVersions" ma:index="40" nillable="true" ma:displayName="MediaServiceObjectDetectorVersions" ma:description="" ma:hidden="true" ma:indexed="true" ma:internalName="MediaServiceObjectDetectorVersions" ma:readOnly="true">
      <xsd:simpleType>
        <xsd:restriction base="dms:Text"/>
      </xsd:simpleType>
    </xsd:element>
    <xsd:element name="MediaLengthInSeconds" ma:index="4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8"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BusinessActivityTaxHTField xmlns="http://schemas.microsoft.com/sharepoint/v3">
      <Terms xmlns="http://schemas.microsoft.com/office/infopath/2007/PartnerControls"/>
    </BusinessActivityTaxHTField>
    <SecurityClassificationTaxHTField xmlns="http://schemas.microsoft.com/sharepoint/v3">
      <Terms xmlns="http://schemas.microsoft.com/office/infopath/2007/PartnerControls"/>
    </SecurityClassificationTaxHTField>
    <InformationTypeTaxHTField xmlns="http://schemas.microsoft.com/sharepoint/v3">
      <Terms xmlns="http://schemas.microsoft.com/office/infopath/2007/PartnerControls"/>
    </InformationTypeTaxHTField>
    <BusinessUnitTaxHTField xmlns="http://schemas.microsoft.com/sharepoint/v3">
      <Terms xmlns="http://schemas.microsoft.com/office/infopath/2007/PartnerControls"/>
    </BusinessUnitTaxHTField>
    <DocumentStatusTaxHTField xmlns="http://schemas.microsoft.com/sharepoint/v3">
      <Terms xmlns="http://schemas.microsoft.com/office/infopath/2007/PartnerControls"/>
    </DocumentStatusTaxHTField>
    <TaxCatchAll xmlns="bb3e7710-6c86-4f33-9fa7-57e5751d8f3f" xsi:nil="true"/>
    <wic_System_Copyright xmlns="http://schemas.microsoft.com/sharepoint/v3/fields" xsi:nil="true"/>
    <_dlc_DocId xmlns="bb3e7710-6c86-4f33-9fa7-57e5751d8f3f">IRNZRF-1936080746-50244</_dlc_DocId>
    <_dlc_DocIdUrl xmlns="bb3e7710-6c86-4f33-9fa7-57e5751d8f3f">
      <Url>https://irnz.sharepoint.com/sites/RevenueForecasting/_layouts/15/DocIdRedir.aspx?ID=IRNZRF-1936080746-50244</Url>
      <Description>IRNZRF-1936080746-50244</Description>
    </_dlc_DocIdUrl>
    <lcf76f155ced4ddcb4097134ff3c332f xmlns="c5adfe54-fbe5-48bd-85df-7b64eb8cbe32">
      <Terms xmlns="http://schemas.microsoft.com/office/infopath/2007/PartnerControls"/>
    </lcf76f155ced4ddcb4097134ff3c332f>
    <SharedWithUsers xmlns="bb3e7710-6c86-4f33-9fa7-57e5751d8f3f">
      <UserInfo>
        <DisplayName>Sandra Watson</DisplayName>
        <AccountId>19</AccountId>
        <AccountType/>
      </UserInfo>
    </SharedWithUsers>
    <_ip_UnifiedCompliancePolicyUIAction xmlns="http://schemas.microsoft.com/sharepoint/v3" xsi:nil="true"/>
    <i0f84bba906045b4af568ee102a52dcb xmlns="bb3e7710-6c86-4f33-9fa7-57e5751d8f3f">
      <Terms xmlns="http://schemas.microsoft.com/office/infopath/2007/PartnerControls"/>
    </i0f84bba906045b4af568ee102a52dcb>
    <_ip_UnifiedCompliancePolicyProperties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B26E6F-F2B1-4381-837B-623B015DBD6C}"/>
</file>

<file path=customXml/itemProps2.xml><?xml version="1.0" encoding="utf-8"?>
<ds:datastoreItem xmlns:ds="http://schemas.openxmlformats.org/officeDocument/2006/customXml" ds:itemID="{64FED839-739D-4416-B758-5D7103A994DA}">
  <ds:schemaRefs>
    <ds:schemaRef ds:uri="http://schemas.microsoft.com/sharepoint/events"/>
  </ds:schemaRefs>
</ds:datastoreItem>
</file>

<file path=customXml/itemProps3.xml><?xml version="1.0" encoding="utf-8"?>
<ds:datastoreItem xmlns:ds="http://schemas.openxmlformats.org/officeDocument/2006/customXml" ds:itemID="{D8DE0F01-E6AF-4F2A-A9AB-1DC6AEF0E740}">
  <ds:schemaRefs>
    <ds:schemaRef ds:uri="http://purl.org/dc/dcmitype/"/>
    <ds:schemaRef ds:uri="c5adfe54-fbe5-48bd-85df-7b64eb8cbe32"/>
    <ds:schemaRef ds:uri="http://purl.org/dc/terms/"/>
    <ds:schemaRef ds:uri="http://schemas.microsoft.com/sharepoint/v3"/>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schemas.openxmlformats.org/package/2006/metadata/core-properties"/>
    <ds:schemaRef ds:uri="http://schemas.microsoft.com/sharepoint/v3/fields"/>
    <ds:schemaRef ds:uri="bb3e7710-6c86-4f33-9fa7-57e5751d8f3f"/>
    <ds:schemaRef ds:uri="http://purl.org/dc/elements/1.1/"/>
  </ds:schemaRefs>
</ds:datastoreItem>
</file>

<file path=customXml/itemProps4.xml><?xml version="1.0" encoding="utf-8"?>
<ds:datastoreItem xmlns:ds="http://schemas.openxmlformats.org/officeDocument/2006/customXml" ds:itemID="{F29586F0-3A99-49BA-97BB-FAAC0F6B6AB9}">
  <ds:schemaRefs>
    <ds:schemaRef ds:uri="http://schemas.microsoft.com/sharepoint/v3/contenttype/forms"/>
  </ds:schemaRefs>
</ds:datastoreItem>
</file>

<file path=docMetadata/LabelInfo.xml><?xml version="1.0" encoding="utf-8"?>
<clbl:labelList xmlns:clbl="http://schemas.microsoft.com/office/2020/mipLabelMetadata">
  <clbl:label id="{a4f106f2-aad1-42d5-aa61-96837420719b}" enabled="1" method="Privileged" siteId="{fb39e3e9-23a9-404e-93a2-b42a87d94f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Explanatory notes</vt:lpstr>
      <vt:lpstr>Income distribution graphs</vt:lpstr>
      <vt:lpstr>Income tables 2001-24</vt:lpstr>
      <vt:lpstr>Age by income band distribution</vt:lpstr>
      <vt:lpstr>Hidden Graph Data</vt:lpstr>
    </vt:vector>
  </TitlesOfParts>
  <Manager/>
  <Company>Inland Revenue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Inland Revenue Department</dc:creator>
  <cp:keywords/>
  <dc:description/>
  <cp:lastModifiedBy>Alex Collier</cp:lastModifiedBy>
  <cp:revision/>
  <dcterms:created xsi:type="dcterms:W3CDTF">2005-04-21T22:19:22Z</dcterms:created>
  <dcterms:modified xsi:type="dcterms:W3CDTF">2026-03-02T03:02:10Z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0x010100A99A3D3464918141880706C171BD7BAA01008147ACEF40A7FB46ADFA656A8BBDCBF4</vt:lpwstr>
  </property>
  <property fmtid="{D5CDD505-2E9C-101B-9397-08002B2CF9AE}" pid="3" name="Order">
    <vt:r8>100</vt:r8>
  </property>
  <property fmtid="{D5CDD505-2E9C-101B-9397-08002B2CF9AE}" pid="4" name="InformationType">
    <vt:lpwstr/>
  </property>
  <property fmtid="{D5CDD505-2E9C-101B-9397-08002B2CF9AE}" pid="5" name="DocumentStatus">
    <vt:lpwstr/>
  </property>
  <property fmtid="{D5CDD505-2E9C-101B-9397-08002B2CF9AE}" pid="6" name="BusinessUnit">
    <vt:lpwstr/>
  </property>
  <property fmtid="{D5CDD505-2E9C-101B-9397-08002B2CF9AE}" pid="7" name="SecurityClassification">
    <vt:lpwstr/>
  </property>
  <property fmtid="{D5CDD505-2E9C-101B-9397-08002B2CF9AE}" pid="8" name="BusinessActivity">
    <vt:lpwstr/>
  </property>
  <property fmtid="{D5CDD505-2E9C-101B-9397-08002B2CF9AE}" pid="9" name="_dlc_DocIdItemGuid">
    <vt:lpwstr>345b26b0-6d4a-4ba5-8cd5-be837b26c155</vt:lpwstr>
  </property>
  <property fmtid="{D5CDD505-2E9C-101B-9397-08002B2CF9AE}" pid="10" name="MediaServiceImageTags">
    <vt:lpwstr/>
  </property>
  <property fmtid="{D5CDD505-2E9C-101B-9397-08002B2CF9AE}" pid="11" name="MSIP_Label_a4f106f2-aad1-42d5-aa61-96837420719b_Enabled">
    <vt:lpwstr>true</vt:lpwstr>
  </property>
  <property fmtid="{D5CDD505-2E9C-101B-9397-08002B2CF9AE}" pid="12" name="MSIP_Label_a4f106f2-aad1-42d5-aa61-96837420719b_SetDate">
    <vt:lpwstr>2023-04-28T01:40:19Z</vt:lpwstr>
  </property>
  <property fmtid="{D5CDD505-2E9C-101B-9397-08002B2CF9AE}" pid="13" name="MSIP_Label_a4f106f2-aad1-42d5-aa61-96837420719b_Method">
    <vt:lpwstr>Privileged</vt:lpwstr>
  </property>
  <property fmtid="{D5CDD505-2E9C-101B-9397-08002B2CF9AE}" pid="14" name="MSIP_Label_a4f106f2-aad1-42d5-aa61-96837420719b_Name">
    <vt:lpwstr>a4f106f2-aad1-42d5-aa61-96837420719b</vt:lpwstr>
  </property>
  <property fmtid="{D5CDD505-2E9C-101B-9397-08002B2CF9AE}" pid="15" name="MSIP_Label_a4f106f2-aad1-42d5-aa61-96837420719b_SiteId">
    <vt:lpwstr>fb39e3e9-23a9-404e-93a2-b42a87d94f35</vt:lpwstr>
  </property>
  <property fmtid="{D5CDD505-2E9C-101B-9397-08002B2CF9AE}" pid="16" name="MSIP_Label_a4f106f2-aad1-42d5-aa61-96837420719b_ActionId">
    <vt:lpwstr>f7c76134-cff9-404e-9ee4-a361920fd150</vt:lpwstr>
  </property>
  <property fmtid="{D5CDD505-2E9C-101B-9397-08002B2CF9AE}" pid="17" name="MSIP_Label_a4f106f2-aad1-42d5-aa61-96837420719b_ContentBits">
    <vt:lpwstr>1</vt:lpwstr>
  </property>
  <property fmtid="{D5CDD505-2E9C-101B-9397-08002B2CF9AE}" pid="18" name="RevIMBCS">
    <vt:lpwstr/>
  </property>
</Properties>
</file>