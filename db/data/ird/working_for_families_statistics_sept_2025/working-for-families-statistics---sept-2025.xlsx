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irnz-my.sharepoint.com/personal/sarah_letellier_ird_govt_nz/Documents/Desktop/"/>
    </mc:Choice>
  </mc:AlternateContent>
  <xr:revisionPtr revIDLastSave="0" documentId="8_{0300CA4C-1FA5-4BD2-918E-BCBBCE2B9528}" xr6:coauthVersionLast="47" xr6:coauthVersionMax="47" xr10:uidLastSave="{00000000-0000-0000-0000-000000000000}"/>
  <bookViews>
    <workbookView xWindow="-27330" yWindow="255" windowWidth="24105" windowHeight="13170" activeTab="3" xr2:uid="{E5BB59D3-C4BA-4856-8FDC-1BA5100AFD0F}"/>
  </bookViews>
  <sheets>
    <sheet name="Explanatory notes" sheetId="4" r:id="rId1"/>
    <sheet name="Working for families charts" sheetId="3" r:id="rId2"/>
    <sheet name="Working for families data" sheetId="1" r:id="rId3"/>
    <sheet name="Working for families income" sheetId="1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1" l="1"/>
  <c r="I85" i="1"/>
  <c r="I57" i="1"/>
  <c r="I27" i="1"/>
  <c r="I36" i="1"/>
  <c r="I37" i="1"/>
  <c r="I38" i="1"/>
  <c r="I39" i="1"/>
  <c r="I40" i="1"/>
  <c r="I41" i="1"/>
  <c r="I42" i="1"/>
  <c r="I43" i="1"/>
  <c r="I44" i="1"/>
  <c r="I45" i="1"/>
  <c r="I46" i="1"/>
  <c r="I47" i="1"/>
  <c r="I48" i="1"/>
  <c r="I49" i="1"/>
  <c r="I50" i="1"/>
  <c r="I51" i="1"/>
  <c r="I52" i="1"/>
  <c r="I53" i="1"/>
  <c r="I54" i="1"/>
  <c r="I55" i="1"/>
  <c r="I56" i="1"/>
  <c r="I65" i="1"/>
  <c r="I66" i="1"/>
  <c r="I67" i="1"/>
  <c r="I68" i="1"/>
  <c r="I69" i="1"/>
  <c r="I70" i="1"/>
  <c r="I71" i="1"/>
  <c r="I72" i="1"/>
  <c r="I73" i="1"/>
  <c r="I74" i="1"/>
  <c r="I75" i="1"/>
  <c r="I76" i="1"/>
  <c r="I77" i="1"/>
  <c r="I78" i="1"/>
  <c r="I79" i="1"/>
  <c r="I80" i="1"/>
  <c r="I81" i="1"/>
  <c r="I82" i="1"/>
  <c r="I83" i="1"/>
  <c r="I84" i="1"/>
  <c r="I86" i="1" l="1"/>
  <c r="I87" i="1"/>
  <c r="I58" i="1"/>
  <c r="I25" i="1"/>
  <c r="I5" i="1" l="1"/>
  <c r="I6" i="1"/>
  <c r="I7" i="1"/>
  <c r="I8" i="1"/>
  <c r="I9" i="1"/>
  <c r="I10" i="1"/>
  <c r="I11" i="1"/>
  <c r="I12" i="1"/>
  <c r="I13" i="1"/>
  <c r="I14" i="1"/>
  <c r="I15" i="1"/>
  <c r="I16" i="1"/>
  <c r="I17" i="1"/>
  <c r="I18" i="1"/>
  <c r="I19" i="1"/>
  <c r="I20" i="1"/>
  <c r="I21" i="1"/>
  <c r="I22" i="1"/>
  <c r="I23" i="1"/>
  <c r="I24" i="1"/>
</calcChain>
</file>

<file path=xl/sharedStrings.xml><?xml version="1.0" encoding="utf-8"?>
<sst xmlns="http://schemas.openxmlformats.org/spreadsheetml/2006/main" count="250" uniqueCount="60">
  <si>
    <t>Working for Families Tax Credits - number of WFF claims with non-zero entitlement (000s)</t>
  </si>
  <si>
    <t>Tax Year</t>
  </si>
  <si>
    <t>FTC</t>
  </si>
  <si>
    <t>CTC</t>
  </si>
  <si>
    <t>MFTC</t>
  </si>
  <si>
    <t>PTC</t>
  </si>
  <si>
    <t>IWTC</t>
  </si>
  <si>
    <t>BSTC</t>
  </si>
  <si>
    <t>Total number of families*</t>
  </si>
  <si>
    <t>Percentage Change</t>
  </si>
  <si>
    <t>-</t>
  </si>
  <si>
    <t xml:space="preserve">* The total number of families receiving at least one tax credit.  Because families can receive more than one Working for </t>
  </si>
  <si>
    <t>Families tax credit the totals of the individual tax credit columns columns will not add to the total column.</t>
  </si>
  <si>
    <t>Working for Families Tax Credits - average individual tax credit entitlement per family ($)</t>
  </si>
  <si>
    <r>
      <t>FTC</t>
    </r>
    <r>
      <rPr>
        <sz val="10"/>
        <rFont val="Verdana"/>
        <family val="2"/>
      </rPr>
      <t xml:space="preserve"> (average per receiving family)</t>
    </r>
  </si>
  <si>
    <r>
      <t>CTC</t>
    </r>
    <r>
      <rPr>
        <sz val="10"/>
        <rFont val="Verdana"/>
        <family val="2"/>
      </rPr>
      <t xml:space="preserve"> (average per receiving family)</t>
    </r>
  </si>
  <si>
    <r>
      <t>MFTC</t>
    </r>
    <r>
      <rPr>
        <sz val="10"/>
        <rFont val="Verdana"/>
        <family val="2"/>
      </rPr>
      <t xml:space="preserve"> (average per receiving family)</t>
    </r>
  </si>
  <si>
    <r>
      <t>PTC</t>
    </r>
    <r>
      <rPr>
        <sz val="10"/>
        <rFont val="Verdana"/>
        <family val="2"/>
      </rPr>
      <t xml:space="preserve"> (average per receiving family)</t>
    </r>
  </si>
  <si>
    <r>
      <t xml:space="preserve">IWTC  </t>
    </r>
    <r>
      <rPr>
        <sz val="10"/>
        <rFont val="Verdana"/>
        <family val="2"/>
      </rPr>
      <t>(average per receiving family)</t>
    </r>
  </si>
  <si>
    <r>
      <t xml:space="preserve">BSTC </t>
    </r>
    <r>
      <rPr>
        <sz val="10"/>
        <rFont val="Verdana"/>
        <family val="2"/>
      </rPr>
      <t>(average per receiving family)</t>
    </r>
  </si>
  <si>
    <r>
      <t xml:space="preserve">Average  </t>
    </r>
    <r>
      <rPr>
        <sz val="10"/>
        <rFont val="Verdana"/>
        <family val="2"/>
      </rPr>
      <t>(per receiving family)</t>
    </r>
  </si>
  <si>
    <t>Working for Families Tax Credits - aggregate entitlements ($ million)</t>
  </si>
  <si>
    <t>Total</t>
  </si>
  <si>
    <t>R</t>
  </si>
  <si>
    <t>Working for Families Tax Credits - number of children supported</t>
  </si>
  <si>
    <t>1 Child</t>
  </si>
  <si>
    <t>2 Children</t>
  </si>
  <si>
    <t>3 Children</t>
  </si>
  <si>
    <t>4 Children</t>
  </si>
  <si>
    <t>6 Children</t>
  </si>
  <si>
    <t>5 Children</t>
  </si>
  <si>
    <t>7+ Children</t>
  </si>
  <si>
    <t>Total number of children (000's)</t>
  </si>
  <si>
    <t>Number children per family (count of families 000's)</t>
  </si>
  <si>
    <t>Data prior to 2020 is not available due to joint administration of Working for Families.  Prior to 2020 data is only available</t>
  </si>
  <si>
    <t>for families administered by Inland Revenue.</t>
  </si>
  <si>
    <t>All</t>
  </si>
  <si>
    <t xml:space="preserve">Working for Families Tax Credits - family income distribution with non-zero entitlement </t>
  </si>
  <si>
    <t xml:space="preserve">The count of families has been rounded to the nearest 10, and the total family income has been rounded to the nearest 0.1 million dollars. Data may not add up due to this rounding.
</t>
  </si>
  <si>
    <t>2023-24 Tax Year</t>
  </si>
  <si>
    <t>Total entitlement 
($million)</t>
  </si>
  <si>
    <t>FTC entitlement
($million)</t>
  </si>
  <si>
    <t>IWTC entitlement
($million)</t>
  </si>
  <si>
    <t>BSTC entitlement
($million)</t>
  </si>
  <si>
    <t xml:space="preserve">Count of WFF </t>
  </si>
  <si>
    <t>Count of FTC</t>
  </si>
  <si>
    <t>Count of IWTC</t>
  </si>
  <si>
    <t>Count of BSTC</t>
  </si>
  <si>
    <t>Unknown**</t>
  </si>
  <si>
    <t>2020-21 Tax Year</t>
  </si>
  <si>
    <t>2021-22 Tax Year</t>
  </si>
  <si>
    <t>2022-23 Tax Year</t>
  </si>
  <si>
    <t>2019-20 Tax Year</t>
  </si>
  <si>
    <t>The table contains information for families entitled to Working for Families tax credits paid by Inland Revenue or Work and Income. The table does not include information on families that were not entitled to Working for Families tax credits</t>
  </si>
  <si>
    <t>** Income is unknown for families that have not filed a Working for Families return.</t>
  </si>
  <si>
    <t>* The tables only include information for families eligible for Working for Families tax credits in that tax year. Families not eligible are excluded.</t>
  </si>
  <si>
    <t>Family income band ($)*</t>
  </si>
  <si>
    <t>Rounding adjustment</t>
  </si>
  <si>
    <t>The income distribution for MFTC entitlement has not been included due to a small volume of recipients.</t>
  </si>
  <si>
    <t>180,000+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</si>
</sst>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
    <numFmt numFmtId="166" formatCode="yyyy"/>
    <numFmt numFmtId="167" formatCode="#,##0_ ;\-#,##0\ "/>
    <numFmt numFmtId="168" formatCode="#,##0.0_ ;\-#,##0.0\ "/>
    <numFmt numFmtId="169" formatCode="_-* #,##0_-;\-* #,##0_-;_-* &quot;-&quot;??_-;_-@_-"/>
    <numFmt numFmtId="170" formatCode="#,##0.0"/>
  </numFmts>
  <fonts count="16" x14ac:knownFonts="1">
    <font>
      <sz val="11"/>
      <color theme="1"/>
      <name val="Calibri"/>
      <family val="2"/>
      <scheme val="minor"/>
    </font>
    <font>
      <sz val="11"/>
      <color theme="1"/>
      <name val="Calibri"/>
      <family val="2"/>
      <scheme val="minor"/>
    </font>
    <font>
      <b/>
      <sz val="10"/>
      <name val="Verdana"/>
      <family val="2"/>
    </font>
    <font>
      <sz val="10"/>
      <name val="Verdana"/>
      <family val="2"/>
    </font>
    <font>
      <sz val="10"/>
      <color theme="1"/>
      <name val="Verdana"/>
      <family val="2"/>
    </font>
    <font>
      <u/>
      <sz val="10"/>
      <color theme="1"/>
      <name val="Verdana"/>
      <family val="2"/>
    </font>
    <font>
      <b/>
      <sz val="12"/>
      <name val="Verdana"/>
      <family val="2"/>
    </font>
    <font>
      <b/>
      <sz val="10"/>
      <color theme="1"/>
      <name val="Verdana"/>
      <family val="2"/>
    </font>
    <font>
      <sz val="10"/>
      <color theme="1"/>
      <name val="Verdana"/>
      <family val="2"/>
    </font>
    <font>
      <i/>
      <sz val="10"/>
      <color theme="1"/>
      <name val="Verdana"/>
      <family val="2"/>
    </font>
    <font>
      <i/>
      <sz val="10"/>
      <name val="Verdana"/>
      <family val="2"/>
    </font>
    <font>
      <b/>
      <sz val="11"/>
      <color theme="1"/>
      <name val="Calibri"/>
      <family val="2"/>
      <scheme val="minor"/>
    </font>
    <font>
      <sz val="10"/>
      <color theme="1"/>
      <name val="Verdana"/>
      <family val="2"/>
    </font>
    <font>
      <sz val="11"/>
      <color rgb="FF000000"/>
      <name val="Calibri"/>
      <family val="2"/>
      <scheme val="minor"/>
    </font>
    <font>
      <sz val="10"/>
      <color theme="9"/>
      <name val="Verdana"/>
      <family val="2"/>
    </font>
    <font>
      <sz val="11"/>
      <color theme="9"/>
      <name val="Calibri"/>
      <family val="2"/>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7">
    <xf numFmtId="0" fontId="0" fillId="0" borderId="0" xfId="0"/>
    <xf numFmtId="164" fontId="3" fillId="0" borderId="0" xfId="0" applyNumberFormat="1" applyFont="1"/>
    <xf numFmtId="0" fontId="4" fillId="0" borderId="0" xfId="0" applyFont="1"/>
    <xf numFmtId="164" fontId="4" fillId="0" borderId="0" xfId="0" applyNumberFormat="1" applyFont="1"/>
    <xf numFmtId="0" fontId="5" fillId="0" borderId="0" xfId="0" applyFont="1"/>
    <xf numFmtId="9" fontId="4" fillId="0" borderId="0" xfId="2" applyFont="1" applyBorder="1"/>
    <xf numFmtId="166" fontId="4" fillId="0" borderId="0" xfId="0" applyNumberFormat="1" applyFont="1" applyAlignment="1">
      <alignment horizontal="left"/>
    </xf>
    <xf numFmtId="166" fontId="6" fillId="0" borderId="0" xfId="0" applyNumberFormat="1" applyFont="1" applyAlignment="1">
      <alignment horizontal="left"/>
    </xf>
    <xf numFmtId="166" fontId="7" fillId="0" borderId="2" xfId="0" applyNumberFormat="1" applyFont="1" applyBorder="1" applyAlignment="1">
      <alignment horizontal="left"/>
    </xf>
    <xf numFmtId="0" fontId="2" fillId="0" borderId="3" xfId="0" applyFont="1" applyBorder="1" applyAlignment="1">
      <alignment horizontal="center"/>
    </xf>
    <xf numFmtId="0" fontId="7" fillId="0" borderId="4" xfId="0" applyFont="1" applyBorder="1" applyAlignment="1">
      <alignment horizontal="center" wrapText="1"/>
    </xf>
    <xf numFmtId="0" fontId="4" fillId="0" borderId="6" xfId="0" applyFont="1" applyBorder="1" applyAlignment="1">
      <alignment horizontal="center"/>
    </xf>
    <xf numFmtId="165" fontId="4" fillId="0" borderId="6" xfId="2" applyNumberFormat="1" applyFont="1" applyBorder="1" applyAlignment="1">
      <alignment horizontal="center"/>
    </xf>
    <xf numFmtId="164" fontId="4" fillId="0" borderId="7" xfId="0" applyNumberFormat="1" applyFont="1" applyBorder="1" applyAlignment="1">
      <alignment horizontal="center"/>
    </xf>
    <xf numFmtId="165" fontId="4" fillId="0" borderId="8" xfId="2" applyNumberFormat="1" applyFont="1" applyBorder="1" applyAlignment="1">
      <alignment horizontal="center"/>
    </xf>
    <xf numFmtId="0" fontId="2" fillId="0" borderId="2" xfId="0" applyFont="1" applyBorder="1" applyAlignment="1">
      <alignment horizontal="center"/>
    </xf>
    <xf numFmtId="166" fontId="7" fillId="0" borderId="1" xfId="0" applyNumberFormat="1" applyFont="1" applyBorder="1" applyAlignment="1">
      <alignment horizontal="left"/>
    </xf>
    <xf numFmtId="166" fontId="4" fillId="0" borderId="9" xfId="0" applyNumberFormat="1" applyFont="1" applyBorder="1" applyAlignment="1">
      <alignment horizontal="left"/>
    </xf>
    <xf numFmtId="166" fontId="4" fillId="0" borderId="10" xfId="0" applyNumberFormat="1" applyFont="1" applyBorder="1" applyAlignment="1">
      <alignment horizontal="left"/>
    </xf>
    <xf numFmtId="0" fontId="6" fillId="0" borderId="0" xfId="0" applyFont="1" applyAlignment="1">
      <alignment horizontal="left"/>
    </xf>
    <xf numFmtId="3" fontId="4" fillId="0" borderId="5" xfId="0" applyNumberFormat="1" applyFont="1" applyBorder="1" applyAlignment="1">
      <alignment horizontal="center"/>
    </xf>
    <xf numFmtId="3" fontId="4" fillId="0" borderId="0" xfId="0" applyNumberFormat="1" applyFont="1" applyAlignment="1">
      <alignment horizontal="center"/>
    </xf>
    <xf numFmtId="3" fontId="4" fillId="0" borderId="0" xfId="1" quotePrefix="1" applyNumberFormat="1" applyFont="1" applyBorder="1" applyAlignment="1">
      <alignment horizontal="center"/>
    </xf>
    <xf numFmtId="0" fontId="2" fillId="0" borderId="3" xfId="0" applyFont="1" applyBorder="1" applyAlignment="1">
      <alignment horizontal="center" wrapText="1"/>
    </xf>
    <xf numFmtId="165" fontId="4" fillId="0" borderId="0" xfId="2" applyNumberFormat="1" applyFont="1" applyBorder="1" applyAlignment="1">
      <alignment horizontal="center"/>
    </xf>
    <xf numFmtId="3" fontId="8" fillId="0" borderId="7" xfId="1" quotePrefix="1" applyNumberFormat="1" applyFont="1" applyBorder="1" applyAlignment="1">
      <alignment horizontal="center"/>
    </xf>
    <xf numFmtId="3" fontId="4" fillId="0" borderId="0" xfId="0" applyNumberFormat="1" applyFont="1"/>
    <xf numFmtId="164" fontId="4" fillId="0" borderId="0" xfId="0" applyNumberFormat="1" applyFont="1" applyAlignment="1">
      <alignment horizontal="center"/>
    </xf>
    <xf numFmtId="3" fontId="8" fillId="0" borderId="0" xfId="1" quotePrefix="1" applyNumberFormat="1" applyFont="1" applyBorder="1" applyAlignment="1">
      <alignment horizontal="center"/>
    </xf>
    <xf numFmtId="166" fontId="4" fillId="0" borderId="11" xfId="0" applyNumberFormat="1" applyFont="1" applyBorder="1" applyAlignment="1">
      <alignment horizontal="left"/>
    </xf>
    <xf numFmtId="164" fontId="4" fillId="0" borderId="12" xfId="0" applyNumberFormat="1" applyFont="1" applyBorder="1" applyAlignment="1">
      <alignment horizontal="center"/>
    </xf>
    <xf numFmtId="3" fontId="4" fillId="0" borderId="12" xfId="1" quotePrefix="1" applyNumberFormat="1" applyFont="1" applyBorder="1" applyAlignment="1">
      <alignment horizontal="center"/>
    </xf>
    <xf numFmtId="0" fontId="4" fillId="0" borderId="13" xfId="0" applyFont="1" applyBorder="1" applyAlignment="1">
      <alignment horizontal="center"/>
    </xf>
    <xf numFmtId="167" fontId="4" fillId="0" borderId="0" xfId="1" applyNumberFormat="1" applyFont="1" applyBorder="1" applyAlignment="1">
      <alignment horizontal="center"/>
    </xf>
    <xf numFmtId="167" fontId="8" fillId="0" borderId="0" xfId="1" quotePrefix="1" applyNumberFormat="1" applyFont="1" applyBorder="1" applyAlignment="1">
      <alignment horizontal="center"/>
    </xf>
    <xf numFmtId="167" fontId="4" fillId="0" borderId="7" xfId="1" applyNumberFormat="1" applyFont="1" applyBorder="1" applyAlignment="1">
      <alignment horizontal="center"/>
    </xf>
    <xf numFmtId="167" fontId="8" fillId="0" borderId="7" xfId="1" quotePrefix="1" applyNumberFormat="1" applyFont="1" applyBorder="1" applyAlignment="1">
      <alignment horizontal="center"/>
    </xf>
    <xf numFmtId="167" fontId="4" fillId="0" borderId="0" xfId="0" applyNumberFormat="1" applyFont="1"/>
    <xf numFmtId="165" fontId="4" fillId="0" borderId="0" xfId="2" applyNumberFormat="1" applyFont="1"/>
    <xf numFmtId="0" fontId="2" fillId="0" borderId="7" xfId="0" applyFont="1" applyBorder="1" applyAlignment="1">
      <alignment horizontal="center"/>
    </xf>
    <xf numFmtId="0" fontId="2" fillId="0" borderId="9" xfId="0" applyFont="1" applyBorder="1" applyAlignment="1">
      <alignment horizontal="center"/>
    </xf>
    <xf numFmtId="0" fontId="2" fillId="0" borderId="15" xfId="0" applyFont="1" applyBorder="1" applyAlignment="1">
      <alignment horizontal="center"/>
    </xf>
    <xf numFmtId="0" fontId="2" fillId="0" borderId="8" xfId="0" applyFont="1" applyBorder="1" applyAlignment="1">
      <alignment horizontal="center"/>
    </xf>
    <xf numFmtId="0" fontId="2" fillId="0" borderId="14" xfId="0" applyFont="1" applyBorder="1" applyAlignment="1">
      <alignment horizontal="center"/>
    </xf>
    <xf numFmtId="0" fontId="2" fillId="0" borderId="12" xfId="0" applyFont="1" applyBorder="1" applyAlignment="1">
      <alignment horizontal="center"/>
    </xf>
    <xf numFmtId="0" fontId="7" fillId="0" borderId="13" xfId="0" applyFont="1" applyBorder="1" applyAlignment="1">
      <alignment horizontal="center" wrapText="1"/>
    </xf>
    <xf numFmtId="168" fontId="4" fillId="0" borderId="5" xfId="1" applyNumberFormat="1" applyFont="1" applyBorder="1" applyAlignment="1">
      <alignment horizontal="center"/>
    </xf>
    <xf numFmtId="168" fontId="4" fillId="0" borderId="0" xfId="1" applyNumberFormat="1" applyFont="1" applyBorder="1" applyAlignment="1">
      <alignment horizontal="center"/>
    </xf>
    <xf numFmtId="168" fontId="4" fillId="0" borderId="0" xfId="1" quotePrefix="1" applyNumberFormat="1" applyFont="1" applyBorder="1" applyAlignment="1">
      <alignment horizontal="center"/>
    </xf>
    <xf numFmtId="168" fontId="4" fillId="0" borderId="6" xfId="1" applyNumberFormat="1" applyFont="1" applyBorder="1" applyAlignment="1">
      <alignment horizontal="center"/>
    </xf>
    <xf numFmtId="168" fontId="4" fillId="0" borderId="15" xfId="1" applyNumberFormat="1" applyFont="1" applyBorder="1" applyAlignment="1">
      <alignment horizontal="center"/>
    </xf>
    <xf numFmtId="168" fontId="4" fillId="0" borderId="7" xfId="1" applyNumberFormat="1" applyFont="1" applyBorder="1" applyAlignment="1">
      <alignment horizontal="center"/>
    </xf>
    <xf numFmtId="168" fontId="4" fillId="0" borderId="7" xfId="1" quotePrefix="1" applyNumberFormat="1" applyFont="1" applyBorder="1" applyAlignment="1">
      <alignment horizontal="center"/>
    </xf>
    <xf numFmtId="168" fontId="4" fillId="0" borderId="8" xfId="1" applyNumberFormat="1" applyFont="1" applyBorder="1" applyAlignment="1">
      <alignment horizontal="center"/>
    </xf>
    <xf numFmtId="3" fontId="0" fillId="0" borderId="0" xfId="0" applyNumberFormat="1"/>
    <xf numFmtId="166" fontId="9" fillId="0" borderId="0" xfId="0" applyNumberFormat="1" applyFont="1" applyAlignment="1">
      <alignment horizontal="left"/>
    </xf>
    <xf numFmtId="164" fontId="9" fillId="0" borderId="0" xfId="0" applyNumberFormat="1" applyFont="1" applyAlignment="1">
      <alignment horizontal="center"/>
    </xf>
    <xf numFmtId="3" fontId="9" fillId="0" borderId="0" xfId="1" quotePrefix="1" applyNumberFormat="1" applyFont="1" applyBorder="1" applyAlignment="1">
      <alignment horizontal="center"/>
    </xf>
    <xf numFmtId="165" fontId="9" fillId="0" borderId="0" xfId="2" applyNumberFormat="1" applyFont="1" applyBorder="1" applyAlignment="1">
      <alignment horizontal="center"/>
    </xf>
    <xf numFmtId="164" fontId="10" fillId="0" borderId="0" xfId="0" applyNumberFormat="1" applyFont="1"/>
    <xf numFmtId="0" fontId="9" fillId="0" borderId="0" xfId="0" applyFont="1"/>
    <xf numFmtId="166" fontId="7" fillId="0" borderId="11" xfId="0" applyNumberFormat="1" applyFont="1" applyBorder="1" applyAlignment="1">
      <alignment horizontal="left"/>
    </xf>
    <xf numFmtId="165" fontId="3" fillId="0" borderId="0" xfId="2" applyNumberFormat="1" applyFont="1"/>
    <xf numFmtId="0" fontId="0" fillId="0" borderId="0" xfId="0" applyAlignment="1">
      <alignment horizontal="right"/>
    </xf>
    <xf numFmtId="169" fontId="0" fillId="0" borderId="5" xfId="1" applyNumberFormat="1" applyFont="1" applyBorder="1" applyAlignment="1">
      <alignment horizontal="right"/>
    </xf>
    <xf numFmtId="0" fontId="11" fillId="0" borderId="3" xfId="0" applyFont="1" applyBorder="1" applyAlignment="1">
      <alignment horizontal="right" vertical="center"/>
    </xf>
    <xf numFmtId="0" fontId="11" fillId="0" borderId="3" xfId="0" applyFont="1" applyBorder="1" applyAlignment="1">
      <alignment horizontal="right" wrapText="1"/>
    </xf>
    <xf numFmtId="0" fontId="11" fillId="0" borderId="4" xfId="0" applyFont="1" applyBorder="1" applyAlignment="1">
      <alignment horizontal="right" vertical="center"/>
    </xf>
    <xf numFmtId="169" fontId="0" fillId="0" borderId="14" xfId="1" applyNumberFormat="1" applyFont="1" applyBorder="1"/>
    <xf numFmtId="170" fontId="0" fillId="0" borderId="12" xfId="0" applyNumberFormat="1" applyBorder="1"/>
    <xf numFmtId="3" fontId="0" fillId="0" borderId="12" xfId="0" applyNumberFormat="1" applyBorder="1"/>
    <xf numFmtId="3" fontId="0" fillId="0" borderId="13" xfId="0" applyNumberFormat="1" applyBorder="1"/>
    <xf numFmtId="169" fontId="0" fillId="0" borderId="5" xfId="1" applyNumberFormat="1" applyFont="1" applyBorder="1"/>
    <xf numFmtId="170" fontId="0" fillId="0" borderId="0" xfId="0" applyNumberFormat="1"/>
    <xf numFmtId="3" fontId="0" fillId="0" borderId="6" xfId="0" applyNumberFormat="1" applyBorder="1"/>
    <xf numFmtId="169" fontId="0" fillId="0" borderId="15" xfId="1" applyNumberFormat="1" applyFont="1" applyBorder="1" applyAlignment="1">
      <alignment horizontal="right"/>
    </xf>
    <xf numFmtId="170" fontId="0" fillId="0" borderId="7" xfId="0" applyNumberFormat="1" applyBorder="1" applyAlignment="1">
      <alignment horizontal="right"/>
    </xf>
    <xf numFmtId="3" fontId="0" fillId="0" borderId="7" xfId="0" applyNumberFormat="1" applyBorder="1" applyAlignment="1">
      <alignment horizontal="right"/>
    </xf>
    <xf numFmtId="3" fontId="0" fillId="0" borderId="8" xfId="0" applyNumberFormat="1" applyBorder="1" applyAlignment="1">
      <alignment horizontal="right"/>
    </xf>
    <xf numFmtId="0" fontId="0" fillId="0" borderId="2" xfId="0" applyBorder="1" applyAlignment="1">
      <alignment horizontal="right"/>
    </xf>
    <xf numFmtId="3" fontId="0" fillId="0" borderId="3" xfId="0" applyNumberFormat="1" applyBorder="1" applyAlignment="1">
      <alignment horizontal="right"/>
    </xf>
    <xf numFmtId="0" fontId="0" fillId="0" borderId="0" xfId="0" quotePrefix="1"/>
    <xf numFmtId="0" fontId="0" fillId="0" borderId="3" xfId="0" applyBorder="1" applyAlignment="1">
      <alignment horizontal="right"/>
    </xf>
    <xf numFmtId="0" fontId="11" fillId="0" borderId="0" xfId="0" applyFont="1" applyAlignment="1">
      <alignment horizontal="right" vertical="center"/>
    </xf>
    <xf numFmtId="3" fontId="0" fillId="0" borderId="0" xfId="0" applyNumberFormat="1" applyAlignment="1">
      <alignment horizontal="right"/>
    </xf>
    <xf numFmtId="3" fontId="0" fillId="0" borderId="6" xfId="0" applyNumberFormat="1" applyBorder="1" applyAlignment="1">
      <alignment horizontal="right"/>
    </xf>
    <xf numFmtId="3" fontId="0" fillId="0" borderId="9" xfId="0" applyNumberFormat="1" applyBorder="1" applyAlignment="1">
      <alignment horizontal="right"/>
    </xf>
    <xf numFmtId="0" fontId="11" fillId="0" borderId="9" xfId="0" applyFont="1" applyBorder="1" applyAlignment="1">
      <alignment horizontal="right" vertical="center"/>
    </xf>
    <xf numFmtId="0" fontId="11" fillId="0" borderId="14" xfId="0" applyFont="1" applyBorder="1" applyAlignment="1">
      <alignment vertical="top"/>
    </xf>
    <xf numFmtId="0" fontId="11" fillId="0" borderId="12" xfId="0" applyFont="1" applyBorder="1" applyAlignment="1">
      <alignment horizontal="right" wrapText="1"/>
    </xf>
    <xf numFmtId="0" fontId="11" fillId="0" borderId="12" xfId="0" applyFont="1" applyBorder="1" applyAlignment="1">
      <alignment horizontal="right" vertical="center"/>
    </xf>
    <xf numFmtId="0" fontId="11" fillId="0" borderId="13" xfId="0" applyFont="1" applyBorder="1" applyAlignment="1">
      <alignment horizontal="right" vertical="center"/>
    </xf>
    <xf numFmtId="170" fontId="0" fillId="0" borderId="0" xfId="0" applyNumberFormat="1" applyAlignment="1">
      <alignment horizontal="right"/>
    </xf>
    <xf numFmtId="170" fontId="0" fillId="0" borderId="3" xfId="0" applyNumberFormat="1" applyBorder="1" applyAlignment="1">
      <alignment horizontal="right"/>
    </xf>
    <xf numFmtId="3" fontId="12" fillId="0" borderId="5" xfId="0" applyNumberFormat="1" applyFont="1" applyBorder="1" applyAlignment="1">
      <alignment horizontal="center"/>
    </xf>
    <xf numFmtId="3" fontId="12" fillId="0" borderId="0" xfId="0" applyNumberFormat="1" applyFont="1" applyAlignment="1">
      <alignment horizontal="center"/>
    </xf>
    <xf numFmtId="166" fontId="12" fillId="0" borderId="10" xfId="0" applyNumberFormat="1" applyFont="1" applyBorder="1" applyAlignment="1">
      <alignment horizontal="left"/>
    </xf>
    <xf numFmtId="3" fontId="12" fillId="0" borderId="15" xfId="0" applyNumberFormat="1" applyFont="1" applyBorder="1" applyAlignment="1">
      <alignment horizontal="center"/>
    </xf>
    <xf numFmtId="3" fontId="12" fillId="0" borderId="7" xfId="0" applyNumberFormat="1" applyFont="1" applyBorder="1" applyAlignment="1">
      <alignment horizontal="center"/>
    </xf>
    <xf numFmtId="165" fontId="12" fillId="0" borderId="8" xfId="2" applyNumberFormat="1" applyFont="1" applyBorder="1" applyAlignment="1">
      <alignment horizontal="center"/>
    </xf>
    <xf numFmtId="3" fontId="0" fillId="0" borderId="4" xfId="0" applyNumberFormat="1" applyBorder="1" applyAlignment="1">
      <alignment horizontal="right"/>
    </xf>
    <xf numFmtId="0" fontId="0" fillId="2" borderId="0" xfId="0" applyFill="1"/>
    <xf numFmtId="166" fontId="6" fillId="2" borderId="0" xfId="0" applyNumberFormat="1" applyFont="1" applyFill="1" applyAlignment="1">
      <alignment horizontal="left"/>
    </xf>
    <xf numFmtId="0" fontId="0" fillId="2" borderId="0" xfId="0" applyFill="1" applyAlignment="1">
      <alignment horizontal="left"/>
    </xf>
    <xf numFmtId="0" fontId="11" fillId="2" borderId="0" xfId="0" applyFont="1" applyFill="1"/>
    <xf numFmtId="0" fontId="13" fillId="0" borderId="0" xfId="0" applyFont="1"/>
    <xf numFmtId="0" fontId="14" fillId="0" borderId="0" xfId="0" applyFont="1"/>
    <xf numFmtId="0" fontId="15" fillId="0" borderId="0" xfId="0" applyFont="1"/>
    <xf numFmtId="170" fontId="15" fillId="0" borderId="0" xfId="0" applyNumberFormat="1" applyFont="1"/>
    <xf numFmtId="3" fontId="14" fillId="0" borderId="0" xfId="0" applyNumberFormat="1" applyFont="1" applyAlignment="1">
      <alignment horizontal="right"/>
    </xf>
    <xf numFmtId="168" fontId="4" fillId="0" borderId="9" xfId="1" applyNumberFormat="1" applyFont="1" applyBorder="1" applyAlignment="1">
      <alignment horizontal="center"/>
    </xf>
    <xf numFmtId="168" fontId="4" fillId="0" borderId="10" xfId="1" applyNumberFormat="1" applyFont="1" applyBorder="1" applyAlignment="1">
      <alignment horizontal="center"/>
    </xf>
    <xf numFmtId="169" fontId="0" fillId="0" borderId="2" xfId="1" applyNumberFormat="1" applyFont="1" applyBorder="1" applyAlignment="1">
      <alignment horizontal="right"/>
    </xf>
    <xf numFmtId="0" fontId="11" fillId="0" borderId="4" xfId="0" applyFont="1" applyBorder="1" applyAlignment="1">
      <alignment horizontal="right" wrapText="1"/>
    </xf>
    <xf numFmtId="170" fontId="0" fillId="0" borderId="13" xfId="0" applyNumberFormat="1" applyBorder="1"/>
    <xf numFmtId="170" fontId="0" fillId="0" borderId="6" xfId="0" applyNumberFormat="1" applyBorder="1"/>
    <xf numFmtId="170" fontId="0" fillId="0" borderId="8" xfId="0" applyNumberFormat="1" applyBorder="1" applyAlignment="1">
      <alignment horizontal="right"/>
    </xf>
    <xf numFmtId="0" fontId="11" fillId="0" borderId="13" xfId="0" applyFont="1" applyBorder="1" applyAlignment="1">
      <alignment horizontal="right" wrapText="1"/>
    </xf>
    <xf numFmtId="170" fontId="0" fillId="0" borderId="6" xfId="0" applyNumberFormat="1" applyBorder="1" applyAlignment="1">
      <alignment horizontal="right"/>
    </xf>
    <xf numFmtId="170" fontId="0" fillId="0" borderId="4" xfId="0" applyNumberFormat="1" applyBorder="1" applyAlignment="1">
      <alignment horizontal="right"/>
    </xf>
    <xf numFmtId="166" fontId="7" fillId="0" borderId="11" xfId="0" applyNumberFormat="1" applyFont="1" applyBorder="1" applyAlignment="1">
      <alignment horizontal="center"/>
    </xf>
    <xf numFmtId="166" fontId="7" fillId="0" borderId="10" xfId="0" applyNumberFormat="1" applyFont="1" applyBorder="1" applyAlignment="1">
      <alignment horizontal="center"/>
    </xf>
    <xf numFmtId="0" fontId="2" fillId="0" borderId="11" xfId="0" applyFont="1" applyBorder="1" applyAlignment="1">
      <alignment horizontal="center" wrapText="1"/>
    </xf>
    <xf numFmtId="0" fontId="2" fillId="0" borderId="10" xfId="0" applyFont="1" applyBorder="1" applyAlignment="1">
      <alignment horizontal="center" wrapText="1"/>
    </xf>
    <xf numFmtId="0" fontId="7" fillId="0" borderId="14"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00426D"/>
      <color rgb="FF0D83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r>
              <a:rPr lang="en-NZ" sz="1400" b="1"/>
              <a:t>Number of families claiming and entitled to Working for Families tax credits</a:t>
            </a:r>
          </a:p>
        </c:rich>
      </c:tx>
      <c:layout>
        <c:manualLayout>
          <c:xMode val="edge"/>
          <c:yMode val="edge"/>
          <c:x val="3.7294573313152141E-2"/>
          <c:y val="8.3398481556622803E-3"/>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endParaRPr lang="en-US"/>
        </a:p>
      </c:txPr>
    </c:title>
    <c:autoTitleDeleted val="0"/>
    <c:plotArea>
      <c:layout>
        <c:manualLayout>
          <c:layoutTarget val="inner"/>
          <c:xMode val="edge"/>
          <c:yMode val="edge"/>
          <c:x val="7.9229520300040115E-2"/>
          <c:y val="0.11589269701824161"/>
          <c:w val="0.90441967882673113"/>
          <c:h val="0.79105905893022077"/>
        </c:manualLayout>
      </c:layout>
      <c:lineChart>
        <c:grouping val="standard"/>
        <c:varyColors val="0"/>
        <c:ser>
          <c:idx val="0"/>
          <c:order val="0"/>
          <c:spPr>
            <a:ln w="28575" cap="rnd">
              <a:solidFill>
                <a:srgbClr val="00426D"/>
              </a:solidFill>
              <a:round/>
            </a:ln>
            <a:effectLst/>
          </c:spPr>
          <c:marker>
            <c:symbol val="none"/>
          </c:marker>
          <c:cat>
            <c:numRef>
              <c:extLst>
                <c:ext xmlns:c15="http://schemas.microsoft.com/office/drawing/2012/chart" uri="{02D57815-91ED-43cb-92C2-25804820EDAC}">
                  <c15:fullRef>
                    <c15:sqref>'Working for families data'!$A$4:$A$27</c15:sqref>
                  </c15:fullRef>
                </c:ext>
              </c:extLst>
              <c:f>'Working for families data'!$A$5:$A$27</c:f>
              <c:numCache>
                <c:formatCode>yyyy</c:formatCode>
                <c:ptCount val="23"/>
                <c:pt idx="0">
                  <c:v>37316</c:v>
                </c:pt>
                <c:pt idx="1">
                  <c:v>37681</c:v>
                </c:pt>
                <c:pt idx="2">
                  <c:v>38047</c:v>
                </c:pt>
                <c:pt idx="3">
                  <c:v>38412</c:v>
                </c:pt>
                <c:pt idx="4">
                  <c:v>38777</c:v>
                </c:pt>
                <c:pt idx="5">
                  <c:v>39142</c:v>
                </c:pt>
                <c:pt idx="6">
                  <c:v>39508</c:v>
                </c:pt>
                <c:pt idx="7">
                  <c:v>39873</c:v>
                </c:pt>
                <c:pt idx="8">
                  <c:v>40238</c:v>
                </c:pt>
                <c:pt idx="9">
                  <c:v>40603</c:v>
                </c:pt>
                <c:pt idx="10">
                  <c:v>40969</c:v>
                </c:pt>
                <c:pt idx="11">
                  <c:v>41334</c:v>
                </c:pt>
                <c:pt idx="12">
                  <c:v>41699</c:v>
                </c:pt>
                <c:pt idx="13">
                  <c:v>42064</c:v>
                </c:pt>
                <c:pt idx="14">
                  <c:v>42430</c:v>
                </c:pt>
                <c:pt idx="15">
                  <c:v>42795</c:v>
                </c:pt>
                <c:pt idx="16">
                  <c:v>43160</c:v>
                </c:pt>
                <c:pt idx="17">
                  <c:v>43525</c:v>
                </c:pt>
                <c:pt idx="18">
                  <c:v>43891</c:v>
                </c:pt>
                <c:pt idx="19">
                  <c:v>44256</c:v>
                </c:pt>
                <c:pt idx="20">
                  <c:v>44621</c:v>
                </c:pt>
                <c:pt idx="21">
                  <c:v>44986</c:v>
                </c:pt>
                <c:pt idx="22">
                  <c:v>45352</c:v>
                </c:pt>
              </c:numCache>
            </c:numRef>
          </c:cat>
          <c:val>
            <c:numRef>
              <c:extLst>
                <c:ext xmlns:c15="http://schemas.microsoft.com/office/drawing/2012/chart" uri="{02D57815-91ED-43cb-92C2-25804820EDAC}">
                  <c15:fullRef>
                    <c15:sqref>'Working for families data'!$H$4:$H$27</c15:sqref>
                  </c15:fullRef>
                </c:ext>
              </c:extLst>
              <c:f>'Working for families data'!$H$5:$H$27</c:f>
              <c:numCache>
                <c:formatCode>0.0</c:formatCode>
                <c:ptCount val="23"/>
                <c:pt idx="0">
                  <c:v>295.7</c:v>
                </c:pt>
                <c:pt idx="1">
                  <c:v>288.5</c:v>
                </c:pt>
                <c:pt idx="2">
                  <c:v>279.10000000000002</c:v>
                </c:pt>
                <c:pt idx="3">
                  <c:v>268.39999999999998</c:v>
                </c:pt>
                <c:pt idx="4">
                  <c:v>290.10000000000002</c:v>
                </c:pt>
                <c:pt idx="5">
                  <c:v>380.3</c:v>
                </c:pt>
                <c:pt idx="6">
                  <c:v>389.5</c:v>
                </c:pt>
                <c:pt idx="7">
                  <c:v>402.8</c:v>
                </c:pt>
                <c:pt idx="8">
                  <c:v>415.1</c:v>
                </c:pt>
                <c:pt idx="9">
                  <c:v>421.2</c:v>
                </c:pt>
                <c:pt idx="10">
                  <c:v>398.7</c:v>
                </c:pt>
                <c:pt idx="11">
                  <c:v>379</c:v>
                </c:pt>
                <c:pt idx="12">
                  <c:v>364</c:v>
                </c:pt>
                <c:pt idx="13">
                  <c:v>349.8</c:v>
                </c:pt>
                <c:pt idx="14">
                  <c:v>338.7</c:v>
                </c:pt>
                <c:pt idx="15">
                  <c:v>326.10000000000002</c:v>
                </c:pt>
                <c:pt idx="16">
                  <c:v>322.88799999999998</c:v>
                </c:pt>
                <c:pt idx="17">
                  <c:v>337.4</c:v>
                </c:pt>
                <c:pt idx="18">
                  <c:v>354.7</c:v>
                </c:pt>
                <c:pt idx="19">
                  <c:v>351.6</c:v>
                </c:pt>
                <c:pt idx="20">
                  <c:v>344.4</c:v>
                </c:pt>
                <c:pt idx="21">
                  <c:v>336</c:v>
                </c:pt>
                <c:pt idx="22">
                  <c:v>328.4</c:v>
                </c:pt>
              </c:numCache>
            </c:numRef>
          </c:val>
          <c:smooth val="0"/>
          <c:extLst>
            <c:ext xmlns:c16="http://schemas.microsoft.com/office/drawing/2014/chart" uri="{C3380CC4-5D6E-409C-BE32-E72D297353CC}">
              <c16:uniqueId val="{00000000-A693-45C6-90B8-C65EC739EC64}"/>
            </c:ext>
          </c:extLst>
        </c:ser>
        <c:dLbls>
          <c:showLegendKey val="0"/>
          <c:showVal val="0"/>
          <c:showCatName val="0"/>
          <c:showSerName val="0"/>
          <c:showPercent val="0"/>
          <c:showBubbleSize val="0"/>
        </c:dLbls>
        <c:smooth val="0"/>
        <c:axId val="820360528"/>
        <c:axId val="820359280"/>
      </c:lineChart>
      <c:dateAx>
        <c:axId val="820360528"/>
        <c:scaling>
          <c:orientation val="minMax"/>
          <c:min val="37316"/>
        </c:scaling>
        <c:delete val="0"/>
        <c:axPos val="b"/>
        <c:title>
          <c:tx>
            <c:rich>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Income tax year</a:t>
                </a:r>
              </a:p>
            </c:rich>
          </c:tx>
          <c:layout>
            <c:manualLayout>
              <c:xMode val="edge"/>
              <c:yMode val="edge"/>
              <c:x val="0.43114580607224495"/>
              <c:y val="0.9572584423724700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820359280"/>
        <c:crosses val="autoZero"/>
        <c:auto val="1"/>
        <c:lblOffset val="100"/>
        <c:baseTimeUnit val="years"/>
        <c:majorUnit val="2"/>
        <c:majorTimeUnit val="years"/>
      </c:dateAx>
      <c:valAx>
        <c:axId val="820359280"/>
        <c:scaling>
          <c:orientation val="minMax"/>
          <c:min val="1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Number of families (000's)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82036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r>
              <a:rPr lang="en-NZ" sz="1400" b="1"/>
              <a:t>Average family entitlement to Working for Families tax credits</a:t>
            </a:r>
          </a:p>
        </c:rich>
      </c:tx>
      <c:layout>
        <c:manualLayout>
          <c:xMode val="edge"/>
          <c:yMode val="edge"/>
          <c:x val="3.7294573313152141E-2"/>
          <c:y val="8.3398481556622803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endParaRPr lang="en-US"/>
        </a:p>
      </c:txPr>
    </c:title>
    <c:autoTitleDeleted val="0"/>
    <c:plotArea>
      <c:layout>
        <c:manualLayout>
          <c:layoutTarget val="inner"/>
          <c:xMode val="edge"/>
          <c:yMode val="edge"/>
          <c:x val="0.11341755848951839"/>
          <c:y val="8.8788190512339202E-2"/>
          <c:w val="0.87023164063725289"/>
          <c:h val="0.76571210486098351"/>
        </c:manualLayout>
      </c:layout>
      <c:lineChart>
        <c:grouping val="standard"/>
        <c:varyColors val="0"/>
        <c:ser>
          <c:idx val="0"/>
          <c:order val="0"/>
          <c:tx>
            <c:v>All Working For Families tax credits</c:v>
          </c:tx>
          <c:spPr>
            <a:ln w="28575" cap="rnd">
              <a:solidFill>
                <a:srgbClr val="00426D"/>
              </a:solidFill>
              <a:round/>
            </a:ln>
            <a:effectLst/>
          </c:spPr>
          <c:marker>
            <c:symbol val="none"/>
          </c:marker>
          <c:cat>
            <c:numRef>
              <c:extLst>
                <c:ext xmlns:c15="http://schemas.microsoft.com/office/drawing/2012/chart" uri="{02D57815-91ED-43cb-92C2-25804820EDAC}">
                  <c15:fullRef>
                    <c15:sqref>'Working for families data'!$A$4:$A$27</c15:sqref>
                  </c15:fullRef>
                </c:ext>
              </c:extLst>
              <c:f>'Working for families data'!$A$5:$A$27</c:f>
              <c:numCache>
                <c:formatCode>yyyy</c:formatCode>
                <c:ptCount val="23"/>
                <c:pt idx="0">
                  <c:v>37316</c:v>
                </c:pt>
                <c:pt idx="1">
                  <c:v>37681</c:v>
                </c:pt>
                <c:pt idx="2">
                  <c:v>38047</c:v>
                </c:pt>
                <c:pt idx="3">
                  <c:v>38412</c:v>
                </c:pt>
                <c:pt idx="4">
                  <c:v>38777</c:v>
                </c:pt>
                <c:pt idx="5">
                  <c:v>39142</c:v>
                </c:pt>
                <c:pt idx="6">
                  <c:v>39508</c:v>
                </c:pt>
                <c:pt idx="7">
                  <c:v>39873</c:v>
                </c:pt>
                <c:pt idx="8">
                  <c:v>40238</c:v>
                </c:pt>
                <c:pt idx="9">
                  <c:v>40603</c:v>
                </c:pt>
                <c:pt idx="10">
                  <c:v>40969</c:v>
                </c:pt>
                <c:pt idx="11">
                  <c:v>41334</c:v>
                </c:pt>
                <c:pt idx="12">
                  <c:v>41699</c:v>
                </c:pt>
                <c:pt idx="13">
                  <c:v>42064</c:v>
                </c:pt>
                <c:pt idx="14">
                  <c:v>42430</c:v>
                </c:pt>
                <c:pt idx="15">
                  <c:v>42795</c:v>
                </c:pt>
                <c:pt idx="16">
                  <c:v>43160</c:v>
                </c:pt>
                <c:pt idx="17">
                  <c:v>43525</c:v>
                </c:pt>
                <c:pt idx="18">
                  <c:v>43891</c:v>
                </c:pt>
                <c:pt idx="19">
                  <c:v>44256</c:v>
                </c:pt>
                <c:pt idx="20">
                  <c:v>44621</c:v>
                </c:pt>
                <c:pt idx="21">
                  <c:v>44986</c:v>
                </c:pt>
                <c:pt idx="22">
                  <c:v>45352</c:v>
                </c:pt>
              </c:numCache>
            </c:numRef>
          </c:cat>
          <c:val>
            <c:numRef>
              <c:extLst>
                <c:ext xmlns:c15="http://schemas.microsoft.com/office/drawing/2012/chart" uri="{02D57815-91ED-43cb-92C2-25804820EDAC}">
                  <c15:fullRef>
                    <c15:sqref>'Working for families data'!$H$35:$H$58</c15:sqref>
                  </c15:fullRef>
                </c:ext>
              </c:extLst>
              <c:f>'Working for families data'!$H$36:$H$58</c:f>
              <c:numCache>
                <c:formatCode>#,##0</c:formatCode>
                <c:ptCount val="23"/>
                <c:pt idx="0">
                  <c:v>3424.4</c:v>
                </c:pt>
                <c:pt idx="1">
                  <c:v>3456.8</c:v>
                </c:pt>
                <c:pt idx="2">
                  <c:v>3505.6</c:v>
                </c:pt>
                <c:pt idx="3">
                  <c:v>3473.2</c:v>
                </c:pt>
                <c:pt idx="4">
                  <c:v>4928.3</c:v>
                </c:pt>
                <c:pt idx="5">
                  <c:v>5797.8</c:v>
                </c:pt>
                <c:pt idx="6">
                  <c:v>6515.3</c:v>
                </c:pt>
                <c:pt idx="7">
                  <c:v>6614.7</c:v>
                </c:pt>
                <c:pt idx="8">
                  <c:v>6628.3</c:v>
                </c:pt>
                <c:pt idx="9">
                  <c:v>6463.7</c:v>
                </c:pt>
                <c:pt idx="10">
                  <c:v>6562.6</c:v>
                </c:pt>
                <c:pt idx="11">
                  <c:v>6731.3984168865436</c:v>
                </c:pt>
                <c:pt idx="12">
                  <c:v>6725.8241758241757</c:v>
                </c:pt>
                <c:pt idx="13">
                  <c:v>6798.4562607204116</c:v>
                </c:pt>
                <c:pt idx="14">
                  <c:v>6770.2981989961636</c:v>
                </c:pt>
                <c:pt idx="15">
                  <c:v>6958.9083103342527</c:v>
                </c:pt>
                <c:pt idx="16">
                  <c:v>6931.013258467332</c:v>
                </c:pt>
                <c:pt idx="17">
                  <c:v>7922.6</c:v>
                </c:pt>
                <c:pt idx="18">
                  <c:v>8255</c:v>
                </c:pt>
                <c:pt idx="19" formatCode="#,##0_ ;\-#,##0\ ">
                  <c:v>8254</c:v>
                </c:pt>
                <c:pt idx="20" formatCode="#,##0_ ;\-#,##0\ ">
                  <c:v>8093</c:v>
                </c:pt>
                <c:pt idx="21" formatCode="#,##0_ ;\-#,##0\ ">
                  <c:v>8777</c:v>
                </c:pt>
                <c:pt idx="22" formatCode="#,##0_ ;\-#,##0\ ">
                  <c:v>9269</c:v>
                </c:pt>
              </c:numCache>
            </c:numRef>
          </c:val>
          <c:smooth val="0"/>
          <c:extLst>
            <c:ext xmlns:c16="http://schemas.microsoft.com/office/drawing/2014/chart" uri="{C3380CC4-5D6E-409C-BE32-E72D297353CC}">
              <c16:uniqueId val="{00000000-C21E-4174-B8CA-255BDB9DD429}"/>
            </c:ext>
          </c:extLst>
        </c:ser>
        <c:ser>
          <c:idx val="1"/>
          <c:order val="1"/>
          <c:tx>
            <c:v>Family Tax Credit</c:v>
          </c:tx>
          <c:spPr>
            <a:ln w="28575" cap="rnd">
              <a:solidFill>
                <a:srgbClr val="0D8390"/>
              </a:solidFill>
              <a:round/>
            </a:ln>
            <a:effectLst/>
          </c:spPr>
          <c:marker>
            <c:symbol val="none"/>
          </c:marker>
          <c:cat>
            <c:numRef>
              <c:extLst>
                <c:ext xmlns:c15="http://schemas.microsoft.com/office/drawing/2012/chart" uri="{02D57815-91ED-43cb-92C2-25804820EDAC}">
                  <c15:fullRef>
                    <c15:sqref>'Working for families data'!$A$4:$A$27</c15:sqref>
                  </c15:fullRef>
                </c:ext>
              </c:extLst>
              <c:f>'Working for families data'!$A$5:$A$27</c:f>
              <c:numCache>
                <c:formatCode>yyyy</c:formatCode>
                <c:ptCount val="23"/>
                <c:pt idx="0">
                  <c:v>37316</c:v>
                </c:pt>
                <c:pt idx="1">
                  <c:v>37681</c:v>
                </c:pt>
                <c:pt idx="2">
                  <c:v>38047</c:v>
                </c:pt>
                <c:pt idx="3">
                  <c:v>38412</c:v>
                </c:pt>
                <c:pt idx="4">
                  <c:v>38777</c:v>
                </c:pt>
                <c:pt idx="5">
                  <c:v>39142</c:v>
                </c:pt>
                <c:pt idx="6">
                  <c:v>39508</c:v>
                </c:pt>
                <c:pt idx="7">
                  <c:v>39873</c:v>
                </c:pt>
                <c:pt idx="8">
                  <c:v>40238</c:v>
                </c:pt>
                <c:pt idx="9">
                  <c:v>40603</c:v>
                </c:pt>
                <c:pt idx="10">
                  <c:v>40969</c:v>
                </c:pt>
                <c:pt idx="11">
                  <c:v>41334</c:v>
                </c:pt>
                <c:pt idx="12">
                  <c:v>41699</c:v>
                </c:pt>
                <c:pt idx="13">
                  <c:v>42064</c:v>
                </c:pt>
                <c:pt idx="14">
                  <c:v>42430</c:v>
                </c:pt>
                <c:pt idx="15">
                  <c:v>42795</c:v>
                </c:pt>
                <c:pt idx="16">
                  <c:v>43160</c:v>
                </c:pt>
                <c:pt idx="17">
                  <c:v>43525</c:v>
                </c:pt>
                <c:pt idx="18">
                  <c:v>43891</c:v>
                </c:pt>
                <c:pt idx="19">
                  <c:v>44256</c:v>
                </c:pt>
                <c:pt idx="20">
                  <c:v>44621</c:v>
                </c:pt>
                <c:pt idx="21">
                  <c:v>44986</c:v>
                </c:pt>
                <c:pt idx="22">
                  <c:v>45352</c:v>
                </c:pt>
              </c:numCache>
            </c:numRef>
          </c:cat>
          <c:val>
            <c:numRef>
              <c:extLst>
                <c:ext xmlns:c15="http://schemas.microsoft.com/office/drawing/2012/chart" uri="{02D57815-91ED-43cb-92C2-25804820EDAC}">
                  <c15:fullRef>
                    <c15:sqref>'Working for families data'!$B$35:$B$58</c15:sqref>
                  </c15:fullRef>
                </c:ext>
              </c:extLst>
              <c:f>'Working for families data'!$B$36:$B$58</c:f>
              <c:numCache>
                <c:formatCode>#,##0</c:formatCode>
                <c:ptCount val="23"/>
                <c:pt idx="0">
                  <c:v>3080.7</c:v>
                </c:pt>
                <c:pt idx="1">
                  <c:v>3107.4</c:v>
                </c:pt>
                <c:pt idx="2">
                  <c:v>3135.4</c:v>
                </c:pt>
                <c:pt idx="3">
                  <c:v>3161.8</c:v>
                </c:pt>
                <c:pt idx="4">
                  <c:v>4574.8999999999996</c:v>
                </c:pt>
                <c:pt idx="5">
                  <c:v>4661</c:v>
                </c:pt>
                <c:pt idx="6">
                  <c:v>5337.2</c:v>
                </c:pt>
                <c:pt idx="7">
                  <c:v>5422.4</c:v>
                </c:pt>
                <c:pt idx="8">
                  <c:v>5511</c:v>
                </c:pt>
                <c:pt idx="9">
                  <c:v>5257.7</c:v>
                </c:pt>
                <c:pt idx="10">
                  <c:v>5574.3</c:v>
                </c:pt>
                <c:pt idx="11">
                  <c:v>5792.7874667454917</c:v>
                </c:pt>
                <c:pt idx="12">
                  <c:v>5785.448916408669</c:v>
                </c:pt>
                <c:pt idx="13">
                  <c:v>5798.5194721596399</c:v>
                </c:pt>
                <c:pt idx="14">
                  <c:v>5754.2457542457541</c:v>
                </c:pt>
                <c:pt idx="15">
                  <c:v>5731.7158931082986</c:v>
                </c:pt>
                <c:pt idx="16">
                  <c:v>5806.9580784899654</c:v>
                </c:pt>
                <c:pt idx="17">
                  <c:v>6829</c:v>
                </c:pt>
                <c:pt idx="18">
                  <c:v>7490</c:v>
                </c:pt>
                <c:pt idx="19" formatCode="#,##0_ ;\-#,##0\ ">
                  <c:v>7483</c:v>
                </c:pt>
                <c:pt idx="20" formatCode="#,##0_ ;\-#,##0\ ">
                  <c:v>7431</c:v>
                </c:pt>
                <c:pt idx="21" formatCode="#,##0_ ;\-#,##0\ ">
                  <c:v>8378</c:v>
                </c:pt>
                <c:pt idx="22" formatCode="#,##0_ ;\-#,##0\ ">
                  <c:v>9002</c:v>
                </c:pt>
              </c:numCache>
            </c:numRef>
          </c:val>
          <c:smooth val="0"/>
          <c:extLst>
            <c:ext xmlns:c16="http://schemas.microsoft.com/office/drawing/2014/chart" uri="{C3380CC4-5D6E-409C-BE32-E72D297353CC}">
              <c16:uniqueId val="{00000002-C21E-4174-B8CA-255BDB9DD429}"/>
            </c:ext>
          </c:extLst>
        </c:ser>
        <c:dLbls>
          <c:showLegendKey val="0"/>
          <c:showVal val="0"/>
          <c:showCatName val="0"/>
          <c:showSerName val="0"/>
          <c:showPercent val="0"/>
          <c:showBubbleSize val="0"/>
        </c:dLbls>
        <c:smooth val="0"/>
        <c:axId val="820360528"/>
        <c:axId val="820359280"/>
      </c:lineChart>
      <c:dateAx>
        <c:axId val="820360528"/>
        <c:scaling>
          <c:orientation val="minMax"/>
          <c:max val="45292"/>
          <c:min val="37316"/>
        </c:scaling>
        <c:delete val="0"/>
        <c:axPos val="b"/>
        <c:title>
          <c:tx>
            <c:rich>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Income tax year</a:t>
                </a:r>
              </a:p>
            </c:rich>
          </c:tx>
          <c:layout>
            <c:manualLayout>
              <c:xMode val="edge"/>
              <c:yMode val="edge"/>
              <c:x val="0.42445684207865148"/>
              <c:y val="0.9055251399838781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820359280"/>
        <c:crosses val="autoZero"/>
        <c:auto val="1"/>
        <c:lblOffset val="100"/>
        <c:baseTimeUnit val="years"/>
        <c:majorUnit val="2"/>
        <c:majorTimeUnit val="years"/>
      </c:dateAx>
      <c:valAx>
        <c:axId val="82035928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Average family entitlement</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820360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r>
              <a:rPr lang="en-NZ" sz="1400" b="1"/>
              <a:t>Aggregate entitlements paid for Working for Families tax credits</a:t>
            </a:r>
          </a:p>
        </c:rich>
      </c:tx>
      <c:layout>
        <c:manualLayout>
          <c:xMode val="edge"/>
          <c:yMode val="edge"/>
          <c:x val="3.7294573313152141E-2"/>
          <c:y val="8.3398481556622803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Verdana" panose="020B0604030504040204" pitchFamily="34" charset="0"/>
              <a:ea typeface="Verdana" panose="020B0604030504040204" pitchFamily="34" charset="0"/>
              <a:cs typeface="+mn-cs"/>
            </a:defRPr>
          </a:pPr>
          <a:endParaRPr lang="en-US"/>
        </a:p>
      </c:txPr>
    </c:title>
    <c:autoTitleDeleted val="0"/>
    <c:plotArea>
      <c:layout>
        <c:manualLayout>
          <c:layoutTarget val="inner"/>
          <c:xMode val="edge"/>
          <c:yMode val="edge"/>
          <c:x val="0.11193112204649761"/>
          <c:y val="8.8788190512339202E-2"/>
          <c:w val="0.8717180770802736"/>
          <c:h val="0.77437936261889617"/>
        </c:manualLayout>
      </c:layout>
      <c:lineChart>
        <c:grouping val="standard"/>
        <c:varyColors val="0"/>
        <c:ser>
          <c:idx val="0"/>
          <c:order val="0"/>
          <c:tx>
            <c:v>All Working For Families tax credits</c:v>
          </c:tx>
          <c:spPr>
            <a:ln w="28575" cap="rnd">
              <a:solidFill>
                <a:srgbClr val="00426D"/>
              </a:solidFill>
              <a:round/>
            </a:ln>
            <a:effectLst/>
          </c:spPr>
          <c:marker>
            <c:symbol val="none"/>
          </c:marker>
          <c:cat>
            <c:numRef>
              <c:f>'Working for families data'!$A$4:$A$27</c:f>
              <c:numCache>
                <c:formatCode>yyyy</c:formatCode>
                <c:ptCount val="24"/>
                <c:pt idx="0">
                  <c:v>36951</c:v>
                </c:pt>
                <c:pt idx="1">
                  <c:v>37316</c:v>
                </c:pt>
                <c:pt idx="2">
                  <c:v>37681</c:v>
                </c:pt>
                <c:pt idx="3">
                  <c:v>38047</c:v>
                </c:pt>
                <c:pt idx="4">
                  <c:v>38412</c:v>
                </c:pt>
                <c:pt idx="5">
                  <c:v>38777</c:v>
                </c:pt>
                <c:pt idx="6">
                  <c:v>39142</c:v>
                </c:pt>
                <c:pt idx="7">
                  <c:v>39508</c:v>
                </c:pt>
                <c:pt idx="8">
                  <c:v>39873</c:v>
                </c:pt>
                <c:pt idx="9">
                  <c:v>40238</c:v>
                </c:pt>
                <c:pt idx="10">
                  <c:v>40603</c:v>
                </c:pt>
                <c:pt idx="11">
                  <c:v>40969</c:v>
                </c:pt>
                <c:pt idx="12">
                  <c:v>41334</c:v>
                </c:pt>
                <c:pt idx="13">
                  <c:v>41699</c:v>
                </c:pt>
                <c:pt idx="14">
                  <c:v>42064</c:v>
                </c:pt>
                <c:pt idx="15">
                  <c:v>42430</c:v>
                </c:pt>
                <c:pt idx="16">
                  <c:v>42795</c:v>
                </c:pt>
                <c:pt idx="17">
                  <c:v>43160</c:v>
                </c:pt>
                <c:pt idx="18">
                  <c:v>43525</c:v>
                </c:pt>
                <c:pt idx="19">
                  <c:v>43891</c:v>
                </c:pt>
                <c:pt idx="20">
                  <c:v>44256</c:v>
                </c:pt>
                <c:pt idx="21">
                  <c:v>44621</c:v>
                </c:pt>
                <c:pt idx="22">
                  <c:v>44986</c:v>
                </c:pt>
                <c:pt idx="23">
                  <c:v>45352</c:v>
                </c:pt>
              </c:numCache>
            </c:numRef>
          </c:cat>
          <c:val>
            <c:numRef>
              <c:f>'Working for families data'!$H$64:$H$87</c:f>
              <c:numCache>
                <c:formatCode>#,##0</c:formatCode>
                <c:ptCount val="24"/>
                <c:pt idx="0">
                  <c:v>1037.0999999999999</c:v>
                </c:pt>
                <c:pt idx="1">
                  <c:v>1012.6</c:v>
                </c:pt>
                <c:pt idx="2">
                  <c:v>997.30000000000018</c:v>
                </c:pt>
                <c:pt idx="3">
                  <c:v>978.40000000000009</c:v>
                </c:pt>
                <c:pt idx="4">
                  <c:v>932.2</c:v>
                </c:pt>
                <c:pt idx="5">
                  <c:v>1429.7</c:v>
                </c:pt>
                <c:pt idx="6">
                  <c:v>2204.8999999999996</c:v>
                </c:pt>
                <c:pt idx="7">
                  <c:v>2537.7000000000003</c:v>
                </c:pt>
                <c:pt idx="8">
                  <c:v>2664.3999999999996</c:v>
                </c:pt>
                <c:pt idx="9">
                  <c:v>2751.4</c:v>
                </c:pt>
                <c:pt idx="10">
                  <c:v>2722.4999999999995</c:v>
                </c:pt>
                <c:pt idx="11">
                  <c:v>2616.5000000000005</c:v>
                </c:pt>
                <c:pt idx="12">
                  <c:v>2551.1999999999998</c:v>
                </c:pt>
                <c:pt idx="13">
                  <c:v>2448.1999999999998</c:v>
                </c:pt>
                <c:pt idx="14">
                  <c:v>2378.1</c:v>
                </c:pt>
                <c:pt idx="15">
                  <c:v>2293.1000000000004</c:v>
                </c:pt>
                <c:pt idx="16">
                  <c:v>2269.3000000000002</c:v>
                </c:pt>
                <c:pt idx="17">
                  <c:v>2237.9410090000001</c:v>
                </c:pt>
                <c:pt idx="18">
                  <c:v>2700</c:v>
                </c:pt>
                <c:pt idx="19">
                  <c:v>2928</c:v>
                </c:pt>
                <c:pt idx="20">
                  <c:v>2902</c:v>
                </c:pt>
                <c:pt idx="21">
                  <c:v>2788</c:v>
                </c:pt>
                <c:pt idx="22">
                  <c:v>2950</c:v>
                </c:pt>
                <c:pt idx="23">
                  <c:v>3043</c:v>
                </c:pt>
              </c:numCache>
            </c:numRef>
          </c:val>
          <c:smooth val="0"/>
          <c:extLst>
            <c:ext xmlns:c16="http://schemas.microsoft.com/office/drawing/2014/chart" uri="{C3380CC4-5D6E-409C-BE32-E72D297353CC}">
              <c16:uniqueId val="{00000000-B745-48FF-84A3-C1C4FDB4C866}"/>
            </c:ext>
          </c:extLst>
        </c:ser>
        <c:ser>
          <c:idx val="1"/>
          <c:order val="1"/>
          <c:tx>
            <c:v>Family Tax Credit</c:v>
          </c:tx>
          <c:spPr>
            <a:ln w="28575" cap="rnd">
              <a:solidFill>
                <a:srgbClr val="0D8390"/>
              </a:solidFill>
              <a:round/>
            </a:ln>
            <a:effectLst/>
          </c:spPr>
          <c:marker>
            <c:symbol val="none"/>
          </c:marker>
          <c:cat>
            <c:numRef>
              <c:f>'Working for families data'!$A$4:$A$27</c:f>
              <c:numCache>
                <c:formatCode>yyyy</c:formatCode>
                <c:ptCount val="24"/>
                <c:pt idx="0">
                  <c:v>36951</c:v>
                </c:pt>
                <c:pt idx="1">
                  <c:v>37316</c:v>
                </c:pt>
                <c:pt idx="2">
                  <c:v>37681</c:v>
                </c:pt>
                <c:pt idx="3">
                  <c:v>38047</c:v>
                </c:pt>
                <c:pt idx="4">
                  <c:v>38412</c:v>
                </c:pt>
                <c:pt idx="5">
                  <c:v>38777</c:v>
                </c:pt>
                <c:pt idx="6">
                  <c:v>39142</c:v>
                </c:pt>
                <c:pt idx="7">
                  <c:v>39508</c:v>
                </c:pt>
                <c:pt idx="8">
                  <c:v>39873</c:v>
                </c:pt>
                <c:pt idx="9">
                  <c:v>40238</c:v>
                </c:pt>
                <c:pt idx="10">
                  <c:v>40603</c:v>
                </c:pt>
                <c:pt idx="11">
                  <c:v>40969</c:v>
                </c:pt>
                <c:pt idx="12">
                  <c:v>41334</c:v>
                </c:pt>
                <c:pt idx="13">
                  <c:v>41699</c:v>
                </c:pt>
                <c:pt idx="14">
                  <c:v>42064</c:v>
                </c:pt>
                <c:pt idx="15">
                  <c:v>42430</c:v>
                </c:pt>
                <c:pt idx="16">
                  <c:v>42795</c:v>
                </c:pt>
                <c:pt idx="17">
                  <c:v>43160</c:v>
                </c:pt>
                <c:pt idx="18">
                  <c:v>43525</c:v>
                </c:pt>
                <c:pt idx="19">
                  <c:v>43891</c:v>
                </c:pt>
                <c:pt idx="20">
                  <c:v>44256</c:v>
                </c:pt>
                <c:pt idx="21">
                  <c:v>44621</c:v>
                </c:pt>
                <c:pt idx="22">
                  <c:v>44986</c:v>
                </c:pt>
                <c:pt idx="23">
                  <c:v>45352</c:v>
                </c:pt>
              </c:numCache>
            </c:numRef>
          </c:cat>
          <c:val>
            <c:numRef>
              <c:f>'Working for families data'!$B$64:$B$87</c:f>
              <c:numCache>
                <c:formatCode>#,##0</c:formatCode>
                <c:ptCount val="24"/>
                <c:pt idx="0">
                  <c:v>852.90000000000009</c:v>
                </c:pt>
                <c:pt idx="1">
                  <c:v>836.4</c:v>
                </c:pt>
                <c:pt idx="2">
                  <c:v>821.90000000000009</c:v>
                </c:pt>
                <c:pt idx="3">
                  <c:v>814.90000000000009</c:v>
                </c:pt>
                <c:pt idx="4">
                  <c:v>775.9</c:v>
                </c:pt>
                <c:pt idx="5">
                  <c:v>1230.2</c:v>
                </c:pt>
                <c:pt idx="6">
                  <c:v>1611.3</c:v>
                </c:pt>
                <c:pt idx="7">
                  <c:v>1883.5</c:v>
                </c:pt>
                <c:pt idx="8">
                  <c:v>1983.5</c:v>
                </c:pt>
                <c:pt idx="9">
                  <c:v>2073.7999999999997</c:v>
                </c:pt>
                <c:pt idx="10">
                  <c:v>2060.5</c:v>
                </c:pt>
                <c:pt idx="11">
                  <c:v>1988.9</c:v>
                </c:pt>
                <c:pt idx="12">
                  <c:v>1959.7</c:v>
                </c:pt>
                <c:pt idx="13">
                  <c:v>1868.7</c:v>
                </c:pt>
                <c:pt idx="14">
                  <c:v>1801.6</c:v>
                </c:pt>
                <c:pt idx="15">
                  <c:v>1728</c:v>
                </c:pt>
                <c:pt idx="16">
                  <c:v>1630.1</c:v>
                </c:pt>
                <c:pt idx="17">
                  <c:v>1620.6813509999999</c:v>
                </c:pt>
                <c:pt idx="18">
                  <c:v>2024</c:v>
                </c:pt>
                <c:pt idx="19">
                  <c:v>2151</c:v>
                </c:pt>
                <c:pt idx="20">
                  <c:v>2084</c:v>
                </c:pt>
                <c:pt idx="21">
                  <c:v>1970</c:v>
                </c:pt>
                <c:pt idx="22">
                  <c:v>2154</c:v>
                </c:pt>
                <c:pt idx="23">
                  <c:v>2273</c:v>
                </c:pt>
              </c:numCache>
            </c:numRef>
          </c:val>
          <c:smooth val="0"/>
          <c:extLst>
            <c:ext xmlns:c16="http://schemas.microsoft.com/office/drawing/2014/chart" uri="{C3380CC4-5D6E-409C-BE32-E72D297353CC}">
              <c16:uniqueId val="{00000001-B745-48FF-84A3-C1C4FDB4C866}"/>
            </c:ext>
          </c:extLst>
        </c:ser>
        <c:dLbls>
          <c:showLegendKey val="0"/>
          <c:showVal val="0"/>
          <c:showCatName val="0"/>
          <c:showSerName val="0"/>
          <c:showPercent val="0"/>
          <c:showBubbleSize val="0"/>
        </c:dLbls>
        <c:smooth val="0"/>
        <c:axId val="820360528"/>
        <c:axId val="820359280"/>
      </c:lineChart>
      <c:dateAx>
        <c:axId val="820360528"/>
        <c:scaling>
          <c:orientation val="minMax"/>
          <c:min val="37316"/>
        </c:scaling>
        <c:delete val="0"/>
        <c:axPos val="b"/>
        <c:title>
          <c:tx>
            <c:rich>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Income tax year</a:t>
                </a:r>
              </a:p>
            </c:rich>
          </c:tx>
          <c:layout>
            <c:manualLayout>
              <c:xMode val="edge"/>
              <c:yMode val="edge"/>
              <c:x val="0.42222718741412019"/>
              <c:y val="0.9134742395552430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820359280"/>
        <c:crosses val="autoZero"/>
        <c:auto val="1"/>
        <c:lblOffset val="100"/>
        <c:baseTimeUnit val="years"/>
        <c:majorUnit val="2"/>
        <c:majorTimeUnit val="years"/>
      </c:dateAx>
      <c:valAx>
        <c:axId val="82035928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r>
                  <a:rPr lang="en-NZ"/>
                  <a:t>Aggregate entitlement ($millions)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crossAx val="820360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Verdana" panose="020B0604030504040204" pitchFamily="34" charset="0"/>
              <a:ea typeface="Verdana" panose="020B0604030504040204"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19048</xdr:rowOff>
    </xdr:from>
    <xdr:to>
      <xdr:col>14</xdr:col>
      <xdr:colOff>112568</xdr:colOff>
      <xdr:row>58</xdr:row>
      <xdr:rowOff>0</xdr:rowOff>
    </xdr:to>
    <xdr:sp macro="" textlink="">
      <xdr:nvSpPr>
        <xdr:cNvPr id="57" name="TextBox 1">
          <a:extLst>
            <a:ext uri="{FF2B5EF4-FFF2-40B4-BE49-F238E27FC236}">
              <a16:creationId xmlns:a16="http://schemas.microsoft.com/office/drawing/2014/main" id="{4F8DEFE9-298C-499A-926A-C28F80D1FA9E}"/>
            </a:ext>
          </a:extLst>
        </xdr:cNvPr>
        <xdr:cNvSpPr txBox="1"/>
      </xdr:nvSpPr>
      <xdr:spPr>
        <a:xfrm>
          <a:off x="28575" y="19048"/>
          <a:ext cx="8569902" cy="1102995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NZ" sz="1400" b="1">
              <a:solidFill>
                <a:schemeClr val="dk1"/>
              </a:solidFill>
              <a:effectLst/>
              <a:latin typeface="+mn-lt"/>
              <a:ea typeface="Verdana" panose="020B0604030504040204" pitchFamily="34" charset="0"/>
              <a:cs typeface="+mn-cs"/>
            </a:rPr>
            <a:t>Working for Families Tax Credits</a:t>
          </a:r>
        </a:p>
        <a:p>
          <a:pPr fontAlgn="base"/>
          <a:endParaRPr lang="en-NZ" sz="1100">
            <a:solidFill>
              <a:schemeClr val="dk1"/>
            </a:solidFill>
            <a:effectLst/>
            <a:latin typeface="+mn-lt"/>
            <a:ea typeface="Verdana" panose="020B0604030504040204" pitchFamily="34" charset="0"/>
            <a:cs typeface="+mn-cs"/>
          </a:endParaRPr>
        </a:p>
        <a:p>
          <a:pPr fontAlgn="base"/>
          <a:r>
            <a:rPr lang="en-NZ" sz="1100">
              <a:solidFill>
                <a:sysClr val="windowText" lastClr="000000"/>
              </a:solidFill>
              <a:effectLst/>
              <a:latin typeface="+mn-lt"/>
              <a:ea typeface="Verdana" panose="020B0604030504040204" pitchFamily="34" charset="0"/>
              <a:cs typeface="+mn-cs"/>
            </a:rPr>
            <a:t>Working for Families is a collective term for tax credits paid to families with dependent children. Working for Families tax credits are designed to help make it easier for people to work and raise a family.</a:t>
          </a:r>
        </a:p>
        <a:p>
          <a:pPr fontAlgn="base"/>
          <a:r>
            <a:rPr lang="en-NZ" sz="1100">
              <a:solidFill>
                <a:sysClr val="windowText" lastClr="000000"/>
              </a:solidFill>
              <a:effectLst/>
              <a:latin typeface="+mn-lt"/>
              <a:ea typeface="Verdana" panose="020B0604030504040204" pitchFamily="34" charset="0"/>
              <a:cs typeface="+mn-cs"/>
            </a:rPr>
            <a:t> </a:t>
          </a:r>
        </a:p>
        <a:p>
          <a:pPr fontAlgn="base"/>
          <a:r>
            <a:rPr lang="en-NZ" sz="1100">
              <a:solidFill>
                <a:sysClr val="windowText" lastClr="000000"/>
              </a:solidFill>
              <a:effectLst/>
              <a:latin typeface="+mn-lt"/>
              <a:ea typeface="Verdana" panose="020B0604030504040204" pitchFamily="34" charset="0"/>
              <a:cs typeface="+mn-cs"/>
            </a:rPr>
            <a:t>Working for Families data from the 2001 to 2024 tax years is available in the accompanying tables and charts.  Working for Families data for the 2020 to 2023 tax years has been revised. Data was extracted from Inland Revenue systems</a:t>
          </a:r>
          <a:r>
            <a:rPr lang="en-NZ" sz="1100" baseline="0">
              <a:solidFill>
                <a:sysClr val="windowText" lastClr="000000"/>
              </a:solidFill>
              <a:effectLst/>
              <a:latin typeface="+mn-lt"/>
              <a:ea typeface="Verdana" panose="020B0604030504040204" pitchFamily="34" charset="0"/>
              <a:cs typeface="+mn-cs"/>
            </a:rPr>
            <a:t> on 03 September 2025.</a:t>
          </a:r>
          <a:endParaRPr lang="en-NZ" sz="1100">
            <a:solidFill>
              <a:sysClr val="windowText" lastClr="000000"/>
            </a:solidFill>
            <a:effectLst/>
            <a:latin typeface="+mn-lt"/>
            <a:ea typeface="Verdana" panose="020B0604030504040204" pitchFamily="34" charset="0"/>
            <a:cs typeface="+mn-cs"/>
          </a:endParaRPr>
        </a:p>
        <a:p>
          <a:pPr fontAlgn="base"/>
          <a:endParaRPr lang="en-NZ" sz="1100">
            <a:solidFill>
              <a:sysClr val="windowText" lastClr="000000"/>
            </a:solidFill>
            <a:effectLst/>
            <a:latin typeface="+mn-lt"/>
            <a:ea typeface="Verdana" panose="020B0604030504040204" pitchFamily="34" charset="0"/>
            <a:cs typeface="+mn-cs"/>
          </a:endParaRPr>
        </a:p>
        <a:p>
          <a:pPr fontAlgn="base"/>
          <a:r>
            <a:rPr lang="en-NZ" sz="1100">
              <a:solidFill>
                <a:sysClr val="windowText" lastClr="000000"/>
              </a:solidFill>
              <a:effectLst/>
              <a:latin typeface="+mn-lt"/>
              <a:ea typeface="Verdana" panose="020B0604030504040204" pitchFamily="34" charset="0"/>
              <a:cs typeface="+mn-cs"/>
            </a:rPr>
            <a:t>The data is collected from tax year entitlements as assessed on individuals’ Working</a:t>
          </a:r>
          <a:r>
            <a:rPr lang="en-NZ" sz="1100" baseline="0">
              <a:solidFill>
                <a:sysClr val="windowText" lastClr="000000"/>
              </a:solidFill>
              <a:effectLst/>
              <a:latin typeface="+mn-lt"/>
              <a:ea typeface="Verdana" panose="020B0604030504040204" pitchFamily="34" charset="0"/>
              <a:cs typeface="+mn-cs"/>
            </a:rPr>
            <a:t> for Families </a:t>
          </a:r>
          <a:r>
            <a:rPr lang="en-NZ" sz="1100">
              <a:solidFill>
                <a:sysClr val="windowText" lastClr="000000"/>
              </a:solidFill>
              <a:effectLst/>
              <a:latin typeface="+mn-lt"/>
              <a:ea typeface="Verdana" panose="020B0604030504040204" pitchFamily="34" charset="0"/>
              <a:cs typeface="+mn-cs"/>
            </a:rPr>
            <a:t>return.  The data is supplemented with Working for Families data recorded on the PAYE returns of Work and Income clients, and Working for Families payments made by Inland Revenue where the customer has not yet filed their Working for</a:t>
          </a:r>
          <a:r>
            <a:rPr lang="en-NZ" sz="1100" baseline="0">
              <a:solidFill>
                <a:sysClr val="windowText" lastClr="000000"/>
              </a:solidFill>
              <a:effectLst/>
              <a:latin typeface="+mn-lt"/>
              <a:ea typeface="Verdana" panose="020B0604030504040204" pitchFamily="34" charset="0"/>
              <a:cs typeface="+mn-cs"/>
            </a:rPr>
            <a:t> Families</a:t>
          </a:r>
          <a:r>
            <a:rPr lang="en-NZ" sz="1100">
              <a:solidFill>
                <a:sysClr val="windowText" lastClr="000000"/>
              </a:solidFill>
              <a:effectLst/>
              <a:latin typeface="+mn-lt"/>
              <a:ea typeface="Verdana" panose="020B0604030504040204" pitchFamily="34" charset="0"/>
              <a:cs typeface="+mn-cs"/>
            </a:rPr>
            <a:t> tax return.</a:t>
          </a:r>
        </a:p>
        <a:p>
          <a:pPr fontAlgn="base"/>
          <a:endParaRPr lang="en-NZ" sz="1100">
            <a:solidFill>
              <a:sysClr val="windowText" lastClr="000000"/>
            </a:solidFill>
            <a:effectLst/>
            <a:latin typeface="+mn-lt"/>
            <a:ea typeface="Verdana" panose="020B0604030504040204" pitchFamily="34" charset="0"/>
            <a:cs typeface="+mn-cs"/>
          </a:endParaRPr>
        </a:p>
        <a:p>
          <a:r>
            <a:rPr lang="en-NZ" sz="1100" u="sng">
              <a:solidFill>
                <a:sysClr val="windowText" lastClr="000000"/>
              </a:solidFill>
              <a:effectLst/>
              <a:latin typeface="+mn-lt"/>
              <a:ea typeface="Verdana" panose="020B0604030504040204" pitchFamily="34" charset="0"/>
              <a:cs typeface="+mn-cs"/>
            </a:rPr>
            <a:t>Best Start Tax Credit</a:t>
          </a:r>
        </a:p>
        <a:p>
          <a:r>
            <a:rPr lang="en-NZ" sz="1100">
              <a:solidFill>
                <a:sysClr val="windowText" lastClr="000000"/>
              </a:solidFill>
              <a:effectLst/>
              <a:latin typeface="+mn-lt"/>
              <a:ea typeface="Verdana" panose="020B0604030504040204" pitchFamily="34" charset="0"/>
              <a:cs typeface="+mn-cs"/>
            </a:rPr>
            <a:t>From 2019 to 2024 the Best Start Tax Credit (BSTC) was available to all qualifying families with a baby in their first year, and to families with infants from 1 year of age until their third birthday on an abated basis – meaning that for infants aged one or two the entitlement depended on the family’s circumstances. BSTC eligibility ceases once a child turns three, but there will be a part year of entitlement in that March year.</a:t>
          </a:r>
        </a:p>
        <a:p>
          <a:endParaRPr lang="en-NZ" sz="1100">
            <a:solidFill>
              <a:sysClr val="windowText" lastClr="000000"/>
            </a:solidFill>
            <a:effectLst/>
            <a:latin typeface="+mn-lt"/>
            <a:ea typeface="Verdana" panose="020B0604030504040204" pitchFamily="34" charset="0"/>
            <a:cs typeface="+mn-cs"/>
          </a:endParaRPr>
        </a:p>
        <a:p>
          <a:pPr fontAlgn="base"/>
          <a:r>
            <a:rPr lang="en-NZ" sz="1100">
              <a:solidFill>
                <a:sysClr val="windowText" lastClr="000000"/>
              </a:solidFill>
              <a:effectLst/>
              <a:latin typeface="+mn-lt"/>
              <a:ea typeface="Verdana" panose="020B0604030504040204" pitchFamily="34" charset="0"/>
              <a:cs typeface="+mn-cs"/>
            </a:rPr>
            <a:t>BSTC data in the table and graphs includes families administered by Inland Revenue and clients of Work and Income. For Work and Income clients that received BSTC but did not receive an end of year assessment from Inland Revenue, Inland Revenue has estimated their BSTC entitlement using administrative data held on file and included this estimate into the totals. </a:t>
          </a:r>
        </a:p>
        <a:p>
          <a:pPr fontAlgn="base"/>
          <a:endParaRPr lang="en-NZ" sz="1100">
            <a:solidFill>
              <a:sysClr val="windowText" lastClr="000000"/>
            </a:solidFill>
            <a:effectLst/>
            <a:latin typeface="+mn-lt"/>
            <a:ea typeface="Verdana" panose="020B0604030504040204" pitchFamily="34" charset="0"/>
            <a:cs typeface="+mn-cs"/>
          </a:endParaRPr>
        </a:p>
        <a:p>
          <a:r>
            <a:rPr lang="en-NZ" sz="1100" u="sng">
              <a:solidFill>
                <a:sysClr val="windowText" lastClr="000000"/>
              </a:solidFill>
              <a:effectLst/>
              <a:latin typeface="+mn-lt"/>
              <a:ea typeface="+mn-ea"/>
              <a:cs typeface="+mn-cs"/>
            </a:rPr>
            <a:t>Data on numbers of supported children</a:t>
          </a:r>
        </a:p>
        <a:p>
          <a:r>
            <a:rPr lang="en-NZ" sz="1100">
              <a:solidFill>
                <a:sysClr val="windowText" lastClr="000000"/>
              </a:solidFill>
              <a:effectLst/>
              <a:latin typeface="+mn-lt"/>
              <a:ea typeface="+mn-ea"/>
              <a:cs typeface="+mn-cs"/>
            </a:rPr>
            <a:t>There</a:t>
          </a:r>
          <a:r>
            <a:rPr lang="en-NZ" sz="1100" baseline="0">
              <a:solidFill>
                <a:sysClr val="windowText" lastClr="000000"/>
              </a:solidFill>
              <a:effectLst/>
              <a:latin typeface="+mn-lt"/>
              <a:ea typeface="+mn-ea"/>
              <a:cs typeface="+mn-cs"/>
            </a:rPr>
            <a:t> is </a:t>
          </a:r>
          <a:r>
            <a:rPr lang="en-NZ" sz="1100">
              <a:solidFill>
                <a:sysClr val="windowText" lastClr="000000"/>
              </a:solidFill>
              <a:effectLst/>
              <a:latin typeface="+mn-lt"/>
              <a:ea typeface="+mn-ea"/>
              <a:cs typeface="+mn-cs"/>
            </a:rPr>
            <a:t>a table on the number of children for whom Working for Families tax credits are paid and a distribution of families by the number of children for whom Working for Families tax credits are paid. The number of children has been adjusted for shared</a:t>
          </a:r>
          <a:r>
            <a:rPr lang="en-NZ" sz="1100" baseline="0">
              <a:solidFill>
                <a:sysClr val="windowText" lastClr="000000"/>
              </a:solidFill>
              <a:effectLst/>
              <a:latin typeface="+mn-lt"/>
              <a:ea typeface="+mn-ea"/>
              <a:cs typeface="+mn-cs"/>
            </a:rPr>
            <a:t> care arrangements known by Inland Revenue. However, double counting may occur where shared care arrangements are not known. </a:t>
          </a:r>
          <a:r>
            <a:rPr lang="en-NZ" sz="1100">
              <a:solidFill>
                <a:sysClr val="windowText" lastClr="000000"/>
              </a:solidFill>
              <a:effectLst/>
              <a:latin typeface="+mn-lt"/>
              <a:ea typeface="+mn-ea"/>
              <a:cs typeface="+mn-cs"/>
            </a:rPr>
            <a:t> </a:t>
          </a:r>
        </a:p>
        <a:p>
          <a:endParaRPr lang="en-NZ" sz="1100">
            <a:solidFill>
              <a:sysClr val="windowText" lastClr="000000"/>
            </a:solidFill>
            <a:effectLst/>
            <a:latin typeface="+mn-lt"/>
            <a:ea typeface="+mn-ea"/>
            <a:cs typeface="+mn-cs"/>
          </a:endParaRPr>
        </a:p>
        <a:p>
          <a:r>
            <a:rPr lang="en-NZ" sz="1100">
              <a:solidFill>
                <a:sysClr val="windowText" lastClr="000000"/>
              </a:solidFill>
              <a:effectLst/>
              <a:latin typeface="+mn-lt"/>
              <a:ea typeface="+mn-ea"/>
              <a:cs typeface="+mn-cs"/>
            </a:rPr>
            <a:t>Because family demographics can change during the year, the data on numbers of children is based on the maximum of the number of children in the family at the start of the year and the number of children at the end of the year.</a:t>
          </a:r>
        </a:p>
        <a:p>
          <a:endParaRPr lang="en-NZ" sz="1100">
            <a:solidFill>
              <a:sysClr val="windowText" lastClr="000000"/>
            </a:solidFill>
            <a:effectLst/>
            <a:latin typeface="+mn-lt"/>
            <a:ea typeface="+mn-ea"/>
            <a:cs typeface="+mn-cs"/>
          </a:endParaRPr>
        </a:p>
        <a:p>
          <a:r>
            <a:rPr lang="en-NZ" sz="1100">
              <a:solidFill>
                <a:sysClr val="windowText" lastClr="000000"/>
              </a:solidFill>
              <a:effectLst/>
              <a:latin typeface="+mn-lt"/>
              <a:ea typeface="+mn-ea"/>
              <a:cs typeface="+mn-cs"/>
            </a:rPr>
            <a:t>Data on the numbers of children is available from 2020.  Data is not available prior to 2020 as Inland Revenue does not hold sufficient information to estimate the number of children in families receiving Working for Families tax credits administered solely by Work and Income.</a:t>
          </a:r>
        </a:p>
        <a:p>
          <a:pPr fontAlgn="base"/>
          <a:endParaRPr lang="en-NZ" sz="1100">
            <a:solidFill>
              <a:sysClr val="windowText" lastClr="000000"/>
            </a:solidFill>
            <a:effectLst/>
            <a:latin typeface="+mn-lt"/>
            <a:ea typeface="Verdana" panose="020B0604030504040204" pitchFamily="34" charset="0"/>
            <a:cs typeface="+mn-cs"/>
          </a:endParaRPr>
        </a:p>
        <a:p>
          <a:pPr fontAlgn="base"/>
          <a:r>
            <a:rPr lang="en-NZ" sz="1100" u="sng">
              <a:solidFill>
                <a:sysClr val="windowText" lastClr="000000"/>
              </a:solidFill>
              <a:effectLst/>
              <a:latin typeface="+mn-lt"/>
              <a:ea typeface="Verdana" panose="020B0604030504040204" pitchFamily="34" charset="0"/>
              <a:cs typeface="+mn-cs"/>
            </a:rPr>
            <a:t>Family income </a:t>
          </a:r>
        </a:p>
        <a:p>
          <a:pPr fontAlgn="base"/>
          <a:r>
            <a:rPr lang="en-NZ" sz="1100">
              <a:solidFill>
                <a:sysClr val="windowText" lastClr="000000"/>
              </a:solidFill>
              <a:effectLst/>
              <a:latin typeface="+mn-lt"/>
              <a:ea typeface="Verdana" panose="020B0604030504040204" pitchFamily="34" charset="0"/>
              <a:cs typeface="+mn-cs"/>
            </a:rPr>
            <a:t>The 2024 release introduces a new table </a:t>
          </a:r>
          <a:r>
            <a:rPr lang="en-NZ" sz="1100" b="0" i="0" u="none" strike="noStrike">
              <a:solidFill>
                <a:sysClr val="windowText" lastClr="000000"/>
              </a:solidFill>
              <a:effectLst/>
              <a:latin typeface="+mn-lt"/>
              <a:ea typeface="+mn-ea"/>
              <a:cs typeface="+mn-cs"/>
            </a:rPr>
            <a:t>providing</a:t>
          </a:r>
          <a:r>
            <a:rPr lang="en-NZ" sz="1100" b="0" i="0" u="none" strike="noStrike" baseline="0">
              <a:solidFill>
                <a:sysClr val="windowText" lastClr="000000"/>
              </a:solidFill>
              <a:effectLst/>
              <a:latin typeface="+mn-lt"/>
              <a:ea typeface="+mn-ea"/>
              <a:cs typeface="+mn-cs"/>
            </a:rPr>
            <a:t> an income distribution of W</a:t>
          </a:r>
          <a:r>
            <a:rPr lang="en-NZ" sz="1100" b="0" i="0" u="none" strike="noStrike">
              <a:solidFill>
                <a:sysClr val="windowText" lastClr="000000"/>
              </a:solidFill>
              <a:effectLst/>
              <a:latin typeface="+mn-lt"/>
              <a:ea typeface="+mn-ea"/>
              <a:cs typeface="+mn-cs"/>
            </a:rPr>
            <a:t>orking for Families recipients.  It</a:t>
          </a:r>
          <a:r>
            <a:rPr lang="en-NZ" sz="1100" b="0" i="0" u="none" strike="noStrike" baseline="0">
              <a:solidFill>
                <a:sysClr val="windowText" lastClr="000000"/>
              </a:solidFill>
              <a:effectLst/>
              <a:latin typeface="+mn-lt"/>
              <a:ea typeface="+mn-ea"/>
              <a:cs typeface="+mn-cs"/>
            </a:rPr>
            <a:t> only includes those families entitled to one or more of the Working for Families credits in that year.  Families entitled to more than one credit will appear in multiple columns.</a:t>
          </a:r>
          <a:endParaRPr lang="en-NZ" sz="1100" b="0" i="0" u="none" strike="noStrike">
            <a:solidFill>
              <a:sysClr val="windowText" lastClr="000000"/>
            </a:solidFill>
            <a:effectLst/>
            <a:latin typeface="+mn-lt"/>
            <a:ea typeface="+mn-ea"/>
            <a:cs typeface="+mn-cs"/>
          </a:endParaRPr>
        </a:p>
        <a:p>
          <a:pPr fontAlgn="base"/>
          <a:endParaRPr lang="en-NZ" sz="1100" b="0" i="0" u="none" strike="noStrike">
            <a:solidFill>
              <a:sysClr val="windowText" lastClr="000000"/>
            </a:solidFill>
            <a:effectLst/>
            <a:latin typeface="+mn-lt"/>
            <a:ea typeface="+mn-ea"/>
            <a:cs typeface="+mn-cs"/>
          </a:endParaRPr>
        </a:p>
        <a:p>
          <a:pPr fontAlgn="base"/>
          <a:r>
            <a:rPr lang="en-NZ" sz="1100" b="0" i="0" u="none" strike="noStrike">
              <a:solidFill>
                <a:sysClr val="windowText" lastClr="000000"/>
              </a:solidFill>
              <a:effectLst/>
              <a:latin typeface="+mn-lt"/>
              <a:ea typeface="+mn-ea"/>
              <a:cs typeface="+mn-cs"/>
            </a:rPr>
            <a:t>The distributions are organised</a:t>
          </a:r>
          <a:r>
            <a:rPr lang="en-NZ" sz="1100" b="0" i="0" u="none" strike="noStrike" baseline="0">
              <a:solidFill>
                <a:sysClr val="windowText" lastClr="000000"/>
              </a:solidFill>
              <a:effectLst/>
              <a:latin typeface="+mn-lt"/>
              <a:ea typeface="+mn-ea"/>
              <a:cs typeface="+mn-cs"/>
            </a:rPr>
            <a:t> by credit type, excluding the Minimum Family Tax Credit (MFTC) which has a small number of claims.</a:t>
          </a:r>
        </a:p>
        <a:p>
          <a:pPr fontAlgn="base"/>
          <a:endParaRPr lang="en-NZ" sz="1100" b="0" i="0" u="none" strike="noStrike">
            <a:solidFill>
              <a:sysClr val="windowText" lastClr="000000"/>
            </a:solidFill>
            <a:effectLst/>
            <a:latin typeface="+mn-lt"/>
            <a:ea typeface="+mn-ea"/>
            <a:cs typeface="+mn-cs"/>
          </a:endParaRPr>
        </a:p>
        <a:p>
          <a:pPr fontAlgn="base"/>
          <a:r>
            <a:rPr lang="en-NZ" sz="1100" b="0" i="0" u="none" strike="noStrike">
              <a:solidFill>
                <a:sysClr val="windowText" lastClr="000000"/>
              </a:solidFill>
              <a:effectLst/>
              <a:latin typeface="+mn-lt"/>
              <a:ea typeface="+mn-ea"/>
              <a:cs typeface="+mn-cs"/>
            </a:rPr>
            <a:t>Income</a:t>
          </a:r>
          <a:r>
            <a:rPr lang="en-NZ" sz="1100" b="0" i="0" u="none" strike="noStrike" baseline="0">
              <a:solidFill>
                <a:sysClr val="windowText" lastClr="000000"/>
              </a:solidFill>
              <a:effectLst/>
              <a:latin typeface="+mn-lt"/>
              <a:ea typeface="+mn-ea"/>
              <a:cs typeface="+mn-cs"/>
            </a:rPr>
            <a:t> values are defined as family scheme income a</a:t>
          </a:r>
          <a:r>
            <a:rPr lang="en-NZ" sz="1100" b="0" i="0" u="none" strike="noStrike">
              <a:solidFill>
                <a:sysClr val="windowText" lastClr="000000"/>
              </a:solidFill>
              <a:effectLst/>
              <a:latin typeface="+mn-lt"/>
              <a:ea typeface="+mn-ea"/>
              <a:cs typeface="+mn-cs"/>
            </a:rPr>
            <a:t>s assessed on Working for Families returns. The income of clients of Work</a:t>
          </a:r>
          <a:r>
            <a:rPr lang="en-NZ" sz="1100" b="0" i="0" u="none" strike="noStrike" baseline="0">
              <a:solidFill>
                <a:sysClr val="windowText" lastClr="000000"/>
              </a:solidFill>
              <a:effectLst/>
              <a:latin typeface="+mn-lt"/>
              <a:ea typeface="+mn-ea"/>
              <a:cs typeface="+mn-cs"/>
            </a:rPr>
            <a:t> and Income that have not filed a Working for Families return to Inland Revenue is sourced from the individuals' income tax return and does not include any partners income. Families that received Working for Families tax credits paid upfront by Inland Revenue that have not filed a Working for Families return have been recorded with "unknown" income</a:t>
          </a:r>
          <a:r>
            <a:rPr lang="en-NZ" sz="1100" b="0" i="0" u="none" strike="noStrike">
              <a:solidFill>
                <a:sysClr val="windowText" lastClr="000000"/>
              </a:solidFill>
              <a:effectLst/>
              <a:latin typeface="+mn-lt"/>
              <a:ea typeface="+mn-ea"/>
              <a:cs typeface="+mn-cs"/>
            </a:rPr>
            <a:t>.</a:t>
          </a:r>
          <a:r>
            <a:rPr lang="en-NZ">
              <a:solidFill>
                <a:sysClr val="windowText" lastClr="000000"/>
              </a:solidFill>
              <a:latin typeface="+mn-lt"/>
            </a:rPr>
            <a:t> </a:t>
          </a:r>
        </a:p>
        <a:p>
          <a:pPr fontAlgn="base"/>
          <a:endParaRPr lang="en-NZ" sz="1100" b="0" i="0">
            <a:solidFill>
              <a:sysClr val="windowText" lastClr="000000"/>
            </a:solidFill>
            <a:effectLst/>
            <a:latin typeface="+mn-lt"/>
            <a:ea typeface="+mn-ea"/>
            <a:cs typeface="+mn-cs"/>
          </a:endParaRPr>
        </a:p>
        <a:p>
          <a:pPr fontAlgn="base"/>
          <a:r>
            <a:rPr lang="en-NZ" sz="1100" b="0" i="0">
              <a:solidFill>
                <a:sysClr val="windowText" lastClr="000000"/>
              </a:solidFill>
              <a:effectLst/>
              <a:latin typeface="+mn-lt"/>
              <a:ea typeface="+mn-ea"/>
              <a:cs typeface="+mn-cs"/>
            </a:rPr>
            <a:t>Family income derived from Working</a:t>
          </a:r>
          <a:r>
            <a:rPr lang="en-NZ" sz="1100" b="0" i="0" baseline="0">
              <a:solidFill>
                <a:sysClr val="windowText" lastClr="000000"/>
              </a:solidFill>
              <a:effectLst/>
              <a:latin typeface="+mn-lt"/>
              <a:ea typeface="+mn-ea"/>
              <a:cs typeface="+mn-cs"/>
            </a:rPr>
            <a:t> for Families returns </a:t>
          </a:r>
          <a:r>
            <a:rPr lang="en-NZ" sz="1100" b="0" i="0">
              <a:solidFill>
                <a:sysClr val="windowText" lastClr="000000"/>
              </a:solidFill>
              <a:effectLst/>
              <a:latin typeface="+mn-lt"/>
              <a:ea typeface="+mn-ea"/>
              <a:cs typeface="+mn-cs"/>
            </a:rPr>
            <a:t>is calculated using a weighted average of family scheme income during the time the family is entitled to Working for Families tax credits. For example, a two-parent family has one parent working earning $50,000 for the first 6 months of the year. Halfway through the year the second parent begins a job earning $50,000 taking the families income to $100,000 for the second six months of the year. The weighted average family scheme income presented in this table will total $75,000.  </a:t>
          </a:r>
        </a:p>
        <a:p>
          <a:pPr fontAlgn="base"/>
          <a:endParaRPr lang="en-NZ" sz="1100" b="0" i="0" u="none" strike="noStrike">
            <a:solidFill>
              <a:sysClr val="windowText" lastClr="000000"/>
            </a:solidFill>
            <a:effectLst/>
            <a:latin typeface="+mn-lt"/>
            <a:ea typeface="+mn-ea"/>
            <a:cs typeface="+mn-cs"/>
          </a:endParaRPr>
        </a:p>
        <a:p>
          <a:pPr fontAlgn="base"/>
          <a:r>
            <a:rPr lang="en-NZ" sz="1100" b="0" i="0" u="none" strike="noStrike">
              <a:solidFill>
                <a:sysClr val="windowText" lastClr="000000"/>
              </a:solidFill>
              <a:effectLst/>
              <a:latin typeface="+mn-lt"/>
              <a:ea typeface="+mn-ea"/>
              <a:cs typeface="+mn-cs"/>
            </a:rPr>
            <a:t>The count of families has been rounded to the nearest 10, and the total family income has been rounded to the nearest 0.1 million dollars. Data may not add up due to this rounding.</a:t>
          </a:r>
        </a:p>
        <a:p>
          <a:pPr marL="0" marR="0" lvl="0" indent="0" defTabSz="914400" eaLnBrk="1" fontAlgn="base" latinLnBrk="0" hangingPunct="1">
            <a:lnSpc>
              <a:spcPct val="100000"/>
            </a:lnSpc>
            <a:spcBef>
              <a:spcPts val="0"/>
            </a:spcBef>
            <a:spcAft>
              <a:spcPts val="0"/>
            </a:spcAft>
            <a:buClrTx/>
            <a:buSzTx/>
            <a:buFontTx/>
            <a:buNone/>
            <a:tabLst/>
            <a:defRPr/>
          </a:pPr>
          <a:br>
            <a:rPr lang="en-NZ" sz="1100" b="0" i="0" u="none" strike="noStrike">
              <a:solidFill>
                <a:sysClr val="windowText" lastClr="000000"/>
              </a:solidFill>
              <a:effectLst/>
              <a:latin typeface="+mn-lt"/>
              <a:ea typeface="+mn-ea"/>
              <a:cs typeface="+mn-cs"/>
            </a:rPr>
          </a:br>
          <a:r>
            <a:rPr lang="en-NZ" sz="1100">
              <a:solidFill>
                <a:sysClr val="windowText" lastClr="000000"/>
              </a:solidFill>
              <a:effectLst/>
              <a:latin typeface="+mn-lt"/>
              <a:ea typeface="+mn-ea"/>
              <a:cs typeface="+mn-cs"/>
            </a:rPr>
            <a:t>Distributional data on family incomes is available from 2020.</a:t>
          </a:r>
          <a:endParaRPr lang="en-NZ">
            <a:solidFill>
              <a:sysClr val="windowText" lastClr="000000"/>
            </a:solidFill>
            <a:effectLst/>
            <a:latin typeface="+mn-lt"/>
          </a:endParaRPr>
        </a:p>
        <a:p>
          <a:pPr fontAlgn="base"/>
          <a:endParaRPr lang="en-NZ" sz="1100">
            <a:solidFill>
              <a:sysClr val="windowText" lastClr="000000"/>
            </a:solidFill>
            <a:effectLst/>
            <a:latin typeface="+mn-lt"/>
            <a:ea typeface="Verdana" panose="020B0604030504040204" pitchFamily="34" charset="0"/>
            <a:cs typeface="+mn-cs"/>
          </a:endParaRPr>
        </a:p>
        <a:p>
          <a:pPr fontAlgn="base"/>
          <a:r>
            <a:rPr lang="en-NZ" sz="1100" u="sng">
              <a:solidFill>
                <a:sysClr val="windowText" lastClr="000000"/>
              </a:solidFill>
              <a:effectLst/>
              <a:latin typeface="+mn-lt"/>
              <a:ea typeface="Verdana" panose="020B0604030504040204" pitchFamily="34" charset="0"/>
              <a:cs typeface="+mn-cs"/>
            </a:rPr>
            <a:t>Abbreviations are used for the tables and graphs</a:t>
          </a:r>
        </a:p>
        <a:p>
          <a:pPr fontAlgn="base"/>
          <a:endParaRPr lang="en-NZ" sz="1100">
            <a:solidFill>
              <a:sysClr val="windowText" lastClr="000000"/>
            </a:solidFill>
            <a:effectLst/>
            <a:latin typeface="+mn-lt"/>
            <a:ea typeface="Verdana" panose="020B0604030504040204" pitchFamily="34" charset="0"/>
            <a:cs typeface="+mn-cs"/>
          </a:endParaRPr>
        </a:p>
        <a:p>
          <a:pPr fontAlgn="base"/>
          <a:r>
            <a:rPr lang="en-NZ" sz="1100" u="none">
              <a:solidFill>
                <a:sysClr val="windowText" lastClr="000000"/>
              </a:solidFill>
              <a:effectLst/>
              <a:latin typeface="+mn-lt"/>
              <a:ea typeface="Verdana" panose="020B0604030504040204" pitchFamily="34" charset="0"/>
              <a:cs typeface="+mn-cs"/>
            </a:rPr>
            <a:t>Current Credits</a:t>
          </a:r>
        </a:p>
        <a:p>
          <a:pPr lvl="0" fontAlgn="base"/>
          <a:r>
            <a:rPr lang="en-NZ" sz="1100">
              <a:solidFill>
                <a:sysClr val="windowText" lastClr="000000"/>
              </a:solidFill>
              <a:effectLst/>
              <a:latin typeface="+mn-lt"/>
              <a:ea typeface="Verdana" panose="020B0604030504040204" pitchFamily="34" charset="0"/>
              <a:cs typeface="+mn-cs"/>
            </a:rPr>
            <a:t>- Family tax credit (FTC)</a:t>
          </a:r>
        </a:p>
        <a:p>
          <a:pPr lvl="0" fontAlgn="base"/>
          <a:r>
            <a:rPr lang="en-NZ" sz="1100">
              <a:solidFill>
                <a:sysClr val="windowText" lastClr="000000"/>
              </a:solidFill>
              <a:effectLst/>
              <a:latin typeface="+mn-lt"/>
              <a:ea typeface="Verdana" panose="020B0604030504040204" pitchFamily="34" charset="0"/>
              <a:cs typeface="+mn-cs"/>
            </a:rPr>
            <a:t>- In-work tax credit (IWTC)</a:t>
          </a:r>
        </a:p>
        <a:p>
          <a:pPr lvl="0" fontAlgn="base"/>
          <a:r>
            <a:rPr lang="en-NZ" sz="1100">
              <a:solidFill>
                <a:sysClr val="windowText" lastClr="000000"/>
              </a:solidFill>
              <a:effectLst/>
              <a:latin typeface="+mn-lt"/>
              <a:ea typeface="Verdana" panose="020B0604030504040204" pitchFamily="34" charset="0"/>
              <a:cs typeface="+mn-cs"/>
            </a:rPr>
            <a:t>- Minimum family tax credit (MFTC)</a:t>
          </a:r>
        </a:p>
        <a:p>
          <a:pPr lvl="0" fontAlgn="base"/>
          <a:r>
            <a:rPr lang="en-NZ" sz="1100">
              <a:solidFill>
                <a:sysClr val="windowText" lastClr="000000"/>
              </a:solidFill>
              <a:effectLst/>
              <a:latin typeface="+mn-lt"/>
              <a:ea typeface="Verdana" panose="020B0604030504040204" pitchFamily="34" charset="0"/>
              <a:cs typeface="+mn-cs"/>
            </a:rPr>
            <a:t>- Best Start Tax Credit (BSTC)</a:t>
          </a:r>
        </a:p>
        <a:p>
          <a:pPr fontAlgn="base"/>
          <a:r>
            <a:rPr lang="en-NZ" sz="1100">
              <a:solidFill>
                <a:sysClr val="windowText" lastClr="000000"/>
              </a:solidFill>
              <a:effectLst/>
              <a:latin typeface="+mn-lt"/>
              <a:ea typeface="Verdana" panose="020B0604030504040204" pitchFamily="34" charset="0"/>
              <a:cs typeface="+mn-cs"/>
            </a:rPr>
            <a:t> </a:t>
          </a:r>
        </a:p>
        <a:p>
          <a:pPr fontAlgn="base"/>
          <a:r>
            <a:rPr lang="en-NZ" sz="1100" u="none">
              <a:solidFill>
                <a:sysClr val="windowText" lastClr="000000"/>
              </a:solidFill>
              <a:effectLst/>
              <a:latin typeface="+mn-lt"/>
              <a:ea typeface="Verdana" panose="020B0604030504040204" pitchFamily="34" charset="0"/>
              <a:cs typeface="+mn-cs"/>
            </a:rPr>
            <a:t>Credits no longer available</a:t>
          </a:r>
        </a:p>
        <a:p>
          <a:pPr lvl="0" fontAlgn="base"/>
          <a:r>
            <a:rPr lang="en-NZ" sz="1100">
              <a:solidFill>
                <a:sysClr val="windowText" lastClr="000000"/>
              </a:solidFill>
              <a:effectLst/>
              <a:latin typeface="+mn-lt"/>
              <a:ea typeface="Verdana" panose="020B0604030504040204" pitchFamily="34" charset="0"/>
              <a:cs typeface="+mn-cs"/>
            </a:rPr>
            <a:t>- Child tax credit (CTC)</a:t>
          </a:r>
        </a:p>
        <a:p>
          <a:r>
            <a:rPr lang="en-NZ" sz="1100">
              <a:solidFill>
                <a:sysClr val="windowText" lastClr="000000"/>
              </a:solidFill>
              <a:effectLst/>
              <a:latin typeface="+mn-lt"/>
              <a:ea typeface="Verdana" panose="020B0604030504040204" pitchFamily="34" charset="0"/>
              <a:cs typeface="+mn-cs"/>
            </a:rPr>
            <a:t>- Parental tax credit (PTC)</a:t>
          </a:r>
        </a:p>
        <a:p>
          <a:endParaRPr lang="en-NZ" sz="1100">
            <a:solidFill>
              <a:sysClr val="windowText" lastClr="000000"/>
            </a:solidFill>
            <a:effectLst/>
            <a:latin typeface="+mn-lt"/>
            <a:ea typeface="Verdana" panose="020B0604030504040204" pitchFamily="34" charset="0"/>
            <a:cs typeface="+mn-cs"/>
          </a:endParaRPr>
        </a:p>
        <a:p>
          <a:endParaRPr lang="en-NZ" sz="1000" baseline="0">
            <a:solidFill>
              <a:sysClr val="windowText" lastClr="000000"/>
            </a:solidFill>
            <a:effectLst/>
            <a:latin typeface="+mn-lt"/>
            <a:ea typeface="Verdana" panose="020B0604030504040204" pitchFamily="34" charset="0"/>
            <a:cs typeface="+mn-cs"/>
          </a:endParaRPr>
        </a:p>
        <a:p>
          <a:endParaRPr lang="en-NZ" sz="1000">
            <a:latin typeface="Verdana" panose="020B0604030504040204" pitchFamily="34" charset="0"/>
            <a:ea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14287</xdr:rowOff>
    </xdr:from>
    <xdr:to>
      <xdr:col>14</xdr:col>
      <xdr:colOff>9524</xdr:colOff>
      <xdr:row>32</xdr:row>
      <xdr:rowOff>9525</xdr:rowOff>
    </xdr:to>
    <xdr:graphicFrame macro="">
      <xdr:nvGraphicFramePr>
        <xdr:cNvPr id="2" name="Chart 1">
          <a:extLst>
            <a:ext uri="{FF2B5EF4-FFF2-40B4-BE49-F238E27FC236}">
              <a16:creationId xmlns:a16="http://schemas.microsoft.com/office/drawing/2014/main" id="{30D36D10-691F-4739-92A2-6BEA33FAB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66674</xdr:rowOff>
    </xdr:from>
    <xdr:to>
      <xdr:col>14</xdr:col>
      <xdr:colOff>9524</xdr:colOff>
      <xdr:row>64</xdr:row>
      <xdr:rowOff>166687</xdr:rowOff>
    </xdr:to>
    <xdr:graphicFrame macro="">
      <xdr:nvGraphicFramePr>
        <xdr:cNvPr id="3" name="Chart 2">
          <a:extLst>
            <a:ext uri="{FF2B5EF4-FFF2-40B4-BE49-F238E27FC236}">
              <a16:creationId xmlns:a16="http://schemas.microsoft.com/office/drawing/2014/main" id="{11216716-6B56-4074-9E1B-3700745A4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65</xdr:row>
      <xdr:rowOff>76200</xdr:rowOff>
    </xdr:from>
    <xdr:to>
      <xdr:col>14</xdr:col>
      <xdr:colOff>9524</xdr:colOff>
      <xdr:row>97</xdr:row>
      <xdr:rowOff>71438</xdr:rowOff>
    </xdr:to>
    <xdr:graphicFrame macro="">
      <xdr:nvGraphicFramePr>
        <xdr:cNvPr id="4" name="Chart 3">
          <a:extLst>
            <a:ext uri="{FF2B5EF4-FFF2-40B4-BE49-F238E27FC236}">
              <a16:creationId xmlns:a16="http://schemas.microsoft.com/office/drawing/2014/main" id="{32E49225-09AA-44A0-8947-A92230200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CAD0F-C28D-4A5D-8D21-5CD7B69B0B2B}">
  <dimension ref="P1"/>
  <sheetViews>
    <sheetView zoomScale="110" zoomScaleNormal="110" workbookViewId="0">
      <selection activeCell="P42" sqref="P42"/>
    </sheetView>
  </sheetViews>
  <sheetFormatPr defaultRowHeight="15" x14ac:dyDescent="0.25"/>
  <sheetData>
    <row r="1" spans="16:16" x14ac:dyDescent="0.25">
      <c r="P1" s="105"/>
    </row>
  </sheetData>
  <pageMargins left="0.7" right="0.7" top="0.75" bottom="0.75" header="0.3" footer="0.3"/>
  <pageSetup paperSize="9" orientation="portrait" r:id="rId1"/>
  <headerFooter>
    <oddHeader>&amp;C&amp;"Verdana"&amp;10&amp;K000000[IN CONFIDENCE]&amp;1#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96ADF-E647-406F-8C75-161EBD476207}">
  <dimension ref="A1"/>
  <sheetViews>
    <sheetView workbookViewId="0">
      <selection activeCell="R27" sqref="R27"/>
    </sheetView>
  </sheetViews>
  <sheetFormatPr defaultRowHeight="15" x14ac:dyDescent="0.25"/>
  <sheetData/>
  <pageMargins left="0.7" right="0.7" top="0.75" bottom="0.75" header="0.3" footer="0.3"/>
  <pageSetup paperSize="9" orientation="portrait" r:id="rId1"/>
  <headerFooter>
    <oddHeader>&amp;C&amp;"Verdana"&amp;10&amp;K000000[IN CONFIDENCE]&amp;1#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E3BF3-3206-413F-8A78-7E745F841F0C}">
  <dimension ref="A1:R104"/>
  <sheetViews>
    <sheetView workbookViewId="0">
      <selection activeCell="M30" sqref="M30"/>
    </sheetView>
  </sheetViews>
  <sheetFormatPr defaultColWidth="9.140625" defaultRowHeight="12.75" x14ac:dyDescent="0.2"/>
  <cols>
    <col min="1" max="1" width="11.7109375" style="6" customWidth="1"/>
    <col min="2" max="9" width="13.42578125" style="2" customWidth="1"/>
    <col min="10" max="16384" width="9.140625" style="2"/>
  </cols>
  <sheetData>
    <row r="1" spans="1:11" ht="15" x14ac:dyDescent="0.2">
      <c r="A1" s="7" t="s">
        <v>0</v>
      </c>
    </row>
    <row r="3" spans="1:11" ht="38.25" x14ac:dyDescent="0.2">
      <c r="A3" s="8" t="s">
        <v>1</v>
      </c>
      <c r="B3" s="15" t="s">
        <v>2</v>
      </c>
      <c r="C3" s="9" t="s">
        <v>3</v>
      </c>
      <c r="D3" s="9" t="s">
        <v>4</v>
      </c>
      <c r="E3" s="9" t="s">
        <v>5</v>
      </c>
      <c r="F3" s="9" t="s">
        <v>6</v>
      </c>
      <c r="G3" s="9" t="s">
        <v>7</v>
      </c>
      <c r="H3" s="23" t="s">
        <v>8</v>
      </c>
      <c r="I3" s="10" t="s">
        <v>9</v>
      </c>
    </row>
    <row r="4" spans="1:11" x14ac:dyDescent="0.2">
      <c r="A4" s="29">
        <v>36951</v>
      </c>
      <c r="B4" s="30">
        <v>277.39999999999998</v>
      </c>
      <c r="C4" s="30">
        <v>119.8</v>
      </c>
      <c r="D4" s="30">
        <v>3.7</v>
      </c>
      <c r="E4" s="30">
        <v>20.100000000000001</v>
      </c>
      <c r="F4" s="31" t="s">
        <v>10</v>
      </c>
      <c r="G4" s="31" t="s">
        <v>10</v>
      </c>
      <c r="H4" s="30">
        <v>300.10000000000002</v>
      </c>
      <c r="I4" s="32"/>
    </row>
    <row r="5" spans="1:11" x14ac:dyDescent="0.2">
      <c r="A5" s="17">
        <v>37316</v>
      </c>
      <c r="B5" s="27">
        <v>271.5</v>
      </c>
      <c r="C5" s="27">
        <v>121.5</v>
      </c>
      <c r="D5" s="27">
        <v>3</v>
      </c>
      <c r="E5" s="27">
        <v>20.9</v>
      </c>
      <c r="F5" s="22" t="s">
        <v>10</v>
      </c>
      <c r="G5" s="22" t="s">
        <v>10</v>
      </c>
      <c r="H5" s="27">
        <v>295.7</v>
      </c>
      <c r="I5" s="12">
        <f t="shared" ref="I5:I25" si="0">H5/H4-1</f>
        <v>-1.4661779406864528E-2</v>
      </c>
    </row>
    <row r="6" spans="1:11" x14ac:dyDescent="0.2">
      <c r="A6" s="17">
        <v>37681</v>
      </c>
      <c r="B6" s="27">
        <v>264.5</v>
      </c>
      <c r="C6" s="27">
        <v>122.7</v>
      </c>
      <c r="D6" s="27">
        <v>2.4</v>
      </c>
      <c r="E6" s="27">
        <v>17.899999999999999</v>
      </c>
      <c r="F6" s="22" t="s">
        <v>10</v>
      </c>
      <c r="G6" s="22" t="s">
        <v>10</v>
      </c>
      <c r="H6" s="27">
        <v>288.5</v>
      </c>
      <c r="I6" s="12">
        <f t="shared" si="0"/>
        <v>-2.4349002367264116E-2</v>
      </c>
    </row>
    <row r="7" spans="1:11" x14ac:dyDescent="0.2">
      <c r="A7" s="17">
        <v>38047</v>
      </c>
      <c r="B7" s="27">
        <v>259.89999999999998</v>
      </c>
      <c r="C7" s="27">
        <v>117.5</v>
      </c>
      <c r="D7" s="27">
        <v>1.5</v>
      </c>
      <c r="E7" s="27">
        <v>14.2</v>
      </c>
      <c r="F7" s="22" t="s">
        <v>10</v>
      </c>
      <c r="G7" s="22" t="s">
        <v>10</v>
      </c>
      <c r="H7" s="27">
        <v>279.10000000000002</v>
      </c>
      <c r="I7" s="12">
        <f t="shared" si="0"/>
        <v>-3.2582322357018967E-2</v>
      </c>
    </row>
    <row r="8" spans="1:11" x14ac:dyDescent="0.2">
      <c r="A8" s="17">
        <v>38412</v>
      </c>
      <c r="B8" s="27">
        <v>245.4</v>
      </c>
      <c r="C8" s="27">
        <v>116.7</v>
      </c>
      <c r="D8" s="27">
        <v>1</v>
      </c>
      <c r="E8" s="27">
        <v>12.1</v>
      </c>
      <c r="F8" s="22" t="s">
        <v>10</v>
      </c>
      <c r="G8" s="22" t="s">
        <v>10</v>
      </c>
      <c r="H8" s="27">
        <v>268.39999999999998</v>
      </c>
      <c r="I8" s="12">
        <f t="shared" si="0"/>
        <v>-3.8337513436044635E-2</v>
      </c>
    </row>
    <row r="9" spans="1:11" x14ac:dyDescent="0.2">
      <c r="A9" s="17">
        <v>38777</v>
      </c>
      <c r="B9" s="27">
        <v>268.89999999999998</v>
      </c>
      <c r="C9" s="27">
        <v>150.1</v>
      </c>
      <c r="D9" s="27">
        <v>1</v>
      </c>
      <c r="E9" s="27">
        <v>13.8</v>
      </c>
      <c r="F9" s="22" t="s">
        <v>10</v>
      </c>
      <c r="G9" s="22" t="s">
        <v>10</v>
      </c>
      <c r="H9" s="27">
        <v>290.10000000000002</v>
      </c>
      <c r="I9" s="12">
        <f t="shared" si="0"/>
        <v>8.0849478390462082E-2</v>
      </c>
    </row>
    <row r="10" spans="1:11" x14ac:dyDescent="0.2">
      <c r="A10" s="17">
        <v>39142</v>
      </c>
      <c r="B10" s="27">
        <v>345.7</v>
      </c>
      <c r="C10" s="27">
        <v>26.3</v>
      </c>
      <c r="D10" s="27">
        <v>3</v>
      </c>
      <c r="E10" s="27">
        <v>16.600000000000001</v>
      </c>
      <c r="F10" s="27">
        <v>209.6</v>
      </c>
      <c r="G10" s="22" t="s">
        <v>10</v>
      </c>
      <c r="H10" s="27">
        <v>380.3</v>
      </c>
      <c r="I10" s="12">
        <f t="shared" si="0"/>
        <v>0.31092726645984148</v>
      </c>
    </row>
    <row r="11" spans="1:11" x14ac:dyDescent="0.2">
      <c r="A11" s="17">
        <v>39508</v>
      </c>
      <c r="B11" s="27">
        <v>352.9</v>
      </c>
      <c r="C11" s="27">
        <v>13.9</v>
      </c>
      <c r="D11" s="27">
        <v>2.5</v>
      </c>
      <c r="E11" s="27">
        <v>17.5</v>
      </c>
      <c r="F11" s="27">
        <v>238.4</v>
      </c>
      <c r="G11" s="22" t="s">
        <v>10</v>
      </c>
      <c r="H11" s="27">
        <v>389.5</v>
      </c>
      <c r="I11" s="12">
        <f t="shared" si="0"/>
        <v>2.4191427820142053E-2</v>
      </c>
    </row>
    <row r="12" spans="1:11" x14ac:dyDescent="0.2">
      <c r="A12" s="17">
        <v>39873</v>
      </c>
      <c r="B12" s="27">
        <v>365.8</v>
      </c>
      <c r="C12" s="27">
        <v>8.4</v>
      </c>
      <c r="D12" s="27">
        <v>2.2999999999999998</v>
      </c>
      <c r="E12" s="27">
        <v>18.2</v>
      </c>
      <c r="F12" s="27">
        <v>251.9</v>
      </c>
      <c r="G12" s="22" t="s">
        <v>10</v>
      </c>
      <c r="H12" s="27">
        <v>402.8</v>
      </c>
      <c r="I12" s="12">
        <f t="shared" si="0"/>
        <v>3.4146341463414664E-2</v>
      </c>
    </row>
    <row r="13" spans="1:11" x14ac:dyDescent="0.2">
      <c r="A13" s="17">
        <v>40238</v>
      </c>
      <c r="B13" s="27">
        <v>376.3</v>
      </c>
      <c r="C13" s="27">
        <v>5.4</v>
      </c>
      <c r="D13" s="27">
        <v>2.8</v>
      </c>
      <c r="E13" s="27">
        <v>16.600000000000001</v>
      </c>
      <c r="F13" s="27">
        <v>252.9</v>
      </c>
      <c r="G13" s="22" t="s">
        <v>10</v>
      </c>
      <c r="H13" s="27">
        <v>415.1</v>
      </c>
      <c r="I13" s="12">
        <f t="shared" si="0"/>
        <v>3.0536246276067658E-2</v>
      </c>
    </row>
    <row r="14" spans="1:11" x14ac:dyDescent="0.2">
      <c r="A14" s="17">
        <v>40603</v>
      </c>
      <c r="B14" s="27">
        <v>391.9</v>
      </c>
      <c r="C14" s="27">
        <v>3.9</v>
      </c>
      <c r="D14" s="27">
        <v>3</v>
      </c>
      <c r="E14" s="27">
        <v>18.100000000000001</v>
      </c>
      <c r="F14" s="27">
        <v>246.5</v>
      </c>
      <c r="G14" s="22" t="s">
        <v>10</v>
      </c>
      <c r="H14" s="27">
        <v>421.2</v>
      </c>
      <c r="I14" s="12">
        <f t="shared" si="0"/>
        <v>1.4695254155625115E-2</v>
      </c>
    </row>
    <row r="15" spans="1:11" x14ac:dyDescent="0.2">
      <c r="A15" s="17">
        <v>40969</v>
      </c>
      <c r="B15" s="27">
        <v>356.8</v>
      </c>
      <c r="C15" s="27">
        <v>2.5</v>
      </c>
      <c r="D15" s="27">
        <v>3.7</v>
      </c>
      <c r="E15" s="27">
        <v>15.7</v>
      </c>
      <c r="F15" s="27">
        <v>238.6</v>
      </c>
      <c r="G15" s="22" t="s">
        <v>10</v>
      </c>
      <c r="H15" s="27">
        <v>398.7</v>
      </c>
      <c r="I15" s="12">
        <f t="shared" si="0"/>
        <v>-5.3418803418803451E-2</v>
      </c>
      <c r="J15" s="3"/>
      <c r="K15" s="4"/>
    </row>
    <row r="16" spans="1:11" x14ac:dyDescent="0.2">
      <c r="A16" s="17">
        <v>41334</v>
      </c>
      <c r="B16" s="27">
        <v>338.3</v>
      </c>
      <c r="C16" s="27">
        <v>1.9</v>
      </c>
      <c r="D16" s="27">
        <v>3.7</v>
      </c>
      <c r="E16" s="27">
        <v>14.7</v>
      </c>
      <c r="F16" s="27">
        <v>226.5</v>
      </c>
      <c r="G16" s="22" t="s">
        <v>10</v>
      </c>
      <c r="H16" s="27">
        <v>379</v>
      </c>
      <c r="I16" s="12">
        <f t="shared" si="0"/>
        <v>-4.9410584399297686E-2</v>
      </c>
      <c r="J16" s="3"/>
    </row>
    <row r="17" spans="1:11" x14ac:dyDescent="0.2">
      <c r="A17" s="17">
        <v>41699</v>
      </c>
      <c r="B17" s="27">
        <v>323</v>
      </c>
      <c r="C17" s="27">
        <v>1.3</v>
      </c>
      <c r="D17" s="27">
        <v>4.4000000000000004</v>
      </c>
      <c r="E17" s="27">
        <v>17.100000000000001</v>
      </c>
      <c r="F17" s="27">
        <v>221.7</v>
      </c>
      <c r="G17" s="22" t="s">
        <v>10</v>
      </c>
      <c r="H17" s="27">
        <v>364</v>
      </c>
      <c r="I17" s="12">
        <f t="shared" si="0"/>
        <v>-3.9577836411609502E-2</v>
      </c>
      <c r="J17" s="3"/>
      <c r="K17" s="38"/>
    </row>
    <row r="18" spans="1:11" x14ac:dyDescent="0.2">
      <c r="A18" s="17">
        <v>42064</v>
      </c>
      <c r="B18" s="27">
        <v>310.7</v>
      </c>
      <c r="C18" s="27">
        <v>1</v>
      </c>
      <c r="D18" s="27">
        <v>5.2</v>
      </c>
      <c r="E18" s="27">
        <v>14.7</v>
      </c>
      <c r="F18" s="27">
        <v>217.8</v>
      </c>
      <c r="G18" s="22" t="s">
        <v>10</v>
      </c>
      <c r="H18" s="27">
        <v>349.8</v>
      </c>
      <c r="I18" s="12">
        <f t="shared" si="0"/>
        <v>-3.9010989010988983E-2</v>
      </c>
      <c r="J18" s="3"/>
      <c r="K18" s="38"/>
    </row>
    <row r="19" spans="1:11" x14ac:dyDescent="0.2">
      <c r="A19" s="17">
        <v>42430</v>
      </c>
      <c r="B19" s="27">
        <v>300.3</v>
      </c>
      <c r="C19" s="27">
        <v>0.5</v>
      </c>
      <c r="D19" s="27">
        <v>4.0999999999999996</v>
      </c>
      <c r="E19" s="27">
        <v>13.7</v>
      </c>
      <c r="F19" s="27">
        <v>214</v>
      </c>
      <c r="G19" s="22" t="s">
        <v>10</v>
      </c>
      <c r="H19" s="27">
        <v>338.7</v>
      </c>
      <c r="I19" s="12">
        <f t="shared" si="0"/>
        <v>-3.1732418524871409E-2</v>
      </c>
      <c r="J19" s="3"/>
      <c r="K19" s="38"/>
    </row>
    <row r="20" spans="1:11" x14ac:dyDescent="0.2">
      <c r="A20" s="17">
        <v>42795</v>
      </c>
      <c r="B20" s="27">
        <v>284.39999999999998</v>
      </c>
      <c r="C20" s="27">
        <v>0.2</v>
      </c>
      <c r="D20" s="27">
        <v>3.3</v>
      </c>
      <c r="E20" s="27">
        <v>12.8</v>
      </c>
      <c r="F20" s="27">
        <v>207.6</v>
      </c>
      <c r="G20" s="22" t="s">
        <v>10</v>
      </c>
      <c r="H20" s="27">
        <v>326.10000000000002</v>
      </c>
      <c r="I20" s="12">
        <f t="shared" si="0"/>
        <v>-3.7201062887511016E-2</v>
      </c>
      <c r="J20" s="3"/>
      <c r="K20" s="38"/>
    </row>
    <row r="21" spans="1:11" x14ac:dyDescent="0.2">
      <c r="A21" s="17">
        <v>43160</v>
      </c>
      <c r="B21" s="27">
        <v>279.09300000000002</v>
      </c>
      <c r="C21" s="27">
        <v>0</v>
      </c>
      <c r="D21" s="27">
        <v>3.0950000000000002</v>
      </c>
      <c r="E21" s="27">
        <v>12.435</v>
      </c>
      <c r="F21" s="27">
        <v>202.52199999999999</v>
      </c>
      <c r="G21" s="22" t="s">
        <v>10</v>
      </c>
      <c r="H21" s="27">
        <v>322.88799999999998</v>
      </c>
      <c r="I21" s="12">
        <f t="shared" si="0"/>
        <v>-9.8497393437597669E-3</v>
      </c>
      <c r="J21" s="1"/>
      <c r="K21" s="38"/>
    </row>
    <row r="22" spans="1:11" x14ac:dyDescent="0.2">
      <c r="A22" s="17">
        <v>43525</v>
      </c>
      <c r="B22" s="27">
        <v>296.39999999999998</v>
      </c>
      <c r="C22" s="27">
        <v>0</v>
      </c>
      <c r="D22" s="27">
        <v>3.2</v>
      </c>
      <c r="E22" s="27">
        <v>4.4000000000000004</v>
      </c>
      <c r="F22" s="27">
        <v>210.3</v>
      </c>
      <c r="G22" s="27">
        <v>34.200000000000003</v>
      </c>
      <c r="H22" s="27">
        <v>337.4</v>
      </c>
      <c r="I22" s="12">
        <f t="shared" si="0"/>
        <v>4.4944376997596791E-2</v>
      </c>
      <c r="J22" s="1"/>
      <c r="K22" s="38"/>
    </row>
    <row r="23" spans="1:11" x14ac:dyDescent="0.2">
      <c r="A23" s="17">
        <v>43891</v>
      </c>
      <c r="B23" s="27">
        <v>287.2</v>
      </c>
      <c r="C23" s="27" t="s">
        <v>10</v>
      </c>
      <c r="D23" s="27">
        <v>4</v>
      </c>
      <c r="E23" s="28" t="s">
        <v>10</v>
      </c>
      <c r="F23" s="27">
        <v>196.6</v>
      </c>
      <c r="G23" s="27">
        <v>88.1</v>
      </c>
      <c r="H23" s="27">
        <v>354.7</v>
      </c>
      <c r="I23" s="12">
        <f t="shared" si="0"/>
        <v>5.1274451689389489E-2</v>
      </c>
      <c r="J23" s="1" t="s">
        <v>23</v>
      </c>
      <c r="K23" s="38"/>
    </row>
    <row r="24" spans="1:11" x14ac:dyDescent="0.2">
      <c r="A24" s="17">
        <v>44256</v>
      </c>
      <c r="B24" s="27">
        <v>278.5</v>
      </c>
      <c r="C24" s="27" t="s">
        <v>10</v>
      </c>
      <c r="D24" s="27">
        <v>3.2</v>
      </c>
      <c r="E24" s="28" t="s">
        <v>10</v>
      </c>
      <c r="F24" s="27">
        <v>187.3</v>
      </c>
      <c r="G24" s="27">
        <v>116.9</v>
      </c>
      <c r="H24" s="27">
        <v>351.6</v>
      </c>
      <c r="I24" s="12">
        <f t="shared" si="0"/>
        <v>-8.7397800958555205E-3</v>
      </c>
      <c r="J24" s="2" t="s">
        <v>23</v>
      </c>
      <c r="K24" s="38"/>
    </row>
    <row r="25" spans="1:11" x14ac:dyDescent="0.2">
      <c r="A25" s="17">
        <v>44621</v>
      </c>
      <c r="B25" s="27">
        <v>265.10000000000002</v>
      </c>
      <c r="C25" s="27" t="s">
        <v>10</v>
      </c>
      <c r="D25" s="27">
        <v>3.2</v>
      </c>
      <c r="E25" s="28" t="s">
        <v>10</v>
      </c>
      <c r="F25" s="27">
        <v>172.5</v>
      </c>
      <c r="G25" s="27">
        <v>138.6</v>
      </c>
      <c r="H25" s="27">
        <v>344.4</v>
      </c>
      <c r="I25" s="12">
        <f t="shared" si="0"/>
        <v>-2.0477815699658786E-2</v>
      </c>
      <c r="J25" s="2" t="s">
        <v>23</v>
      </c>
      <c r="K25" s="38"/>
    </row>
    <row r="26" spans="1:11" x14ac:dyDescent="0.2">
      <c r="A26" s="17">
        <v>44986</v>
      </c>
      <c r="B26" s="27">
        <v>257.10000000000002</v>
      </c>
      <c r="C26" s="27" t="s">
        <v>10</v>
      </c>
      <c r="D26" s="27">
        <v>3</v>
      </c>
      <c r="E26" s="28" t="s">
        <v>10</v>
      </c>
      <c r="F26" s="27">
        <v>162.30000000000001</v>
      </c>
      <c r="G26" s="27">
        <v>141.19999999999999</v>
      </c>
      <c r="H26" s="27">
        <v>336</v>
      </c>
      <c r="I26" s="12">
        <f>H26/H25-1</f>
        <v>-2.4390243902438935E-2</v>
      </c>
      <c r="J26" s="2" t="s">
        <v>23</v>
      </c>
      <c r="K26" s="38"/>
    </row>
    <row r="27" spans="1:11" x14ac:dyDescent="0.2">
      <c r="A27" s="18">
        <v>45352</v>
      </c>
      <c r="B27" s="13">
        <v>252.5</v>
      </c>
      <c r="C27" s="13" t="s">
        <v>10</v>
      </c>
      <c r="D27" s="13">
        <v>2.6</v>
      </c>
      <c r="E27" s="25" t="s">
        <v>10</v>
      </c>
      <c r="F27" s="13">
        <v>150.5</v>
      </c>
      <c r="G27" s="13">
        <v>137.19999999999999</v>
      </c>
      <c r="H27" s="13">
        <v>328.4</v>
      </c>
      <c r="I27" s="14">
        <f>H27/H26-1</f>
        <v>-2.261904761904765E-2</v>
      </c>
      <c r="J27" s="1"/>
      <c r="K27" s="38"/>
    </row>
    <row r="28" spans="1:11" s="60" customFormat="1" x14ac:dyDescent="0.2">
      <c r="A28" s="55"/>
      <c r="B28" s="56"/>
      <c r="C28" s="56"/>
      <c r="D28" s="56"/>
      <c r="E28" s="57"/>
      <c r="F28" s="56"/>
      <c r="G28" s="56"/>
      <c r="H28" s="56"/>
      <c r="I28" s="58"/>
      <c r="J28" s="59"/>
    </row>
    <row r="29" spans="1:11" x14ac:dyDescent="0.2">
      <c r="A29" s="6" t="s">
        <v>11</v>
      </c>
      <c r="B29" s="5"/>
      <c r="C29" s="5"/>
      <c r="D29" s="5"/>
      <c r="E29" s="5"/>
      <c r="F29" s="5"/>
      <c r="G29" s="5"/>
    </row>
    <row r="30" spans="1:11" x14ac:dyDescent="0.2">
      <c r="A30" s="6" t="s">
        <v>12</v>
      </c>
    </row>
    <row r="32" spans="1:11" ht="15" x14ac:dyDescent="0.2">
      <c r="A32" s="7" t="s">
        <v>13</v>
      </c>
    </row>
    <row r="33" spans="1:9" x14ac:dyDescent="0.2">
      <c r="A33" s="2"/>
    </row>
    <row r="34" spans="1:9" ht="63.75" x14ac:dyDescent="0.2">
      <c r="A34" s="16" t="s">
        <v>1</v>
      </c>
      <c r="B34" s="23" t="s">
        <v>14</v>
      </c>
      <c r="C34" s="23" t="s">
        <v>15</v>
      </c>
      <c r="D34" s="23" t="s">
        <v>16</v>
      </c>
      <c r="E34" s="23" t="s">
        <v>17</v>
      </c>
      <c r="F34" s="23" t="s">
        <v>18</v>
      </c>
      <c r="G34" s="23" t="s">
        <v>19</v>
      </c>
      <c r="H34" s="23" t="s">
        <v>20</v>
      </c>
      <c r="I34" s="10" t="s">
        <v>9</v>
      </c>
    </row>
    <row r="35" spans="1:9" x14ac:dyDescent="0.2">
      <c r="A35" s="29">
        <v>36951</v>
      </c>
      <c r="B35" s="20">
        <v>3074.6</v>
      </c>
      <c r="C35" s="21">
        <v>1295.5</v>
      </c>
      <c r="D35" s="21">
        <v>2459.5</v>
      </c>
      <c r="E35" s="21">
        <v>990</v>
      </c>
      <c r="F35" s="22" t="s">
        <v>10</v>
      </c>
      <c r="G35" s="22" t="s">
        <v>10</v>
      </c>
      <c r="H35" s="21">
        <v>3455.8</v>
      </c>
      <c r="I35" s="11"/>
    </row>
    <row r="36" spans="1:9" x14ac:dyDescent="0.2">
      <c r="A36" s="17">
        <v>37316</v>
      </c>
      <c r="B36" s="20">
        <v>3080.7</v>
      </c>
      <c r="C36" s="21">
        <v>1226.3</v>
      </c>
      <c r="D36" s="21">
        <v>2366.6999999999998</v>
      </c>
      <c r="E36" s="21">
        <v>961.7</v>
      </c>
      <c r="F36" s="22" t="s">
        <v>10</v>
      </c>
      <c r="G36" s="22" t="s">
        <v>10</v>
      </c>
      <c r="H36" s="21">
        <v>3424.4</v>
      </c>
      <c r="I36" s="12">
        <f t="shared" ref="I36:I54" si="1">H36/H35-1</f>
        <v>-9.0861739684009457E-3</v>
      </c>
    </row>
    <row r="37" spans="1:9" x14ac:dyDescent="0.2">
      <c r="A37" s="17">
        <v>37681</v>
      </c>
      <c r="B37" s="20">
        <v>3107.4</v>
      </c>
      <c r="C37" s="21">
        <v>1245.3</v>
      </c>
      <c r="D37" s="21">
        <v>2208.3000000000002</v>
      </c>
      <c r="E37" s="21">
        <v>966.5</v>
      </c>
      <c r="F37" s="22" t="s">
        <v>10</v>
      </c>
      <c r="G37" s="22" t="s">
        <v>10</v>
      </c>
      <c r="H37" s="21">
        <v>3456.8</v>
      </c>
      <c r="I37" s="12">
        <f t="shared" si="1"/>
        <v>9.461511505665321E-3</v>
      </c>
    </row>
    <row r="38" spans="1:9" x14ac:dyDescent="0.2">
      <c r="A38" s="17">
        <v>38047</v>
      </c>
      <c r="B38" s="20">
        <v>3135.4</v>
      </c>
      <c r="C38" s="21">
        <v>1234.9000000000001</v>
      </c>
      <c r="D38" s="21">
        <v>2933.3</v>
      </c>
      <c r="E38" s="21">
        <v>985.9</v>
      </c>
      <c r="F38" s="22" t="s">
        <v>10</v>
      </c>
      <c r="G38" s="22" t="s">
        <v>10</v>
      </c>
      <c r="H38" s="21">
        <v>3505.6</v>
      </c>
      <c r="I38" s="12">
        <f t="shared" si="1"/>
        <v>1.4117102522564151E-2</v>
      </c>
    </row>
    <row r="39" spans="1:9" x14ac:dyDescent="0.2">
      <c r="A39" s="17">
        <v>38412</v>
      </c>
      <c r="B39" s="20">
        <v>3161.8</v>
      </c>
      <c r="C39" s="21">
        <v>1219.4000000000001</v>
      </c>
      <c r="D39" s="21">
        <v>2400</v>
      </c>
      <c r="E39" s="21">
        <v>958.7</v>
      </c>
      <c r="F39" s="22" t="s">
        <v>10</v>
      </c>
      <c r="G39" s="22" t="s">
        <v>10</v>
      </c>
      <c r="H39" s="21">
        <v>3473.2</v>
      </c>
      <c r="I39" s="12">
        <f t="shared" si="1"/>
        <v>-9.2423550890005091E-3</v>
      </c>
    </row>
    <row r="40" spans="1:9" x14ac:dyDescent="0.2">
      <c r="A40" s="17">
        <v>38777</v>
      </c>
      <c r="B40" s="20">
        <v>4574.8999999999996</v>
      </c>
      <c r="C40" s="21">
        <v>1227.2</v>
      </c>
      <c r="D40" s="21">
        <v>1800</v>
      </c>
      <c r="E40" s="21">
        <v>978.3</v>
      </c>
      <c r="F40" s="22" t="s">
        <v>10</v>
      </c>
      <c r="G40" s="22" t="s">
        <v>10</v>
      </c>
      <c r="H40" s="21">
        <v>4928.3</v>
      </c>
      <c r="I40" s="12">
        <f t="shared" si="1"/>
        <v>0.41895082344811718</v>
      </c>
    </row>
    <row r="41" spans="1:9" x14ac:dyDescent="0.2">
      <c r="A41" s="17">
        <v>39142</v>
      </c>
      <c r="B41" s="20">
        <v>4661</v>
      </c>
      <c r="C41" s="21">
        <v>1171.0999999999999</v>
      </c>
      <c r="D41" s="21">
        <v>2900</v>
      </c>
      <c r="E41" s="21">
        <v>1096.4000000000001</v>
      </c>
      <c r="F41" s="21">
        <v>2556.8000000000002</v>
      </c>
      <c r="G41" s="22" t="s">
        <v>10</v>
      </c>
      <c r="H41" s="21">
        <v>5797.8</v>
      </c>
      <c r="I41" s="12">
        <f t="shared" si="1"/>
        <v>0.17643000629020156</v>
      </c>
    </row>
    <row r="42" spans="1:9" x14ac:dyDescent="0.2">
      <c r="A42" s="17">
        <v>39508</v>
      </c>
      <c r="B42" s="20">
        <v>5337.2</v>
      </c>
      <c r="C42" s="21">
        <v>1302.2</v>
      </c>
      <c r="D42" s="21">
        <v>2600</v>
      </c>
      <c r="E42" s="21">
        <v>1091.4000000000001</v>
      </c>
      <c r="F42" s="21">
        <v>2560.8000000000002</v>
      </c>
      <c r="G42" s="22" t="s">
        <v>10</v>
      </c>
      <c r="H42" s="21">
        <v>6515.3</v>
      </c>
      <c r="I42" s="12">
        <f t="shared" si="1"/>
        <v>0.12375383766256176</v>
      </c>
    </row>
    <row r="43" spans="1:9" x14ac:dyDescent="0.2">
      <c r="A43" s="17">
        <v>39873</v>
      </c>
      <c r="B43" s="20">
        <v>5422.4</v>
      </c>
      <c r="C43" s="21">
        <v>1261.9000000000001</v>
      </c>
      <c r="D43" s="21">
        <v>2913</v>
      </c>
      <c r="E43" s="21">
        <v>1049.5</v>
      </c>
      <c r="F43" s="21">
        <v>2558.1999999999998</v>
      </c>
      <c r="G43" s="22" t="s">
        <v>10</v>
      </c>
      <c r="H43" s="21">
        <v>6614.7</v>
      </c>
      <c r="I43" s="12">
        <f t="shared" si="1"/>
        <v>1.5256396482126622E-2</v>
      </c>
    </row>
    <row r="44" spans="1:9" x14ac:dyDescent="0.2">
      <c r="A44" s="17">
        <v>40238</v>
      </c>
      <c r="B44" s="20">
        <v>5511</v>
      </c>
      <c r="C44" s="21">
        <v>1222.2</v>
      </c>
      <c r="D44" s="21">
        <v>2892.9</v>
      </c>
      <c r="E44" s="21">
        <v>1006</v>
      </c>
      <c r="F44" s="21">
        <v>2555.1999999999998</v>
      </c>
      <c r="G44" s="22" t="s">
        <v>10</v>
      </c>
      <c r="H44" s="21">
        <v>6628.3</v>
      </c>
      <c r="I44" s="12">
        <f t="shared" si="1"/>
        <v>2.056026728347593E-3</v>
      </c>
    </row>
    <row r="45" spans="1:9" x14ac:dyDescent="0.2">
      <c r="A45" s="17">
        <v>40603</v>
      </c>
      <c r="B45" s="20">
        <v>5257.7</v>
      </c>
      <c r="C45" s="21">
        <v>1230.8</v>
      </c>
      <c r="D45" s="21">
        <v>3233.3</v>
      </c>
      <c r="E45" s="21">
        <v>1027.5999999999999</v>
      </c>
      <c r="F45" s="21">
        <v>2551.3000000000002</v>
      </c>
      <c r="G45" s="22" t="s">
        <v>10</v>
      </c>
      <c r="H45" s="21">
        <v>6463.7</v>
      </c>
      <c r="I45" s="12">
        <f t="shared" si="1"/>
        <v>-2.4832913416713231E-2</v>
      </c>
    </row>
    <row r="46" spans="1:9" x14ac:dyDescent="0.2">
      <c r="A46" s="17">
        <v>40969</v>
      </c>
      <c r="B46" s="20">
        <v>5574.3</v>
      </c>
      <c r="C46" s="21">
        <v>1320</v>
      </c>
      <c r="D46" s="21">
        <v>3486.5</v>
      </c>
      <c r="E46" s="21">
        <v>1051</v>
      </c>
      <c r="F46" s="21">
        <v>2493.3000000000002</v>
      </c>
      <c r="G46" s="22" t="s">
        <v>10</v>
      </c>
      <c r="H46" s="21">
        <v>6562.6</v>
      </c>
      <c r="I46" s="12">
        <f t="shared" si="1"/>
        <v>1.5300833887711418E-2</v>
      </c>
    </row>
    <row r="47" spans="1:9" x14ac:dyDescent="0.2">
      <c r="A47" s="17">
        <v>41334</v>
      </c>
      <c r="B47" s="20">
        <v>5792.7874667454917</v>
      </c>
      <c r="C47" s="21">
        <v>1210.5263157894738</v>
      </c>
      <c r="D47" s="21">
        <v>4108.1081081081084</v>
      </c>
      <c r="E47" s="21">
        <v>986.39455782312916</v>
      </c>
      <c r="F47" s="21">
        <v>2470.1986754966888</v>
      </c>
      <c r="G47" s="22" t="s">
        <v>10</v>
      </c>
      <c r="H47" s="21">
        <v>6731.3984168865436</v>
      </c>
      <c r="I47" s="12">
        <f t="shared" si="1"/>
        <v>2.5721271582382466E-2</v>
      </c>
    </row>
    <row r="48" spans="1:9" x14ac:dyDescent="0.2">
      <c r="A48" s="17">
        <v>41699</v>
      </c>
      <c r="B48" s="20">
        <v>5785.448916408669</v>
      </c>
      <c r="C48" s="21">
        <v>1153.8461538461538</v>
      </c>
      <c r="D48" s="21">
        <v>3704.545454545454</v>
      </c>
      <c r="E48" s="21">
        <v>1064.327485380117</v>
      </c>
      <c r="F48" s="21">
        <v>2451.5110509697793</v>
      </c>
      <c r="G48" s="22" t="s">
        <v>10</v>
      </c>
      <c r="H48" s="21">
        <v>6725.8241758241757</v>
      </c>
      <c r="I48" s="12">
        <f t="shared" si="1"/>
        <v>-8.2809554822727005E-4</v>
      </c>
    </row>
    <row r="49" spans="1:18" x14ac:dyDescent="0.2">
      <c r="A49" s="17">
        <v>42064</v>
      </c>
      <c r="B49" s="20">
        <v>5798.5194721596399</v>
      </c>
      <c r="C49" s="21">
        <v>1000</v>
      </c>
      <c r="D49" s="21">
        <v>3653.8461538461538</v>
      </c>
      <c r="E49" s="21">
        <v>1034.0136054421771</v>
      </c>
      <c r="F49" s="21">
        <v>2485.3076216712579</v>
      </c>
      <c r="G49" s="22" t="s">
        <v>10</v>
      </c>
      <c r="H49" s="21">
        <v>6798.4562607204116</v>
      </c>
      <c r="I49" s="12">
        <f t="shared" si="1"/>
        <v>1.0798986562466251E-2</v>
      </c>
    </row>
    <row r="50" spans="1:18" x14ac:dyDescent="0.2">
      <c r="A50" s="17">
        <v>42430</v>
      </c>
      <c r="B50" s="20">
        <v>5754.2457542457541</v>
      </c>
      <c r="C50" s="21">
        <v>800</v>
      </c>
      <c r="D50" s="21">
        <v>3682.9268292682937</v>
      </c>
      <c r="E50" s="21">
        <v>1766.4233576642337</v>
      </c>
      <c r="F50" s="21">
        <v>2455.1401869158885</v>
      </c>
      <c r="G50" s="22" t="s">
        <v>10</v>
      </c>
      <c r="H50" s="21">
        <v>6770.2981989961636</v>
      </c>
      <c r="I50" s="12">
        <f t="shared" si="1"/>
        <v>-4.1418317106689528E-3</v>
      </c>
    </row>
    <row r="51" spans="1:18" x14ac:dyDescent="0.2">
      <c r="A51" s="17">
        <v>42795</v>
      </c>
      <c r="B51" s="20">
        <v>5731.7158931082986</v>
      </c>
      <c r="C51" s="21">
        <v>1000</v>
      </c>
      <c r="D51" s="21">
        <v>3636.3636363636365</v>
      </c>
      <c r="E51" s="21">
        <v>1812.5000000000002</v>
      </c>
      <c r="F51" s="21">
        <v>2908.4778420038542</v>
      </c>
      <c r="G51" s="22" t="s">
        <v>10</v>
      </c>
      <c r="H51" s="21">
        <v>6958.9083103342527</v>
      </c>
      <c r="I51" s="12">
        <f t="shared" si="1"/>
        <v>2.7858464397632288E-2</v>
      </c>
    </row>
    <row r="52" spans="1:18" x14ac:dyDescent="0.2">
      <c r="A52" s="17">
        <v>43160</v>
      </c>
      <c r="B52" s="20">
        <v>5806.9580784899654</v>
      </c>
      <c r="C52" s="21" t="s">
        <v>10</v>
      </c>
      <c r="D52" s="21">
        <v>3349.1582358642972</v>
      </c>
      <c r="E52" s="21">
        <v>1871.8526135906716</v>
      </c>
      <c r="F52" s="21">
        <v>2884.6569706007249</v>
      </c>
      <c r="G52" s="22" t="s">
        <v>10</v>
      </c>
      <c r="H52" s="21">
        <v>6931.013258467332</v>
      </c>
      <c r="I52" s="12">
        <f t="shared" si="1"/>
        <v>-4.0085384981284333E-3</v>
      </c>
      <c r="J52" s="1"/>
    </row>
    <row r="53" spans="1:18" x14ac:dyDescent="0.2">
      <c r="A53" s="17">
        <v>43525</v>
      </c>
      <c r="B53" s="20">
        <v>6829</v>
      </c>
      <c r="C53" s="21">
        <v>1075</v>
      </c>
      <c r="D53" s="21">
        <v>4167</v>
      </c>
      <c r="E53" s="21">
        <v>1737</v>
      </c>
      <c r="F53" s="21">
        <v>2969</v>
      </c>
      <c r="G53" s="21">
        <v>933</v>
      </c>
      <c r="H53" s="21">
        <v>7922.6</v>
      </c>
      <c r="I53" s="12">
        <f t="shared" si="1"/>
        <v>0.14306519184929956</v>
      </c>
      <c r="J53" s="1"/>
    </row>
    <row r="54" spans="1:18" x14ac:dyDescent="0.2">
      <c r="A54" s="17">
        <v>43891</v>
      </c>
      <c r="B54" s="20">
        <v>7490</v>
      </c>
      <c r="C54" s="21" t="s">
        <v>10</v>
      </c>
      <c r="D54" s="21">
        <v>3550</v>
      </c>
      <c r="E54" s="21" t="s">
        <v>10</v>
      </c>
      <c r="F54" s="21">
        <v>3067</v>
      </c>
      <c r="G54" s="21">
        <v>1805</v>
      </c>
      <c r="H54" s="21">
        <v>8255</v>
      </c>
      <c r="I54" s="12">
        <f t="shared" si="1"/>
        <v>4.1955923560447195E-2</v>
      </c>
      <c r="J54" s="2" t="s">
        <v>23</v>
      </c>
      <c r="K54" s="26"/>
      <c r="L54" s="26"/>
      <c r="M54" s="26"/>
      <c r="N54" s="26"/>
      <c r="O54" s="26"/>
      <c r="P54" s="26"/>
      <c r="Q54" s="26"/>
      <c r="R54" s="26"/>
    </row>
    <row r="55" spans="1:18" x14ac:dyDescent="0.2">
      <c r="A55" s="17">
        <v>44256</v>
      </c>
      <c r="B55" s="33">
        <v>7483</v>
      </c>
      <c r="C55" s="33" t="s">
        <v>10</v>
      </c>
      <c r="D55" s="33">
        <v>4156</v>
      </c>
      <c r="E55" s="34" t="s">
        <v>10</v>
      </c>
      <c r="F55" s="33">
        <v>2974</v>
      </c>
      <c r="G55" s="33">
        <v>2113</v>
      </c>
      <c r="H55" s="33">
        <v>8254</v>
      </c>
      <c r="I55" s="12">
        <f>H55/H54-1</f>
        <v>-1.2113870381591507E-4</v>
      </c>
      <c r="J55" s="2" t="s">
        <v>23</v>
      </c>
      <c r="K55" s="26"/>
      <c r="L55" s="26"/>
      <c r="M55" s="26"/>
      <c r="N55" s="26"/>
      <c r="O55" s="26"/>
      <c r="P55" s="26"/>
      <c r="Q55" s="26"/>
      <c r="R55" s="26"/>
    </row>
    <row r="56" spans="1:18" x14ac:dyDescent="0.2">
      <c r="A56" s="17">
        <v>44621</v>
      </c>
      <c r="B56" s="33">
        <v>7431</v>
      </c>
      <c r="C56" s="33" t="s">
        <v>10</v>
      </c>
      <c r="D56" s="33">
        <v>4125</v>
      </c>
      <c r="E56" s="34" t="s">
        <v>10</v>
      </c>
      <c r="F56" s="33">
        <v>2945</v>
      </c>
      <c r="G56" s="33">
        <v>2136</v>
      </c>
      <c r="H56" s="33">
        <v>8093</v>
      </c>
      <c r="I56" s="12">
        <f>H56/H55-1</f>
        <v>-1.9505694208868385E-2</v>
      </c>
      <c r="J56" s="2" t="s">
        <v>23</v>
      </c>
      <c r="K56" s="26"/>
      <c r="L56" s="26"/>
      <c r="M56" s="26"/>
      <c r="N56" s="26"/>
      <c r="O56" s="26"/>
      <c r="P56" s="26"/>
      <c r="Q56" s="26"/>
      <c r="R56" s="26"/>
    </row>
    <row r="57" spans="1:18" x14ac:dyDescent="0.2">
      <c r="A57" s="17">
        <v>44986</v>
      </c>
      <c r="B57" s="33">
        <v>8378</v>
      </c>
      <c r="C57" s="33" t="s">
        <v>10</v>
      </c>
      <c r="D57" s="33">
        <v>4333</v>
      </c>
      <c r="E57" s="34" t="s">
        <v>10</v>
      </c>
      <c r="F57" s="33">
        <v>2902</v>
      </c>
      <c r="G57" s="33">
        <v>2203</v>
      </c>
      <c r="H57" s="33">
        <v>8777</v>
      </c>
      <c r="I57" s="12">
        <f>H57/H56-1</f>
        <v>8.4517484245644425E-2</v>
      </c>
      <c r="J57" s="2" t="s">
        <v>23</v>
      </c>
      <c r="K57" s="26"/>
      <c r="L57" s="26"/>
      <c r="M57" s="26"/>
      <c r="N57" s="26"/>
      <c r="O57" s="26"/>
      <c r="P57" s="26"/>
      <c r="Q57" s="26"/>
      <c r="R57" s="26"/>
    </row>
    <row r="58" spans="1:18" x14ac:dyDescent="0.2">
      <c r="A58" s="18">
        <v>45352</v>
      </c>
      <c r="B58" s="35">
        <v>9002</v>
      </c>
      <c r="C58" s="35" t="s">
        <v>10</v>
      </c>
      <c r="D58" s="35">
        <v>4615</v>
      </c>
      <c r="E58" s="36" t="s">
        <v>10</v>
      </c>
      <c r="F58" s="35">
        <v>2901</v>
      </c>
      <c r="G58" s="35">
        <v>2334</v>
      </c>
      <c r="H58" s="35">
        <v>9269</v>
      </c>
      <c r="I58" s="14">
        <f>H58/H57-1</f>
        <v>5.6055599863279015E-2</v>
      </c>
      <c r="J58" s="62"/>
      <c r="K58" s="26"/>
      <c r="L58" s="26"/>
      <c r="M58" s="26"/>
      <c r="N58" s="26"/>
      <c r="O58" s="26"/>
      <c r="P58" s="26"/>
      <c r="Q58" s="26"/>
      <c r="R58" s="26"/>
    </row>
    <row r="59" spans="1:18" x14ac:dyDescent="0.2">
      <c r="B59" s="21"/>
      <c r="C59" s="21"/>
      <c r="D59" s="21"/>
      <c r="E59" s="21"/>
      <c r="F59" s="21"/>
      <c r="G59" s="21"/>
      <c r="H59" s="21"/>
      <c r="I59" s="24"/>
    </row>
    <row r="61" spans="1:18" ht="15" x14ac:dyDescent="0.2">
      <c r="A61" s="19" t="s">
        <v>21</v>
      </c>
    </row>
    <row r="63" spans="1:18" ht="25.5" x14ac:dyDescent="0.2">
      <c r="A63" s="16" t="s">
        <v>1</v>
      </c>
      <c r="B63" s="9" t="s">
        <v>2</v>
      </c>
      <c r="C63" s="9" t="s">
        <v>3</v>
      </c>
      <c r="D63" s="9" t="s">
        <v>4</v>
      </c>
      <c r="E63" s="9" t="s">
        <v>5</v>
      </c>
      <c r="F63" s="9" t="s">
        <v>6</v>
      </c>
      <c r="G63" s="9" t="s">
        <v>7</v>
      </c>
      <c r="H63" s="9" t="s">
        <v>22</v>
      </c>
      <c r="I63" s="10" t="s">
        <v>9</v>
      </c>
    </row>
    <row r="64" spans="1:18" x14ac:dyDescent="0.2">
      <c r="A64" s="29">
        <v>36951</v>
      </c>
      <c r="B64" s="20">
        <v>852.90000000000009</v>
      </c>
      <c r="C64" s="21">
        <v>155.19999999999999</v>
      </c>
      <c r="D64" s="21">
        <v>9.1000000000000014</v>
      </c>
      <c r="E64" s="21">
        <v>19.899999999999999</v>
      </c>
      <c r="F64" s="22" t="s">
        <v>10</v>
      </c>
      <c r="G64" s="22" t="s">
        <v>10</v>
      </c>
      <c r="H64" s="21">
        <v>1037.0999999999999</v>
      </c>
      <c r="I64" s="11"/>
    </row>
    <row r="65" spans="1:9" x14ac:dyDescent="0.2">
      <c r="A65" s="17">
        <v>37316</v>
      </c>
      <c r="B65" s="20">
        <v>836.4</v>
      </c>
      <c r="C65" s="21">
        <v>149</v>
      </c>
      <c r="D65" s="21">
        <v>7.1000000000000005</v>
      </c>
      <c r="E65" s="21">
        <v>20.100000000000001</v>
      </c>
      <c r="F65" s="22" t="s">
        <v>10</v>
      </c>
      <c r="G65" s="22" t="s">
        <v>10</v>
      </c>
      <c r="H65" s="21">
        <v>1012.6</v>
      </c>
      <c r="I65" s="12">
        <f t="shared" ref="I65:I83" si="2">H65/H64-1</f>
        <v>-2.3623565712081684E-2</v>
      </c>
    </row>
    <row r="66" spans="1:9" x14ac:dyDescent="0.2">
      <c r="A66" s="17">
        <v>37681</v>
      </c>
      <c r="B66" s="20">
        <v>821.90000000000009</v>
      </c>
      <c r="C66" s="21">
        <v>152.80000000000001</v>
      </c>
      <c r="D66" s="21">
        <v>5.3</v>
      </c>
      <c r="E66" s="21">
        <v>17.3</v>
      </c>
      <c r="F66" s="22" t="s">
        <v>10</v>
      </c>
      <c r="G66" s="22" t="s">
        <v>10</v>
      </c>
      <c r="H66" s="21">
        <v>997.30000000000018</v>
      </c>
      <c r="I66" s="12">
        <f t="shared" si="2"/>
        <v>-1.5109618803081037E-2</v>
      </c>
    </row>
    <row r="67" spans="1:9" x14ac:dyDescent="0.2">
      <c r="A67" s="17">
        <v>38047</v>
      </c>
      <c r="B67" s="20">
        <v>814.90000000000009</v>
      </c>
      <c r="C67" s="21">
        <v>145.1</v>
      </c>
      <c r="D67" s="21">
        <v>4.4000000000000004</v>
      </c>
      <c r="E67" s="21">
        <v>14</v>
      </c>
      <c r="F67" s="22" t="s">
        <v>10</v>
      </c>
      <c r="G67" s="22" t="s">
        <v>10</v>
      </c>
      <c r="H67" s="21">
        <v>978.40000000000009</v>
      </c>
      <c r="I67" s="12">
        <f t="shared" si="2"/>
        <v>-1.8951168154015985E-2</v>
      </c>
    </row>
    <row r="68" spans="1:9" x14ac:dyDescent="0.2">
      <c r="A68" s="17">
        <v>38412</v>
      </c>
      <c r="B68" s="20">
        <v>775.9</v>
      </c>
      <c r="C68" s="21">
        <v>142.30000000000001</v>
      </c>
      <c r="D68" s="21">
        <v>2.4</v>
      </c>
      <c r="E68" s="21">
        <v>11.6</v>
      </c>
      <c r="F68" s="22" t="s">
        <v>10</v>
      </c>
      <c r="G68" s="22" t="s">
        <v>10</v>
      </c>
      <c r="H68" s="21">
        <v>932.2</v>
      </c>
      <c r="I68" s="12">
        <f t="shared" si="2"/>
        <v>-4.7219950940310729E-2</v>
      </c>
    </row>
    <row r="69" spans="1:9" x14ac:dyDescent="0.2">
      <c r="A69" s="17">
        <v>38777</v>
      </c>
      <c r="B69" s="20">
        <v>1230.2</v>
      </c>
      <c r="C69" s="21">
        <v>184.2</v>
      </c>
      <c r="D69" s="21">
        <v>1.8</v>
      </c>
      <c r="E69" s="21">
        <v>13.5</v>
      </c>
      <c r="F69" s="22" t="s">
        <v>10</v>
      </c>
      <c r="G69" s="22" t="s">
        <v>10</v>
      </c>
      <c r="H69" s="21">
        <v>1429.7</v>
      </c>
      <c r="I69" s="12">
        <f t="shared" si="2"/>
        <v>0.53368375885003205</v>
      </c>
    </row>
    <row r="70" spans="1:9" x14ac:dyDescent="0.2">
      <c r="A70" s="17">
        <v>39142</v>
      </c>
      <c r="B70" s="20">
        <v>1611.3</v>
      </c>
      <c r="C70" s="21">
        <v>30.800000000000004</v>
      </c>
      <c r="D70" s="21">
        <v>8.6999999999999993</v>
      </c>
      <c r="E70" s="21">
        <v>18.2</v>
      </c>
      <c r="F70" s="21">
        <v>535.9</v>
      </c>
      <c r="G70" s="22" t="s">
        <v>10</v>
      </c>
      <c r="H70" s="21">
        <v>2204.8999999999996</v>
      </c>
      <c r="I70" s="12">
        <f t="shared" si="2"/>
        <v>0.54221165279429218</v>
      </c>
    </row>
    <row r="71" spans="1:9" x14ac:dyDescent="0.2">
      <c r="A71" s="17">
        <v>39508</v>
      </c>
      <c r="B71" s="20">
        <v>1883.5</v>
      </c>
      <c r="C71" s="21">
        <v>18.100000000000001</v>
      </c>
      <c r="D71" s="21">
        <v>6.5</v>
      </c>
      <c r="E71" s="21">
        <v>19.100000000000001</v>
      </c>
      <c r="F71" s="21">
        <v>610.5</v>
      </c>
      <c r="G71" s="22" t="s">
        <v>10</v>
      </c>
      <c r="H71" s="21">
        <v>2537.7000000000003</v>
      </c>
      <c r="I71" s="12">
        <f t="shared" si="2"/>
        <v>0.15093655041044984</v>
      </c>
    </row>
    <row r="72" spans="1:9" x14ac:dyDescent="0.2">
      <c r="A72" s="17">
        <v>39873</v>
      </c>
      <c r="B72" s="20">
        <v>1983.5</v>
      </c>
      <c r="C72" s="21">
        <v>10.6</v>
      </c>
      <c r="D72" s="21">
        <v>6.7</v>
      </c>
      <c r="E72" s="21">
        <v>19.100000000000001</v>
      </c>
      <c r="F72" s="21">
        <v>644.4</v>
      </c>
      <c r="G72" s="22" t="s">
        <v>10</v>
      </c>
      <c r="H72" s="21">
        <v>2664.3999999999996</v>
      </c>
      <c r="I72" s="12">
        <f t="shared" si="2"/>
        <v>4.9927099341923631E-2</v>
      </c>
    </row>
    <row r="73" spans="1:9" x14ac:dyDescent="0.2">
      <c r="A73" s="17">
        <v>40238</v>
      </c>
      <c r="B73" s="20">
        <v>2073.7999999999997</v>
      </c>
      <c r="C73" s="21">
        <v>6.6000000000000005</v>
      </c>
      <c r="D73" s="21">
        <v>8.1</v>
      </c>
      <c r="E73" s="21">
        <v>16.7</v>
      </c>
      <c r="F73" s="21">
        <v>646.20000000000005</v>
      </c>
      <c r="G73" s="22" t="s">
        <v>10</v>
      </c>
      <c r="H73" s="21">
        <v>2751.4</v>
      </c>
      <c r="I73" s="12">
        <f t="shared" si="2"/>
        <v>3.2652754841615561E-2</v>
      </c>
    </row>
    <row r="74" spans="1:9" x14ac:dyDescent="0.2">
      <c r="A74" s="17">
        <v>40603</v>
      </c>
      <c r="B74" s="20">
        <v>2060.5</v>
      </c>
      <c r="C74" s="21">
        <v>4.8000000000000007</v>
      </c>
      <c r="D74" s="21">
        <v>9.7000000000000011</v>
      </c>
      <c r="E74" s="21">
        <v>18.600000000000001</v>
      </c>
      <c r="F74" s="21">
        <v>628.9</v>
      </c>
      <c r="G74" s="22" t="s">
        <v>10</v>
      </c>
      <c r="H74" s="21">
        <v>2722.4999999999995</v>
      </c>
      <c r="I74" s="12">
        <f t="shared" si="2"/>
        <v>-1.0503743548739064E-2</v>
      </c>
    </row>
    <row r="75" spans="1:9" x14ac:dyDescent="0.2">
      <c r="A75" s="17">
        <v>40969</v>
      </c>
      <c r="B75" s="20">
        <v>1988.9</v>
      </c>
      <c r="C75" s="21">
        <v>3.3</v>
      </c>
      <c r="D75" s="21">
        <v>12.899999999999999</v>
      </c>
      <c r="E75" s="21">
        <v>16.5</v>
      </c>
      <c r="F75" s="21">
        <v>594.9</v>
      </c>
      <c r="G75" s="22" t="s">
        <v>10</v>
      </c>
      <c r="H75" s="21">
        <v>2616.5000000000005</v>
      </c>
      <c r="I75" s="12">
        <f t="shared" si="2"/>
        <v>-3.8934802571165883E-2</v>
      </c>
    </row>
    <row r="76" spans="1:9" x14ac:dyDescent="0.2">
      <c r="A76" s="17">
        <v>41334</v>
      </c>
      <c r="B76" s="20">
        <v>1959.7</v>
      </c>
      <c r="C76" s="21">
        <v>2.2999999999999998</v>
      </c>
      <c r="D76" s="21">
        <v>15.2</v>
      </c>
      <c r="E76" s="21">
        <v>14.499999999999998</v>
      </c>
      <c r="F76" s="21">
        <v>559.5</v>
      </c>
      <c r="G76" s="22" t="s">
        <v>10</v>
      </c>
      <c r="H76" s="21">
        <v>2551.1999999999998</v>
      </c>
      <c r="I76" s="12">
        <f t="shared" si="2"/>
        <v>-2.4957003630804775E-2</v>
      </c>
    </row>
    <row r="77" spans="1:9" x14ac:dyDescent="0.2">
      <c r="A77" s="17">
        <v>41699</v>
      </c>
      <c r="B77" s="20">
        <v>1868.7</v>
      </c>
      <c r="C77" s="21">
        <v>1.5</v>
      </c>
      <c r="D77" s="21">
        <v>16.3</v>
      </c>
      <c r="E77" s="21">
        <v>18.2</v>
      </c>
      <c r="F77" s="21">
        <v>543.5</v>
      </c>
      <c r="G77" s="22" t="s">
        <v>10</v>
      </c>
      <c r="H77" s="21">
        <v>2448.1999999999998</v>
      </c>
      <c r="I77" s="12">
        <f t="shared" si="2"/>
        <v>-4.0373157729695852E-2</v>
      </c>
    </row>
    <row r="78" spans="1:9" x14ac:dyDescent="0.2">
      <c r="A78" s="17">
        <v>42064</v>
      </c>
      <c r="B78" s="20">
        <v>1801.6</v>
      </c>
      <c r="C78" s="21">
        <v>1</v>
      </c>
      <c r="D78" s="21">
        <v>19</v>
      </c>
      <c r="E78" s="21">
        <v>15.200000000000001</v>
      </c>
      <c r="F78" s="21">
        <v>541.29999999999995</v>
      </c>
      <c r="G78" s="22" t="s">
        <v>10</v>
      </c>
      <c r="H78" s="21">
        <v>2378.1</v>
      </c>
      <c r="I78" s="12">
        <f t="shared" si="2"/>
        <v>-2.8633281594640958E-2</v>
      </c>
    </row>
    <row r="79" spans="1:9" x14ac:dyDescent="0.2">
      <c r="A79" s="17">
        <v>42430</v>
      </c>
      <c r="B79" s="20">
        <v>1728</v>
      </c>
      <c r="C79" s="21">
        <v>0.4</v>
      </c>
      <c r="D79" s="21">
        <v>15.100000000000001</v>
      </c>
      <c r="E79" s="21">
        <v>24.2</v>
      </c>
      <c r="F79" s="21">
        <v>525.40000000000009</v>
      </c>
      <c r="G79" s="22" t="s">
        <v>10</v>
      </c>
      <c r="H79" s="21">
        <v>2293.1000000000004</v>
      </c>
      <c r="I79" s="12">
        <f t="shared" si="2"/>
        <v>-3.574281989823791E-2</v>
      </c>
    </row>
    <row r="80" spans="1:9" x14ac:dyDescent="0.2">
      <c r="A80" s="17">
        <v>42795</v>
      </c>
      <c r="B80" s="20">
        <v>1630.1</v>
      </c>
      <c r="C80" s="21">
        <v>0.2</v>
      </c>
      <c r="D80" s="21">
        <v>12</v>
      </c>
      <c r="E80" s="21">
        <v>23.200000000000003</v>
      </c>
      <c r="F80" s="21">
        <v>603.80000000000007</v>
      </c>
      <c r="G80" s="22" t="s">
        <v>10</v>
      </c>
      <c r="H80" s="21">
        <v>2269.3000000000002</v>
      </c>
      <c r="I80" s="12">
        <f t="shared" si="2"/>
        <v>-1.0378962975884254E-2</v>
      </c>
    </row>
    <row r="81" spans="1:11" x14ac:dyDescent="0.2">
      <c r="A81" s="17">
        <v>43160</v>
      </c>
      <c r="B81" s="20">
        <v>1620.6813509999999</v>
      </c>
      <c r="C81" s="21" t="s">
        <v>10</v>
      </c>
      <c r="D81" s="21">
        <v>10.36564474</v>
      </c>
      <c r="E81" s="21">
        <v>23.276487249999999</v>
      </c>
      <c r="F81" s="21">
        <v>584.20649900000001</v>
      </c>
      <c r="G81" s="22" t="s">
        <v>10</v>
      </c>
      <c r="H81" s="21">
        <v>2237.9410090000001</v>
      </c>
      <c r="I81" s="12">
        <f t="shared" si="2"/>
        <v>-1.3818794782532118E-2</v>
      </c>
      <c r="J81" s="1"/>
    </row>
    <row r="82" spans="1:11" x14ac:dyDescent="0.2">
      <c r="A82" s="17">
        <v>43525</v>
      </c>
      <c r="B82" s="20">
        <v>2024</v>
      </c>
      <c r="C82" s="21" t="s">
        <v>10</v>
      </c>
      <c r="D82" s="21">
        <v>13.4</v>
      </c>
      <c r="E82" s="21">
        <v>7.6</v>
      </c>
      <c r="F82" s="21">
        <v>617.5</v>
      </c>
      <c r="G82" s="21">
        <v>32</v>
      </c>
      <c r="H82" s="21">
        <v>2700</v>
      </c>
      <c r="I82" s="12">
        <f t="shared" si="2"/>
        <v>0.20646611735600029</v>
      </c>
      <c r="J82" s="1"/>
    </row>
    <row r="83" spans="1:11" x14ac:dyDescent="0.2">
      <c r="A83" s="17">
        <v>43891</v>
      </c>
      <c r="B83" s="20">
        <v>2151</v>
      </c>
      <c r="C83" s="21" t="s">
        <v>10</v>
      </c>
      <c r="D83" s="21">
        <v>14</v>
      </c>
      <c r="E83" s="21" t="s">
        <v>10</v>
      </c>
      <c r="F83" s="21">
        <v>603</v>
      </c>
      <c r="G83" s="21">
        <v>159</v>
      </c>
      <c r="H83" s="21">
        <v>2928</v>
      </c>
      <c r="I83" s="12">
        <f t="shared" si="2"/>
        <v>8.4444444444444544E-2</v>
      </c>
      <c r="J83" s="2" t="s">
        <v>23</v>
      </c>
      <c r="K83" s="26"/>
    </row>
    <row r="84" spans="1:11" x14ac:dyDescent="0.2">
      <c r="A84" s="17">
        <v>44256</v>
      </c>
      <c r="B84" s="94">
        <v>2084</v>
      </c>
      <c r="C84" s="95" t="s">
        <v>10</v>
      </c>
      <c r="D84" s="95">
        <v>13</v>
      </c>
      <c r="E84" s="95" t="s">
        <v>10</v>
      </c>
      <c r="F84" s="95">
        <v>557</v>
      </c>
      <c r="G84" s="95">
        <v>247</v>
      </c>
      <c r="H84" s="95">
        <v>2902</v>
      </c>
      <c r="I84" s="12">
        <f>H84/H83-1</f>
        <v>-8.8797814207650649E-3</v>
      </c>
      <c r="J84" s="2" t="s">
        <v>23</v>
      </c>
      <c r="K84" s="26"/>
    </row>
    <row r="85" spans="1:11" x14ac:dyDescent="0.2">
      <c r="A85" s="17">
        <v>44621</v>
      </c>
      <c r="B85" s="94">
        <v>1970</v>
      </c>
      <c r="C85" s="95" t="s">
        <v>10</v>
      </c>
      <c r="D85" s="95">
        <v>13</v>
      </c>
      <c r="E85" s="95" t="s">
        <v>10</v>
      </c>
      <c r="F85" s="95">
        <v>508</v>
      </c>
      <c r="G85" s="95">
        <v>296</v>
      </c>
      <c r="H85" s="95">
        <v>2788</v>
      </c>
      <c r="I85" s="12">
        <f>H85/H84-1</f>
        <v>-3.9283252929014467E-2</v>
      </c>
      <c r="J85" s="2" t="s">
        <v>23</v>
      </c>
      <c r="K85" s="26"/>
    </row>
    <row r="86" spans="1:11" x14ac:dyDescent="0.2">
      <c r="A86" s="17">
        <v>44986</v>
      </c>
      <c r="B86" s="94">
        <v>2154</v>
      </c>
      <c r="C86" s="95" t="s">
        <v>10</v>
      </c>
      <c r="D86" s="95">
        <v>13</v>
      </c>
      <c r="E86" s="95" t="s">
        <v>10</v>
      </c>
      <c r="F86" s="95">
        <v>472</v>
      </c>
      <c r="G86" s="95">
        <v>311</v>
      </c>
      <c r="H86" s="95">
        <v>2950</v>
      </c>
      <c r="I86" s="12">
        <f>H86/H85-1</f>
        <v>5.8106169296987087E-2</v>
      </c>
      <c r="J86" s="2" t="s">
        <v>23</v>
      </c>
      <c r="K86" s="26"/>
    </row>
    <row r="87" spans="1:11" x14ac:dyDescent="0.2">
      <c r="A87" s="96">
        <v>45352</v>
      </c>
      <c r="B87" s="97">
        <v>2273</v>
      </c>
      <c r="C87" s="98" t="s">
        <v>10</v>
      </c>
      <c r="D87" s="98">
        <v>12</v>
      </c>
      <c r="E87" s="98" t="s">
        <v>10</v>
      </c>
      <c r="F87" s="98">
        <v>437</v>
      </c>
      <c r="G87" s="98">
        <v>320</v>
      </c>
      <c r="H87" s="98">
        <v>3043</v>
      </c>
      <c r="I87" s="99">
        <f>H87/H86-1</f>
        <v>3.1525423728813617E-2</v>
      </c>
      <c r="J87" s="37"/>
      <c r="K87" s="26"/>
    </row>
    <row r="90" spans="1:11" ht="15" x14ac:dyDescent="0.2">
      <c r="A90" s="19" t="s">
        <v>24</v>
      </c>
    </row>
    <row r="92" spans="1:11" ht="15" customHeight="1" x14ac:dyDescent="0.2">
      <c r="A92" s="120" t="s">
        <v>1</v>
      </c>
      <c r="B92" s="122" t="s">
        <v>32</v>
      </c>
      <c r="C92" s="124" t="s">
        <v>33</v>
      </c>
      <c r="D92" s="125"/>
      <c r="E92" s="125"/>
      <c r="F92" s="125"/>
      <c r="G92" s="125"/>
      <c r="H92" s="125"/>
      <c r="I92" s="126"/>
    </row>
    <row r="93" spans="1:11" ht="43.5" customHeight="1" x14ac:dyDescent="0.2">
      <c r="A93" s="121"/>
      <c r="B93" s="123"/>
      <c r="C93" s="41" t="s">
        <v>25</v>
      </c>
      <c r="D93" s="39" t="s">
        <v>26</v>
      </c>
      <c r="E93" s="39" t="s">
        <v>27</v>
      </c>
      <c r="F93" s="39" t="s">
        <v>28</v>
      </c>
      <c r="G93" s="39" t="s">
        <v>30</v>
      </c>
      <c r="H93" s="39" t="s">
        <v>29</v>
      </c>
      <c r="I93" s="42" t="s">
        <v>31</v>
      </c>
    </row>
    <row r="94" spans="1:11" x14ac:dyDescent="0.2">
      <c r="A94" s="61"/>
      <c r="B94" s="40"/>
      <c r="C94" s="43"/>
      <c r="D94" s="44"/>
      <c r="E94" s="44"/>
      <c r="F94" s="44"/>
      <c r="G94" s="44"/>
      <c r="H94" s="44"/>
      <c r="I94" s="45"/>
    </row>
    <row r="95" spans="1:11" x14ac:dyDescent="0.2">
      <c r="A95" s="17">
        <v>43891</v>
      </c>
      <c r="B95" s="110">
        <v>704.5</v>
      </c>
      <c r="C95" s="46">
        <v>147.9</v>
      </c>
      <c r="D95" s="47">
        <v>117.1</v>
      </c>
      <c r="E95" s="48">
        <v>55.6</v>
      </c>
      <c r="F95" s="47">
        <v>22</v>
      </c>
      <c r="G95" s="47">
        <v>7.6</v>
      </c>
      <c r="H95" s="47">
        <v>2.8</v>
      </c>
      <c r="I95" s="49">
        <v>1.7</v>
      </c>
      <c r="J95" s="2" t="s">
        <v>23</v>
      </c>
    </row>
    <row r="96" spans="1:11" x14ac:dyDescent="0.2">
      <c r="A96" s="17">
        <v>44256</v>
      </c>
      <c r="B96" s="110">
        <v>698.1</v>
      </c>
      <c r="C96" s="46">
        <v>147.6</v>
      </c>
      <c r="D96" s="47">
        <v>115.1</v>
      </c>
      <c r="E96" s="48">
        <v>54.9</v>
      </c>
      <c r="F96" s="47">
        <v>21.9</v>
      </c>
      <c r="G96" s="47">
        <v>7.6</v>
      </c>
      <c r="H96" s="47">
        <v>2.9</v>
      </c>
      <c r="I96" s="49">
        <v>1.7</v>
      </c>
      <c r="J96" s="2" t="s">
        <v>23</v>
      </c>
    </row>
    <row r="97" spans="1:10" x14ac:dyDescent="0.2">
      <c r="A97" s="17">
        <v>44621</v>
      </c>
      <c r="B97" s="110">
        <v>684.8</v>
      </c>
      <c r="C97" s="46">
        <v>145.1</v>
      </c>
      <c r="D97" s="47">
        <v>111.9</v>
      </c>
      <c r="E97" s="48">
        <v>53.5</v>
      </c>
      <c r="F97" s="47">
        <v>21.7</v>
      </c>
      <c r="G97" s="47">
        <v>7.7</v>
      </c>
      <c r="H97" s="47">
        <v>2.9</v>
      </c>
      <c r="I97" s="49">
        <v>1.7</v>
      </c>
      <c r="J97" s="2" t="s">
        <v>23</v>
      </c>
    </row>
    <row r="98" spans="1:10" x14ac:dyDescent="0.2">
      <c r="A98" s="17">
        <v>44986</v>
      </c>
      <c r="B98" s="110">
        <v>669.6</v>
      </c>
      <c r="C98" s="46">
        <v>141</v>
      </c>
      <c r="D98" s="47">
        <v>109.6</v>
      </c>
      <c r="E98" s="48">
        <v>52.1</v>
      </c>
      <c r="F98" s="47">
        <v>20.100000000000001</v>
      </c>
      <c r="G98" s="47">
        <v>7.7</v>
      </c>
      <c r="H98" s="47">
        <v>2.9</v>
      </c>
      <c r="I98" s="49">
        <v>1.7</v>
      </c>
      <c r="J98" s="2" t="s">
        <v>23</v>
      </c>
    </row>
    <row r="99" spans="1:10" x14ac:dyDescent="0.2">
      <c r="A99" s="18">
        <v>45352</v>
      </c>
      <c r="B99" s="111">
        <v>656.5</v>
      </c>
      <c r="C99" s="50">
        <v>136.6</v>
      </c>
      <c r="D99" s="51">
        <v>107.8</v>
      </c>
      <c r="E99" s="52">
        <v>50.9</v>
      </c>
      <c r="F99" s="51">
        <v>20.7</v>
      </c>
      <c r="G99" s="51">
        <v>7.7</v>
      </c>
      <c r="H99" s="51">
        <v>2.8</v>
      </c>
      <c r="I99" s="53">
        <v>1.1000000000000001</v>
      </c>
    </row>
    <row r="101" spans="1:10" x14ac:dyDescent="0.2">
      <c r="A101" s="6" t="s">
        <v>34</v>
      </c>
    </row>
    <row r="102" spans="1:10" x14ac:dyDescent="0.2">
      <c r="A102" s="6" t="s">
        <v>35</v>
      </c>
    </row>
    <row r="104" spans="1:10" x14ac:dyDescent="0.2">
      <c r="D104" s="106"/>
    </row>
  </sheetData>
  <mergeCells count="3">
    <mergeCell ref="A92:A93"/>
    <mergeCell ref="B92:B93"/>
    <mergeCell ref="C92:I92"/>
  </mergeCells>
  <pageMargins left="0.7" right="0.7" top="0.75" bottom="0.75" header="0.3" footer="0.3"/>
  <pageSetup paperSize="9" orientation="portrait" r:id="rId1"/>
  <headerFooter>
    <oddHeader>&amp;C&amp;"Verdana"&amp;10&amp;K000000[IN CONFIDENCE]&amp;1#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F577-9039-4656-9515-E63B2B1AF32B}">
  <dimension ref="A1:AW62"/>
  <sheetViews>
    <sheetView tabSelected="1" topLeftCell="A11" workbookViewId="0">
      <selection activeCell="A52" sqref="A52"/>
    </sheetView>
  </sheetViews>
  <sheetFormatPr defaultRowHeight="15" x14ac:dyDescent="0.25"/>
  <cols>
    <col min="1" max="1" width="21.42578125" customWidth="1"/>
    <col min="2" max="2" width="22.85546875" customWidth="1"/>
    <col min="3" max="3" width="20.42578125" customWidth="1"/>
    <col min="4" max="5" width="19.5703125" customWidth="1"/>
    <col min="6" max="6" width="19" customWidth="1"/>
    <col min="7" max="7" width="15.42578125" customWidth="1"/>
    <col min="8" max="8" width="16.85546875" customWidth="1"/>
    <col min="9" max="9" width="19.28515625" customWidth="1"/>
    <col min="10" max="10" width="12.140625" customWidth="1"/>
    <col min="11" max="11" width="21.42578125" customWidth="1"/>
    <col min="12" max="12" width="22.85546875" customWidth="1"/>
    <col min="13" max="13" width="20.42578125" customWidth="1"/>
    <col min="14" max="15" width="19.5703125" customWidth="1"/>
    <col min="16" max="16" width="19" customWidth="1"/>
    <col min="17" max="17" width="15.42578125" customWidth="1"/>
    <col min="18" max="18" width="16.85546875" customWidth="1"/>
    <col min="19" max="19" width="19.28515625" customWidth="1"/>
    <col min="20" max="20" width="12.42578125" customWidth="1"/>
    <col min="21" max="21" width="21.42578125" customWidth="1"/>
    <col min="22" max="22" width="22.85546875" customWidth="1"/>
    <col min="23" max="23" width="20.42578125" customWidth="1"/>
    <col min="24" max="25" width="19.5703125" customWidth="1"/>
    <col min="26" max="26" width="19" customWidth="1"/>
    <col min="27" max="27" width="15.42578125" customWidth="1"/>
    <col min="28" max="28" width="16.85546875" customWidth="1"/>
    <col min="29" max="29" width="19.28515625" customWidth="1"/>
    <col min="30" max="30" width="10.42578125" customWidth="1"/>
    <col min="31" max="31" width="21.42578125" customWidth="1"/>
    <col min="32" max="32" width="22.85546875" customWidth="1"/>
    <col min="33" max="33" width="20.42578125" customWidth="1"/>
    <col min="34" max="35" width="19.5703125" customWidth="1"/>
    <col min="36" max="36" width="19" customWidth="1"/>
    <col min="37" max="37" width="15.42578125" customWidth="1"/>
    <col min="38" max="38" width="16.85546875" customWidth="1"/>
    <col min="39" max="39" width="19.28515625" customWidth="1"/>
    <col min="41" max="41" width="21.42578125" customWidth="1"/>
    <col min="42" max="42" width="22.85546875" customWidth="1"/>
    <col min="43" max="43" width="20.42578125" customWidth="1"/>
    <col min="44" max="45" width="19.5703125" customWidth="1"/>
    <col min="46" max="46" width="19" customWidth="1"/>
    <col min="47" max="47" width="15.42578125" customWidth="1"/>
    <col min="48" max="48" width="16.85546875" customWidth="1"/>
    <col min="49" max="49" width="19.28515625" customWidth="1"/>
  </cols>
  <sheetData>
    <row r="1" spans="1:49" s="101" customFormat="1" x14ac:dyDescent="0.25"/>
    <row r="2" spans="1:49" s="101" customFormat="1" ht="15.75" x14ac:dyDescent="0.25">
      <c r="A2" s="102" t="s">
        <v>37</v>
      </c>
      <c r="K2" s="102"/>
      <c r="U2" s="102"/>
      <c r="AE2" s="102"/>
      <c r="AO2" s="102"/>
    </row>
    <row r="3" spans="1:49" s="101" customFormat="1" x14ac:dyDescent="0.25"/>
    <row r="4" spans="1:49" s="101" customFormat="1" x14ac:dyDescent="0.25">
      <c r="A4" s="103" t="s">
        <v>53</v>
      </c>
      <c r="K4" s="103"/>
      <c r="U4" s="103"/>
      <c r="AE4" s="103"/>
      <c r="AO4" s="103"/>
    </row>
    <row r="5" spans="1:49" s="101" customFormat="1" x14ac:dyDescent="0.25">
      <c r="A5" s="103" t="s">
        <v>58</v>
      </c>
      <c r="K5" s="103"/>
      <c r="U5" s="103"/>
      <c r="AE5" s="103"/>
      <c r="AO5" s="103"/>
    </row>
    <row r="6" spans="1:49" s="101" customFormat="1" x14ac:dyDescent="0.25">
      <c r="A6" s="103" t="s">
        <v>38</v>
      </c>
      <c r="K6" s="103"/>
      <c r="U6" s="103"/>
      <c r="AE6" s="103"/>
      <c r="AO6" s="103"/>
    </row>
    <row r="7" spans="1:49" s="101" customFormat="1" x14ac:dyDescent="0.25">
      <c r="K7" s="103"/>
      <c r="U7" s="103"/>
      <c r="AE7" s="103"/>
      <c r="AO7" s="103"/>
    </row>
    <row r="8" spans="1:49" s="101" customFormat="1" x14ac:dyDescent="0.25">
      <c r="A8" s="103"/>
      <c r="K8" s="103"/>
      <c r="U8" s="103"/>
      <c r="AE8" s="103"/>
      <c r="AO8" s="103"/>
    </row>
    <row r="9" spans="1:49" s="101" customFormat="1" x14ac:dyDescent="0.25"/>
    <row r="10" spans="1:49" s="101" customFormat="1" x14ac:dyDescent="0.25">
      <c r="A10" s="104" t="s">
        <v>52</v>
      </c>
      <c r="K10" s="104" t="s">
        <v>49</v>
      </c>
      <c r="U10" s="104" t="s">
        <v>50</v>
      </c>
      <c r="AE10" s="104" t="s">
        <v>51</v>
      </c>
      <c r="AO10" s="104" t="s">
        <v>39</v>
      </c>
    </row>
    <row r="11" spans="1:49" ht="30" x14ac:dyDescent="0.25">
      <c r="A11" s="88" t="s">
        <v>56</v>
      </c>
      <c r="B11" s="66" t="s">
        <v>40</v>
      </c>
      <c r="C11" s="66" t="s">
        <v>41</v>
      </c>
      <c r="D11" s="66" t="s">
        <v>42</v>
      </c>
      <c r="E11" s="113" t="s">
        <v>43</v>
      </c>
      <c r="F11" s="65" t="s">
        <v>44</v>
      </c>
      <c r="G11" s="65" t="s">
        <v>45</v>
      </c>
      <c r="H11" s="65" t="s">
        <v>46</v>
      </c>
      <c r="I11" s="67" t="s">
        <v>47</v>
      </c>
      <c r="J11" s="83"/>
      <c r="K11" s="88" t="s">
        <v>56</v>
      </c>
      <c r="L11" s="66" t="s">
        <v>40</v>
      </c>
      <c r="M11" s="66" t="s">
        <v>41</v>
      </c>
      <c r="N11" s="66" t="s">
        <v>42</v>
      </c>
      <c r="O11" s="113" t="s">
        <v>43</v>
      </c>
      <c r="P11" s="65" t="s">
        <v>44</v>
      </c>
      <c r="Q11" s="65" t="s">
        <v>45</v>
      </c>
      <c r="R11" s="65" t="s">
        <v>46</v>
      </c>
      <c r="S11" s="67" t="s">
        <v>47</v>
      </c>
      <c r="T11" s="83"/>
      <c r="U11" s="88" t="s">
        <v>56</v>
      </c>
      <c r="V11" s="66" t="s">
        <v>40</v>
      </c>
      <c r="W11" s="66" t="s">
        <v>41</v>
      </c>
      <c r="X11" s="66" t="s">
        <v>42</v>
      </c>
      <c r="Y11" s="113" t="s">
        <v>43</v>
      </c>
      <c r="Z11" s="65" t="s">
        <v>44</v>
      </c>
      <c r="AA11" s="65" t="s">
        <v>45</v>
      </c>
      <c r="AB11" s="65" t="s">
        <v>46</v>
      </c>
      <c r="AC11" s="65" t="s">
        <v>47</v>
      </c>
      <c r="AD11" s="87"/>
      <c r="AE11" s="88" t="s">
        <v>56</v>
      </c>
      <c r="AF11" s="66" t="s">
        <v>40</v>
      </c>
      <c r="AG11" s="66" t="s">
        <v>41</v>
      </c>
      <c r="AH11" s="66" t="s">
        <v>42</v>
      </c>
      <c r="AI11" s="113" t="s">
        <v>43</v>
      </c>
      <c r="AJ11" s="65" t="s">
        <v>44</v>
      </c>
      <c r="AK11" s="65" t="s">
        <v>45</v>
      </c>
      <c r="AL11" s="65" t="s">
        <v>46</v>
      </c>
      <c r="AM11" s="67" t="s">
        <v>47</v>
      </c>
      <c r="AO11" s="88" t="s">
        <v>56</v>
      </c>
      <c r="AP11" s="89" t="s">
        <v>40</v>
      </c>
      <c r="AQ11" s="89" t="s">
        <v>41</v>
      </c>
      <c r="AR11" s="89" t="s">
        <v>42</v>
      </c>
      <c r="AS11" s="117" t="s">
        <v>43</v>
      </c>
      <c r="AT11" s="90" t="s">
        <v>44</v>
      </c>
      <c r="AU11" s="90" t="s">
        <v>45</v>
      </c>
      <c r="AV11" s="90" t="s">
        <v>46</v>
      </c>
      <c r="AW11" s="91" t="s">
        <v>47</v>
      </c>
    </row>
    <row r="12" spans="1:49" x14ac:dyDescent="0.25">
      <c r="A12" s="68">
        <v>5000</v>
      </c>
      <c r="B12" s="69">
        <v>25.03</v>
      </c>
      <c r="C12" s="69">
        <v>20.87</v>
      </c>
      <c r="D12" s="69">
        <v>2.65</v>
      </c>
      <c r="E12" s="114">
        <v>1.45</v>
      </c>
      <c r="F12" s="70">
        <v>4130</v>
      </c>
      <c r="G12" s="70">
        <v>3930</v>
      </c>
      <c r="H12" s="70">
        <v>870</v>
      </c>
      <c r="I12" s="71">
        <v>1080</v>
      </c>
      <c r="J12" s="54"/>
      <c r="K12" s="68">
        <v>5000</v>
      </c>
      <c r="L12" s="69">
        <v>14.29</v>
      </c>
      <c r="M12" s="69">
        <v>11.71</v>
      </c>
      <c r="N12" s="69">
        <v>1.18</v>
      </c>
      <c r="O12" s="114">
        <v>1.4</v>
      </c>
      <c r="P12" s="70">
        <v>2260</v>
      </c>
      <c r="Q12" s="70">
        <v>2180</v>
      </c>
      <c r="R12" s="70">
        <v>430</v>
      </c>
      <c r="S12" s="71">
        <v>850</v>
      </c>
      <c r="T12" s="54"/>
      <c r="U12" s="68">
        <v>5000</v>
      </c>
      <c r="V12" s="69">
        <v>15.92</v>
      </c>
      <c r="W12" s="69">
        <v>12.56</v>
      </c>
      <c r="X12" s="69">
        <v>1.64</v>
      </c>
      <c r="Y12" s="114">
        <v>1.72</v>
      </c>
      <c r="Z12" s="70">
        <v>2620</v>
      </c>
      <c r="AA12" s="70">
        <v>2500</v>
      </c>
      <c r="AB12" s="70">
        <v>620</v>
      </c>
      <c r="AC12" s="71">
        <v>1030</v>
      </c>
      <c r="AD12" s="54"/>
      <c r="AE12" s="68">
        <v>5000</v>
      </c>
      <c r="AF12" s="69">
        <v>20.95</v>
      </c>
      <c r="AG12" s="69">
        <v>16.399999999999999</v>
      </c>
      <c r="AH12" s="69">
        <v>2.69</v>
      </c>
      <c r="AI12" s="114">
        <v>1.86</v>
      </c>
      <c r="AJ12" s="70">
        <v>2830</v>
      </c>
      <c r="AK12" s="70">
        <v>2660</v>
      </c>
      <c r="AL12" s="70">
        <v>930</v>
      </c>
      <c r="AM12" s="71">
        <v>1080</v>
      </c>
      <c r="AO12" s="68">
        <v>5000</v>
      </c>
      <c r="AP12" s="69">
        <v>20.78</v>
      </c>
      <c r="AQ12" s="69">
        <v>16.75</v>
      </c>
      <c r="AR12" s="69">
        <v>2.33</v>
      </c>
      <c r="AS12" s="114">
        <v>1.7</v>
      </c>
      <c r="AT12" s="70">
        <v>2690</v>
      </c>
      <c r="AU12" s="70">
        <v>2650</v>
      </c>
      <c r="AV12" s="70">
        <v>810</v>
      </c>
      <c r="AW12" s="71">
        <v>940</v>
      </c>
    </row>
    <row r="13" spans="1:49" x14ac:dyDescent="0.25">
      <c r="A13" s="72">
        <v>10000</v>
      </c>
      <c r="B13" s="73">
        <v>26.87</v>
      </c>
      <c r="C13" s="73">
        <v>22.82</v>
      </c>
      <c r="D13" s="73">
        <v>2.37</v>
      </c>
      <c r="E13" s="115">
        <v>1.57</v>
      </c>
      <c r="F13" s="54">
        <v>4100</v>
      </c>
      <c r="G13" s="54">
        <v>4040</v>
      </c>
      <c r="H13" s="54">
        <v>960</v>
      </c>
      <c r="I13" s="74">
        <v>1050</v>
      </c>
      <c r="K13" s="72">
        <v>10000</v>
      </c>
      <c r="L13" s="73">
        <v>16.350000000000001</v>
      </c>
      <c r="M13" s="73">
        <v>13.53</v>
      </c>
      <c r="N13" s="73">
        <v>1.42</v>
      </c>
      <c r="O13" s="115">
        <v>1.37</v>
      </c>
      <c r="P13" s="54">
        <v>2420</v>
      </c>
      <c r="Q13" s="54">
        <v>2380</v>
      </c>
      <c r="R13" s="54">
        <v>570</v>
      </c>
      <c r="S13" s="74">
        <v>800</v>
      </c>
      <c r="U13" s="72">
        <v>10000</v>
      </c>
      <c r="V13" s="73">
        <v>14.81</v>
      </c>
      <c r="W13" s="73">
        <v>11.92</v>
      </c>
      <c r="X13" s="73">
        <v>1.4</v>
      </c>
      <c r="Y13" s="115">
        <v>1.47</v>
      </c>
      <c r="Z13" s="54">
        <v>2190</v>
      </c>
      <c r="AA13" s="54">
        <v>2160</v>
      </c>
      <c r="AB13" s="54">
        <v>600</v>
      </c>
      <c r="AC13" s="74">
        <v>800</v>
      </c>
      <c r="AE13" s="72">
        <v>10000</v>
      </c>
      <c r="AF13" s="73">
        <v>17.23</v>
      </c>
      <c r="AG13" s="73">
        <v>13.8</v>
      </c>
      <c r="AH13" s="73">
        <v>1.9</v>
      </c>
      <c r="AI13" s="115">
        <v>1.52</v>
      </c>
      <c r="AJ13" s="54">
        <v>2290</v>
      </c>
      <c r="AK13" s="54">
        <v>2260</v>
      </c>
      <c r="AL13" s="54">
        <v>760</v>
      </c>
      <c r="AM13" s="74">
        <v>840</v>
      </c>
      <c r="AO13" s="72">
        <v>10000</v>
      </c>
      <c r="AP13" s="73">
        <v>15.82</v>
      </c>
      <c r="AQ13" s="73">
        <v>12.7</v>
      </c>
      <c r="AR13" s="73">
        <v>1.68</v>
      </c>
      <c r="AS13" s="115">
        <v>1.42</v>
      </c>
      <c r="AT13" s="54">
        <v>2170</v>
      </c>
      <c r="AU13" s="54">
        <v>2140</v>
      </c>
      <c r="AV13" s="54">
        <v>720</v>
      </c>
      <c r="AW13" s="74">
        <v>800</v>
      </c>
    </row>
    <row r="14" spans="1:49" x14ac:dyDescent="0.25">
      <c r="A14" s="72">
        <v>15000</v>
      </c>
      <c r="B14" s="73">
        <v>82.79</v>
      </c>
      <c r="C14" s="73">
        <v>73.97</v>
      </c>
      <c r="D14" s="73">
        <v>3.82</v>
      </c>
      <c r="E14" s="115">
        <v>4.62</v>
      </c>
      <c r="F14" s="54">
        <v>10460</v>
      </c>
      <c r="G14" s="54">
        <v>10380</v>
      </c>
      <c r="H14" s="54">
        <v>1520</v>
      </c>
      <c r="I14" s="74">
        <v>2660</v>
      </c>
      <c r="K14" s="72">
        <v>15000</v>
      </c>
      <c r="L14" s="73">
        <v>63.74</v>
      </c>
      <c r="M14" s="73">
        <v>54.39</v>
      </c>
      <c r="N14" s="73">
        <v>2.95</v>
      </c>
      <c r="O14" s="115">
        <v>6.16</v>
      </c>
      <c r="P14" s="54">
        <v>7320</v>
      </c>
      <c r="Q14" s="54">
        <v>7270</v>
      </c>
      <c r="R14" s="54">
        <v>1140</v>
      </c>
      <c r="S14" s="74">
        <v>2840</v>
      </c>
      <c r="U14" s="72">
        <v>15000</v>
      </c>
      <c r="V14" s="73">
        <v>54.25</v>
      </c>
      <c r="W14" s="73">
        <v>45.78</v>
      </c>
      <c r="X14" s="73">
        <v>2.5499999999999998</v>
      </c>
      <c r="Y14" s="115">
        <v>5.87</v>
      </c>
      <c r="Z14" s="54">
        <v>5670</v>
      </c>
      <c r="AA14" s="54">
        <v>5610</v>
      </c>
      <c r="AB14" s="54">
        <v>970</v>
      </c>
      <c r="AC14" s="74">
        <v>2410</v>
      </c>
      <c r="AE14" s="72">
        <v>15000</v>
      </c>
      <c r="AF14" s="73">
        <v>29.12</v>
      </c>
      <c r="AG14" s="73">
        <v>23.49</v>
      </c>
      <c r="AH14" s="73">
        <v>2.89</v>
      </c>
      <c r="AI14" s="115">
        <v>2.65</v>
      </c>
      <c r="AJ14" s="54">
        <v>3190</v>
      </c>
      <c r="AK14" s="54">
        <v>3150</v>
      </c>
      <c r="AL14" s="54">
        <v>1130</v>
      </c>
      <c r="AM14" s="74">
        <v>1210</v>
      </c>
      <c r="AO14" s="72">
        <v>15000</v>
      </c>
      <c r="AP14" s="73">
        <v>27.24</v>
      </c>
      <c r="AQ14" s="73">
        <v>22.07</v>
      </c>
      <c r="AR14" s="73">
        <v>2.72</v>
      </c>
      <c r="AS14" s="115">
        <v>2.39</v>
      </c>
      <c r="AT14" s="54">
        <v>2960</v>
      </c>
      <c r="AU14" s="54">
        <v>2940</v>
      </c>
      <c r="AV14" s="54">
        <v>1040</v>
      </c>
      <c r="AW14" s="74">
        <v>1120</v>
      </c>
    </row>
    <row r="15" spans="1:49" x14ac:dyDescent="0.25">
      <c r="A15" s="72">
        <v>20000</v>
      </c>
      <c r="B15" s="73">
        <v>204.47</v>
      </c>
      <c r="C15" s="73">
        <v>182.49</v>
      </c>
      <c r="D15" s="73">
        <v>7.68</v>
      </c>
      <c r="E15" s="115">
        <v>11.08</v>
      </c>
      <c r="F15" s="54">
        <v>21940</v>
      </c>
      <c r="G15" s="54">
        <v>21860</v>
      </c>
      <c r="H15" s="54">
        <v>3070</v>
      </c>
      <c r="I15" s="74">
        <v>5020</v>
      </c>
      <c r="K15" s="72">
        <v>20000</v>
      </c>
      <c r="L15" s="73">
        <v>76.930000000000007</v>
      </c>
      <c r="M15" s="73">
        <v>63.38</v>
      </c>
      <c r="N15" s="73">
        <v>5.25</v>
      </c>
      <c r="O15" s="115">
        <v>6.96</v>
      </c>
      <c r="P15" s="54">
        <v>10520</v>
      </c>
      <c r="Q15" s="54">
        <v>10450</v>
      </c>
      <c r="R15" s="54">
        <v>2020</v>
      </c>
      <c r="S15" s="74">
        <v>3430</v>
      </c>
      <c r="U15" s="72">
        <v>20000</v>
      </c>
      <c r="V15" s="73">
        <v>66.400000000000006</v>
      </c>
      <c r="W15" s="73">
        <v>54.25</v>
      </c>
      <c r="X15" s="73">
        <v>4.58</v>
      </c>
      <c r="Y15" s="115">
        <v>7.06</v>
      </c>
      <c r="Z15" s="54">
        <v>9140</v>
      </c>
      <c r="AA15" s="54">
        <v>8970</v>
      </c>
      <c r="AB15" s="54">
        <v>1660</v>
      </c>
      <c r="AC15" s="74">
        <v>3490</v>
      </c>
      <c r="AE15" s="72">
        <v>20000</v>
      </c>
      <c r="AF15" s="73">
        <v>95.62</v>
      </c>
      <c r="AG15" s="73">
        <v>81.16</v>
      </c>
      <c r="AH15" s="73">
        <v>4.93</v>
      </c>
      <c r="AI15" s="115">
        <v>9.19</v>
      </c>
      <c r="AJ15" s="54">
        <v>9220</v>
      </c>
      <c r="AK15" s="54">
        <v>9120</v>
      </c>
      <c r="AL15" s="54">
        <v>1780</v>
      </c>
      <c r="AM15" s="74">
        <v>3600</v>
      </c>
      <c r="AO15" s="72">
        <v>20000</v>
      </c>
      <c r="AP15" s="73">
        <v>86.45</v>
      </c>
      <c r="AQ15" s="73">
        <v>73.84</v>
      </c>
      <c r="AR15" s="73">
        <v>4.16</v>
      </c>
      <c r="AS15" s="115">
        <v>8.25</v>
      </c>
      <c r="AT15" s="54">
        <v>7460</v>
      </c>
      <c r="AU15" s="54">
        <v>7380</v>
      </c>
      <c r="AV15" s="54">
        <v>1490</v>
      </c>
      <c r="AW15" s="74">
        <v>3040</v>
      </c>
    </row>
    <row r="16" spans="1:49" x14ac:dyDescent="0.25">
      <c r="A16" s="72">
        <v>25000</v>
      </c>
      <c r="B16" s="73">
        <v>577.66</v>
      </c>
      <c r="C16" s="73">
        <v>534.41999999999996</v>
      </c>
      <c r="D16" s="73">
        <v>13.48</v>
      </c>
      <c r="E16" s="115">
        <v>24.16</v>
      </c>
      <c r="F16" s="54">
        <v>55350</v>
      </c>
      <c r="G16" s="54">
        <v>55250</v>
      </c>
      <c r="H16" s="54">
        <v>6210</v>
      </c>
      <c r="I16" s="74">
        <v>9640</v>
      </c>
      <c r="K16" s="72">
        <v>25000</v>
      </c>
      <c r="L16" s="73">
        <v>680.41</v>
      </c>
      <c r="M16" s="73">
        <v>608.49</v>
      </c>
      <c r="N16" s="73">
        <v>10.6</v>
      </c>
      <c r="O16" s="115">
        <v>56.25</v>
      </c>
      <c r="P16" s="54">
        <v>62250</v>
      </c>
      <c r="Q16" s="54">
        <v>62170</v>
      </c>
      <c r="R16" s="54">
        <v>4550</v>
      </c>
      <c r="S16" s="74">
        <v>18390</v>
      </c>
      <c r="U16" s="72">
        <v>25000</v>
      </c>
      <c r="V16" s="73">
        <v>602.67999999999995</v>
      </c>
      <c r="W16" s="73">
        <v>524.51</v>
      </c>
      <c r="X16" s="73">
        <v>8.17</v>
      </c>
      <c r="Y16" s="115">
        <v>66.06</v>
      </c>
      <c r="Z16" s="54">
        <v>54530</v>
      </c>
      <c r="AA16" s="54">
        <v>54410</v>
      </c>
      <c r="AB16" s="54">
        <v>3120</v>
      </c>
      <c r="AC16" s="74">
        <v>21270</v>
      </c>
      <c r="AE16" s="72">
        <v>25000</v>
      </c>
      <c r="AF16" s="73">
        <v>101.08</v>
      </c>
      <c r="AG16" s="73">
        <v>81.27</v>
      </c>
      <c r="AH16" s="73">
        <v>6.99</v>
      </c>
      <c r="AI16" s="115">
        <v>10.32</v>
      </c>
      <c r="AJ16" s="54">
        <v>11340</v>
      </c>
      <c r="AK16" s="54">
        <v>11240</v>
      </c>
      <c r="AL16" s="54">
        <v>2580</v>
      </c>
      <c r="AM16" s="74">
        <v>4270</v>
      </c>
      <c r="AO16" s="72">
        <v>25000</v>
      </c>
      <c r="AP16" s="73">
        <v>94.62</v>
      </c>
      <c r="AQ16" s="73">
        <v>78.08</v>
      </c>
      <c r="AR16" s="73">
        <v>6.04</v>
      </c>
      <c r="AS16" s="115">
        <v>8.94</v>
      </c>
      <c r="AT16" s="54">
        <v>10320</v>
      </c>
      <c r="AU16" s="54">
        <v>10090</v>
      </c>
      <c r="AV16" s="54">
        <v>2140</v>
      </c>
      <c r="AW16" s="74">
        <v>3730</v>
      </c>
    </row>
    <row r="17" spans="1:49" x14ac:dyDescent="0.25">
      <c r="A17" s="72">
        <v>30000</v>
      </c>
      <c r="B17" s="73">
        <v>218.46</v>
      </c>
      <c r="C17" s="73">
        <v>187.02</v>
      </c>
      <c r="D17" s="73">
        <v>21.62</v>
      </c>
      <c r="E17" s="115">
        <v>6.62</v>
      </c>
      <c r="F17" s="54">
        <v>20450</v>
      </c>
      <c r="G17" s="54">
        <v>20320</v>
      </c>
      <c r="H17" s="54">
        <v>8620</v>
      </c>
      <c r="I17" s="74">
        <v>2960</v>
      </c>
      <c r="K17" s="72">
        <v>30000</v>
      </c>
      <c r="L17" s="73">
        <v>256.82</v>
      </c>
      <c r="M17" s="73">
        <v>221.29</v>
      </c>
      <c r="N17" s="73">
        <v>16.760000000000002</v>
      </c>
      <c r="O17" s="115">
        <v>14.42</v>
      </c>
      <c r="P17" s="54">
        <v>24180</v>
      </c>
      <c r="Q17" s="54">
        <v>24070</v>
      </c>
      <c r="R17" s="54">
        <v>7230</v>
      </c>
      <c r="S17" s="74">
        <v>5190</v>
      </c>
      <c r="U17" s="72">
        <v>30000</v>
      </c>
      <c r="V17" s="73">
        <v>285.41000000000003</v>
      </c>
      <c r="W17" s="73">
        <v>244.41</v>
      </c>
      <c r="X17" s="73">
        <v>12.88</v>
      </c>
      <c r="Y17" s="115">
        <v>23.42</v>
      </c>
      <c r="Z17" s="54">
        <v>26660</v>
      </c>
      <c r="AA17" s="54">
        <v>26530</v>
      </c>
      <c r="AB17" s="54">
        <v>5730</v>
      </c>
      <c r="AC17" s="74">
        <v>8060</v>
      </c>
      <c r="AE17" s="72">
        <v>30000</v>
      </c>
      <c r="AF17" s="73">
        <v>803.48</v>
      </c>
      <c r="AG17" s="73">
        <v>706.82</v>
      </c>
      <c r="AH17" s="73">
        <v>11.21</v>
      </c>
      <c r="AI17" s="115">
        <v>81.02</v>
      </c>
      <c r="AJ17" s="54">
        <v>63610</v>
      </c>
      <c r="AK17" s="54">
        <v>63470</v>
      </c>
      <c r="AL17" s="54">
        <v>4740</v>
      </c>
      <c r="AM17" s="74">
        <v>24580</v>
      </c>
      <c r="AO17" s="72">
        <v>30000</v>
      </c>
      <c r="AP17" s="73">
        <v>753.75</v>
      </c>
      <c r="AQ17" s="73">
        <v>658.5</v>
      </c>
      <c r="AR17" s="73">
        <v>9.4600000000000009</v>
      </c>
      <c r="AS17" s="115">
        <v>81.96</v>
      </c>
      <c r="AT17" s="54">
        <v>55700</v>
      </c>
      <c r="AU17" s="54">
        <v>55580</v>
      </c>
      <c r="AV17" s="54">
        <v>3660</v>
      </c>
      <c r="AW17" s="74">
        <v>23140</v>
      </c>
    </row>
    <row r="18" spans="1:49" x14ac:dyDescent="0.25">
      <c r="A18" s="72">
        <v>35000</v>
      </c>
      <c r="B18" s="73">
        <v>201.38</v>
      </c>
      <c r="C18" s="73">
        <v>166.97</v>
      </c>
      <c r="D18" s="73">
        <v>28.61</v>
      </c>
      <c r="E18" s="115">
        <v>5.12</v>
      </c>
      <c r="F18" s="54">
        <v>18340</v>
      </c>
      <c r="G18" s="54">
        <v>18180</v>
      </c>
      <c r="H18" s="54">
        <v>10250</v>
      </c>
      <c r="I18" s="74">
        <v>2410</v>
      </c>
      <c r="K18" s="72">
        <v>35000</v>
      </c>
      <c r="L18" s="73">
        <v>201.08</v>
      </c>
      <c r="M18" s="73">
        <v>164.87</v>
      </c>
      <c r="N18" s="73">
        <v>24.57</v>
      </c>
      <c r="O18" s="115">
        <v>10.14</v>
      </c>
      <c r="P18" s="54">
        <v>18350</v>
      </c>
      <c r="Q18" s="54">
        <v>18190</v>
      </c>
      <c r="R18" s="54">
        <v>9280</v>
      </c>
      <c r="S18" s="74">
        <v>3790</v>
      </c>
      <c r="U18" s="72">
        <v>35000</v>
      </c>
      <c r="V18" s="73">
        <v>196.39</v>
      </c>
      <c r="W18" s="73">
        <v>159.72999999999999</v>
      </c>
      <c r="X18" s="73">
        <v>19.809999999999999</v>
      </c>
      <c r="Y18" s="115">
        <v>14.08</v>
      </c>
      <c r="Z18" s="54">
        <v>17580</v>
      </c>
      <c r="AA18" s="54">
        <v>17410</v>
      </c>
      <c r="AB18" s="54">
        <v>7710</v>
      </c>
      <c r="AC18" s="74">
        <v>5180</v>
      </c>
      <c r="AE18" s="72">
        <v>35000</v>
      </c>
      <c r="AF18" s="73">
        <v>232.55</v>
      </c>
      <c r="AG18" s="73">
        <v>193.93</v>
      </c>
      <c r="AH18" s="73">
        <v>17.170000000000002</v>
      </c>
      <c r="AI18" s="115">
        <v>17.98</v>
      </c>
      <c r="AJ18" s="54">
        <v>18580</v>
      </c>
      <c r="AK18" s="54">
        <v>18430</v>
      </c>
      <c r="AL18" s="54">
        <v>6980</v>
      </c>
      <c r="AM18" s="74">
        <v>6200</v>
      </c>
      <c r="AO18" s="72">
        <v>35000</v>
      </c>
      <c r="AP18" s="73">
        <v>319.39999999999998</v>
      </c>
      <c r="AQ18" s="73">
        <v>278.08999999999997</v>
      </c>
      <c r="AR18" s="73">
        <v>13.29</v>
      </c>
      <c r="AS18" s="115">
        <v>24.56</v>
      </c>
      <c r="AT18" s="54">
        <v>24890</v>
      </c>
      <c r="AU18" s="54">
        <v>24730</v>
      </c>
      <c r="AV18" s="54">
        <v>5490</v>
      </c>
      <c r="AW18" s="74">
        <v>7760</v>
      </c>
    </row>
    <row r="19" spans="1:49" x14ac:dyDescent="0.25">
      <c r="A19" s="72">
        <v>40000</v>
      </c>
      <c r="B19" s="73">
        <v>197.47</v>
      </c>
      <c r="C19" s="73">
        <v>155.4</v>
      </c>
      <c r="D19" s="73">
        <v>37.020000000000003</v>
      </c>
      <c r="E19" s="115">
        <v>4.8600000000000003</v>
      </c>
      <c r="F19" s="54">
        <v>17510</v>
      </c>
      <c r="G19" s="54">
        <v>17340</v>
      </c>
      <c r="H19" s="54">
        <v>12020</v>
      </c>
      <c r="I19" s="74">
        <v>2270</v>
      </c>
      <c r="K19" s="72">
        <v>40000</v>
      </c>
      <c r="L19" s="73">
        <v>194.96</v>
      </c>
      <c r="M19" s="73">
        <v>154.19</v>
      </c>
      <c r="N19" s="73">
        <v>31.54</v>
      </c>
      <c r="O19" s="115">
        <v>9.01</v>
      </c>
      <c r="P19" s="54">
        <v>17430</v>
      </c>
      <c r="Q19" s="54">
        <v>17300</v>
      </c>
      <c r="R19" s="54">
        <v>10980</v>
      </c>
      <c r="S19" s="74">
        <v>3360</v>
      </c>
      <c r="U19" s="72">
        <v>40000</v>
      </c>
      <c r="V19" s="73">
        <v>191.36</v>
      </c>
      <c r="W19" s="73">
        <v>153.11000000000001</v>
      </c>
      <c r="X19" s="73">
        <v>25.98</v>
      </c>
      <c r="Y19" s="115">
        <v>11.77</v>
      </c>
      <c r="Z19" s="54">
        <v>17210</v>
      </c>
      <c r="AA19" s="54">
        <v>17040</v>
      </c>
      <c r="AB19" s="54">
        <v>9310</v>
      </c>
      <c r="AC19" s="74">
        <v>4440</v>
      </c>
      <c r="AE19" s="72">
        <v>40000</v>
      </c>
      <c r="AF19" s="73">
        <v>208.83</v>
      </c>
      <c r="AG19" s="73">
        <v>172.19</v>
      </c>
      <c r="AH19" s="73">
        <v>21.94</v>
      </c>
      <c r="AI19" s="115">
        <v>13.67</v>
      </c>
      <c r="AJ19" s="54">
        <v>16780</v>
      </c>
      <c r="AK19" s="54">
        <v>16640</v>
      </c>
      <c r="AL19" s="54">
        <v>8340</v>
      </c>
      <c r="AM19" s="74">
        <v>4870</v>
      </c>
      <c r="AO19" s="72">
        <v>40000</v>
      </c>
      <c r="AP19" s="73">
        <v>237.35</v>
      </c>
      <c r="AQ19" s="73">
        <v>200.34</v>
      </c>
      <c r="AR19" s="73">
        <v>18.52</v>
      </c>
      <c r="AS19" s="115">
        <v>16.920000000000002</v>
      </c>
      <c r="AT19" s="54">
        <v>17310</v>
      </c>
      <c r="AU19" s="54">
        <v>17160</v>
      </c>
      <c r="AV19" s="54">
        <v>7140</v>
      </c>
      <c r="AW19" s="74">
        <v>5460</v>
      </c>
    </row>
    <row r="20" spans="1:49" x14ac:dyDescent="0.25">
      <c r="A20" s="72">
        <v>45000</v>
      </c>
      <c r="B20" s="73">
        <v>199.08</v>
      </c>
      <c r="C20" s="73">
        <v>149.44999999999999</v>
      </c>
      <c r="D20" s="73">
        <v>44.27</v>
      </c>
      <c r="E20" s="115">
        <v>5.23</v>
      </c>
      <c r="F20" s="54">
        <v>17010</v>
      </c>
      <c r="G20" s="54">
        <v>16830</v>
      </c>
      <c r="H20" s="54">
        <v>13420</v>
      </c>
      <c r="I20" s="74">
        <v>2430</v>
      </c>
      <c r="K20" s="72">
        <v>45000</v>
      </c>
      <c r="L20" s="73">
        <v>196.85</v>
      </c>
      <c r="M20" s="73">
        <v>147.16</v>
      </c>
      <c r="N20" s="73">
        <v>40.409999999999997</v>
      </c>
      <c r="O20" s="115">
        <v>9.1999999999999993</v>
      </c>
      <c r="P20" s="54">
        <v>16840</v>
      </c>
      <c r="Q20" s="54">
        <v>16660</v>
      </c>
      <c r="R20" s="54">
        <v>12870</v>
      </c>
      <c r="S20" s="74">
        <v>3390</v>
      </c>
      <c r="U20" s="72">
        <v>45000</v>
      </c>
      <c r="V20" s="73">
        <v>189.89</v>
      </c>
      <c r="W20" s="73">
        <v>144.63</v>
      </c>
      <c r="X20" s="73">
        <v>33.659999999999997</v>
      </c>
      <c r="Y20" s="115">
        <v>11.42</v>
      </c>
      <c r="Z20" s="54">
        <v>16660</v>
      </c>
      <c r="AA20" s="54">
        <v>16480</v>
      </c>
      <c r="AB20" s="54">
        <v>11180</v>
      </c>
      <c r="AC20" s="74">
        <v>4230</v>
      </c>
      <c r="AE20" s="72">
        <v>45000</v>
      </c>
      <c r="AF20" s="73">
        <v>204.75</v>
      </c>
      <c r="AG20" s="73">
        <v>164.29</v>
      </c>
      <c r="AH20" s="73">
        <v>27.84</v>
      </c>
      <c r="AI20" s="115">
        <v>12.33</v>
      </c>
      <c r="AJ20" s="54">
        <v>16690</v>
      </c>
      <c r="AK20" s="54">
        <v>16500</v>
      </c>
      <c r="AL20" s="54">
        <v>9790</v>
      </c>
      <c r="AM20" s="74">
        <v>4430</v>
      </c>
      <c r="AO20" s="72">
        <v>45000</v>
      </c>
      <c r="AP20" s="73">
        <v>212.12</v>
      </c>
      <c r="AQ20" s="73">
        <v>176.46</v>
      </c>
      <c r="AR20" s="73">
        <v>23</v>
      </c>
      <c r="AS20" s="115">
        <v>12.35</v>
      </c>
      <c r="AT20" s="54">
        <v>16290</v>
      </c>
      <c r="AU20" s="54">
        <v>16130</v>
      </c>
      <c r="AV20" s="54">
        <v>8370</v>
      </c>
      <c r="AW20" s="74">
        <v>4210</v>
      </c>
    </row>
    <row r="21" spans="1:49" x14ac:dyDescent="0.25">
      <c r="A21" s="72">
        <v>50000</v>
      </c>
      <c r="B21" s="73">
        <v>196.02</v>
      </c>
      <c r="C21" s="73">
        <v>139.47</v>
      </c>
      <c r="D21" s="73">
        <v>50.7</v>
      </c>
      <c r="E21" s="115">
        <v>5.71</v>
      </c>
      <c r="F21" s="54">
        <v>17480</v>
      </c>
      <c r="G21" s="54">
        <v>17280</v>
      </c>
      <c r="H21" s="54">
        <v>14840</v>
      </c>
      <c r="I21" s="74">
        <v>2520</v>
      </c>
      <c r="K21" s="72">
        <v>50000</v>
      </c>
      <c r="L21" s="73">
        <v>193.03</v>
      </c>
      <c r="M21" s="73">
        <v>136.47999999999999</v>
      </c>
      <c r="N21" s="73">
        <v>46.58</v>
      </c>
      <c r="O21" s="115">
        <v>9.89</v>
      </c>
      <c r="P21" s="54">
        <v>17220</v>
      </c>
      <c r="Q21" s="54">
        <v>17030</v>
      </c>
      <c r="R21" s="54">
        <v>14220</v>
      </c>
      <c r="S21" s="74">
        <v>3600</v>
      </c>
      <c r="U21" s="72">
        <v>50000</v>
      </c>
      <c r="V21" s="73">
        <v>179.63</v>
      </c>
      <c r="W21" s="73">
        <v>127.89</v>
      </c>
      <c r="X21" s="73">
        <v>39.950000000000003</v>
      </c>
      <c r="Y21" s="115">
        <v>11.69</v>
      </c>
      <c r="Z21" s="54">
        <v>16420</v>
      </c>
      <c r="AA21" s="54">
        <v>16230</v>
      </c>
      <c r="AB21" s="54">
        <v>12520</v>
      </c>
      <c r="AC21" s="74">
        <v>4250</v>
      </c>
      <c r="AE21" s="72">
        <v>50000</v>
      </c>
      <c r="AF21" s="73">
        <v>187.62</v>
      </c>
      <c r="AG21" s="73">
        <v>141.88</v>
      </c>
      <c r="AH21" s="73">
        <v>33.979999999999997</v>
      </c>
      <c r="AI21" s="115">
        <v>11.66</v>
      </c>
      <c r="AJ21" s="54">
        <v>15840</v>
      </c>
      <c r="AK21" s="54">
        <v>15650</v>
      </c>
      <c r="AL21" s="54">
        <v>11220</v>
      </c>
      <c r="AM21" s="74">
        <v>4240</v>
      </c>
      <c r="AO21" s="72">
        <v>50000</v>
      </c>
      <c r="AP21" s="73">
        <v>189.1</v>
      </c>
      <c r="AQ21" s="73">
        <v>149</v>
      </c>
      <c r="AR21" s="73">
        <v>28.65</v>
      </c>
      <c r="AS21" s="115">
        <v>11.31</v>
      </c>
      <c r="AT21" s="54">
        <v>15300</v>
      </c>
      <c r="AU21" s="54">
        <v>15110</v>
      </c>
      <c r="AV21" s="54">
        <v>9760</v>
      </c>
      <c r="AW21" s="74">
        <v>3890</v>
      </c>
    </row>
    <row r="22" spans="1:49" x14ac:dyDescent="0.25">
      <c r="A22" s="72">
        <v>55000</v>
      </c>
      <c r="B22" s="73">
        <v>176.82</v>
      </c>
      <c r="C22" s="73">
        <v>118.68</v>
      </c>
      <c r="D22" s="73">
        <v>52.38</v>
      </c>
      <c r="E22" s="115">
        <v>5.7</v>
      </c>
      <c r="F22" s="54">
        <v>17050</v>
      </c>
      <c r="G22" s="54">
        <v>16780</v>
      </c>
      <c r="H22" s="54">
        <v>15020</v>
      </c>
      <c r="I22" s="74">
        <v>2600</v>
      </c>
      <c r="K22" s="72">
        <v>55000</v>
      </c>
      <c r="L22" s="73">
        <v>177.85</v>
      </c>
      <c r="M22" s="73">
        <v>117.61</v>
      </c>
      <c r="N22" s="73">
        <v>49.96</v>
      </c>
      <c r="O22" s="115">
        <v>10.25</v>
      </c>
      <c r="P22" s="54">
        <v>17020</v>
      </c>
      <c r="Q22" s="54">
        <v>16780</v>
      </c>
      <c r="R22" s="54">
        <v>14890</v>
      </c>
      <c r="S22" s="74">
        <v>3720</v>
      </c>
      <c r="U22" s="72">
        <v>55000</v>
      </c>
      <c r="V22" s="73">
        <v>167.91</v>
      </c>
      <c r="W22" s="73">
        <v>111.21</v>
      </c>
      <c r="X22" s="73">
        <v>44.68</v>
      </c>
      <c r="Y22" s="115">
        <v>11.9</v>
      </c>
      <c r="Z22" s="54">
        <v>16320</v>
      </c>
      <c r="AA22" s="54">
        <v>16080</v>
      </c>
      <c r="AB22" s="54">
        <v>13590</v>
      </c>
      <c r="AC22" s="74">
        <v>4260</v>
      </c>
      <c r="AE22" s="72">
        <v>55000</v>
      </c>
      <c r="AF22" s="73">
        <v>169.97</v>
      </c>
      <c r="AG22" s="73">
        <v>119.1</v>
      </c>
      <c r="AH22" s="73">
        <v>39.270000000000003</v>
      </c>
      <c r="AI22" s="115">
        <v>11.53</v>
      </c>
      <c r="AJ22" s="54">
        <v>15400</v>
      </c>
      <c r="AK22" s="54">
        <v>15190</v>
      </c>
      <c r="AL22" s="54">
        <v>12360</v>
      </c>
      <c r="AM22" s="74">
        <v>4090</v>
      </c>
      <c r="AO22" s="72">
        <v>55000</v>
      </c>
      <c r="AP22" s="73">
        <v>165.95</v>
      </c>
      <c r="AQ22" s="73">
        <v>122.12</v>
      </c>
      <c r="AR22" s="73">
        <v>32.67</v>
      </c>
      <c r="AS22" s="115">
        <v>11.08</v>
      </c>
      <c r="AT22" s="54">
        <v>14320</v>
      </c>
      <c r="AU22" s="54">
        <v>14110</v>
      </c>
      <c r="AV22" s="54">
        <v>10570</v>
      </c>
      <c r="AW22" s="74">
        <v>3770</v>
      </c>
    </row>
    <row r="23" spans="1:49" x14ac:dyDescent="0.25">
      <c r="A23" s="72">
        <v>60000</v>
      </c>
      <c r="B23" s="73">
        <v>153.85</v>
      </c>
      <c r="C23" s="73">
        <v>95.68</v>
      </c>
      <c r="D23" s="73">
        <v>52.18</v>
      </c>
      <c r="E23" s="115">
        <v>5.94</v>
      </c>
      <c r="F23" s="54">
        <v>16300</v>
      </c>
      <c r="G23" s="54">
        <v>16080</v>
      </c>
      <c r="H23" s="54">
        <v>14640</v>
      </c>
      <c r="I23" s="74">
        <v>2650</v>
      </c>
      <c r="K23" s="72">
        <v>60000</v>
      </c>
      <c r="L23" s="73">
        <v>155.69</v>
      </c>
      <c r="M23" s="73">
        <v>95.28</v>
      </c>
      <c r="N23" s="73">
        <v>49.77</v>
      </c>
      <c r="O23" s="115">
        <v>10.6</v>
      </c>
      <c r="P23" s="54">
        <v>16170</v>
      </c>
      <c r="Q23" s="54">
        <v>16000</v>
      </c>
      <c r="R23" s="54">
        <v>14470</v>
      </c>
      <c r="S23" s="74">
        <v>3850</v>
      </c>
      <c r="U23" s="72">
        <v>60000</v>
      </c>
      <c r="V23" s="73">
        <v>151</v>
      </c>
      <c r="W23" s="73">
        <v>91.61</v>
      </c>
      <c r="X23" s="73">
        <v>46.83</v>
      </c>
      <c r="Y23" s="115">
        <v>12.51</v>
      </c>
      <c r="Z23" s="54">
        <v>15860</v>
      </c>
      <c r="AA23" s="54">
        <v>15650</v>
      </c>
      <c r="AB23" s="54">
        <v>13770</v>
      </c>
      <c r="AC23" s="74">
        <v>4460</v>
      </c>
      <c r="AE23" s="72">
        <v>60000</v>
      </c>
      <c r="AF23" s="73">
        <v>155.11000000000001</v>
      </c>
      <c r="AG23" s="73">
        <v>100.51</v>
      </c>
      <c r="AH23" s="73">
        <v>42.28</v>
      </c>
      <c r="AI23" s="115">
        <v>12.27</v>
      </c>
      <c r="AJ23" s="54">
        <v>15010</v>
      </c>
      <c r="AK23" s="54">
        <v>14850</v>
      </c>
      <c r="AL23" s="54">
        <v>12720</v>
      </c>
      <c r="AM23" s="74">
        <v>4230</v>
      </c>
      <c r="AO23" s="72">
        <v>60000</v>
      </c>
      <c r="AP23" s="73">
        <v>151.61000000000001</v>
      </c>
      <c r="AQ23" s="73">
        <v>103.21</v>
      </c>
      <c r="AR23" s="73">
        <v>37.119999999999997</v>
      </c>
      <c r="AS23" s="115">
        <v>11.24</v>
      </c>
      <c r="AT23" s="54">
        <v>13950</v>
      </c>
      <c r="AU23" s="54">
        <v>13820</v>
      </c>
      <c r="AV23" s="54">
        <v>11400</v>
      </c>
      <c r="AW23" s="74">
        <v>3650</v>
      </c>
    </row>
    <row r="24" spans="1:49" x14ac:dyDescent="0.25">
      <c r="A24" s="72">
        <v>65000</v>
      </c>
      <c r="B24" s="73">
        <v>129.59</v>
      </c>
      <c r="C24" s="73">
        <v>73.83</v>
      </c>
      <c r="D24" s="73">
        <v>49.97</v>
      </c>
      <c r="E24" s="115">
        <v>5.75</v>
      </c>
      <c r="F24" s="54">
        <v>15270</v>
      </c>
      <c r="G24" s="54">
        <v>15060</v>
      </c>
      <c r="H24" s="54">
        <v>13870</v>
      </c>
      <c r="I24" s="74">
        <v>2640</v>
      </c>
      <c r="K24" s="72">
        <v>65000</v>
      </c>
      <c r="L24" s="73">
        <v>131.71</v>
      </c>
      <c r="M24" s="73">
        <v>73.12</v>
      </c>
      <c r="N24" s="73">
        <v>48.17</v>
      </c>
      <c r="O24" s="115">
        <v>10.39</v>
      </c>
      <c r="P24" s="54">
        <v>15190</v>
      </c>
      <c r="Q24" s="54">
        <v>15000</v>
      </c>
      <c r="R24" s="54">
        <v>13790</v>
      </c>
      <c r="S24" s="74">
        <v>3810</v>
      </c>
      <c r="U24" s="72">
        <v>65000</v>
      </c>
      <c r="V24" s="73">
        <v>129.99</v>
      </c>
      <c r="W24" s="73">
        <v>71.17</v>
      </c>
      <c r="X24" s="73">
        <v>46.32</v>
      </c>
      <c r="Y24" s="115">
        <v>12.45</v>
      </c>
      <c r="Z24" s="54">
        <v>14920</v>
      </c>
      <c r="AA24" s="54">
        <v>14720</v>
      </c>
      <c r="AB24" s="54">
        <v>13330</v>
      </c>
      <c r="AC24" s="74">
        <v>4380</v>
      </c>
      <c r="AE24" s="72">
        <v>65000</v>
      </c>
      <c r="AF24" s="73">
        <v>136.06</v>
      </c>
      <c r="AG24" s="73">
        <v>80.709999999999994</v>
      </c>
      <c r="AH24" s="73">
        <v>43.36</v>
      </c>
      <c r="AI24" s="115">
        <v>11.95</v>
      </c>
      <c r="AJ24" s="54">
        <v>14490</v>
      </c>
      <c r="AK24" s="54">
        <v>14330</v>
      </c>
      <c r="AL24" s="54">
        <v>12730</v>
      </c>
      <c r="AM24" s="74">
        <v>4190</v>
      </c>
      <c r="AO24" s="72">
        <v>65000</v>
      </c>
      <c r="AP24" s="73">
        <v>136.29</v>
      </c>
      <c r="AQ24" s="73">
        <v>85.76</v>
      </c>
      <c r="AR24" s="73">
        <v>39.15</v>
      </c>
      <c r="AS24" s="115">
        <v>11.35</v>
      </c>
      <c r="AT24" s="54">
        <v>13750</v>
      </c>
      <c r="AU24" s="54">
        <v>13630</v>
      </c>
      <c r="AV24" s="54">
        <v>11680</v>
      </c>
      <c r="AW24" s="74">
        <v>3770</v>
      </c>
    </row>
    <row r="25" spans="1:49" x14ac:dyDescent="0.25">
      <c r="A25" s="72">
        <v>70000</v>
      </c>
      <c r="B25" s="73">
        <v>109.97</v>
      </c>
      <c r="C25" s="73">
        <v>57.84</v>
      </c>
      <c r="D25" s="73">
        <v>46.34</v>
      </c>
      <c r="E25" s="115">
        <v>5.76</v>
      </c>
      <c r="F25" s="54">
        <v>14380</v>
      </c>
      <c r="G25" s="54">
        <v>10600</v>
      </c>
      <c r="H25" s="54">
        <v>13260</v>
      </c>
      <c r="I25" s="74">
        <v>2690</v>
      </c>
      <c r="K25" s="72">
        <v>70000</v>
      </c>
      <c r="L25" s="73">
        <v>110.75</v>
      </c>
      <c r="M25" s="73">
        <v>55.7</v>
      </c>
      <c r="N25" s="73">
        <v>44.81</v>
      </c>
      <c r="O25" s="115">
        <v>10.210000000000001</v>
      </c>
      <c r="P25" s="54">
        <v>14280</v>
      </c>
      <c r="Q25" s="54">
        <v>10340</v>
      </c>
      <c r="R25" s="54">
        <v>13200</v>
      </c>
      <c r="S25" s="74">
        <v>3800</v>
      </c>
      <c r="U25" s="72">
        <v>70000</v>
      </c>
      <c r="V25" s="73">
        <v>107.81</v>
      </c>
      <c r="W25" s="73">
        <v>53.28</v>
      </c>
      <c r="X25" s="73">
        <v>42.35</v>
      </c>
      <c r="Y25" s="115">
        <v>12.14</v>
      </c>
      <c r="Z25" s="54">
        <v>13600</v>
      </c>
      <c r="AA25" s="54">
        <v>9910</v>
      </c>
      <c r="AB25" s="54">
        <v>12470</v>
      </c>
      <c r="AC25" s="74">
        <v>4340</v>
      </c>
      <c r="AE25" s="72">
        <v>70000</v>
      </c>
      <c r="AF25" s="73">
        <v>115.03</v>
      </c>
      <c r="AG25" s="73">
        <v>61.27</v>
      </c>
      <c r="AH25" s="73">
        <v>41.81</v>
      </c>
      <c r="AI25" s="115">
        <v>11.92</v>
      </c>
      <c r="AJ25" s="54">
        <v>13700</v>
      </c>
      <c r="AK25" s="54">
        <v>10870</v>
      </c>
      <c r="AL25" s="54">
        <v>12330</v>
      </c>
      <c r="AM25" s="74">
        <v>4170</v>
      </c>
      <c r="AO25" s="72">
        <v>70000</v>
      </c>
      <c r="AP25" s="73">
        <v>116.59</v>
      </c>
      <c r="AQ25" s="73">
        <v>65.86</v>
      </c>
      <c r="AR25" s="73">
        <v>39.340000000000003</v>
      </c>
      <c r="AS25" s="115">
        <v>11.36</v>
      </c>
      <c r="AT25" s="54">
        <v>13100</v>
      </c>
      <c r="AU25" s="54">
        <v>12040</v>
      </c>
      <c r="AV25" s="54">
        <v>11500</v>
      </c>
      <c r="AW25" s="74">
        <v>3800</v>
      </c>
    </row>
    <row r="26" spans="1:49" x14ac:dyDescent="0.25">
      <c r="A26" s="72">
        <v>75000</v>
      </c>
      <c r="B26" s="73">
        <v>89.17</v>
      </c>
      <c r="C26" s="73">
        <v>45.08</v>
      </c>
      <c r="D26" s="73">
        <v>38.54</v>
      </c>
      <c r="E26" s="115">
        <v>5.52</v>
      </c>
      <c r="F26" s="54">
        <v>13540</v>
      </c>
      <c r="G26" s="54">
        <v>8710</v>
      </c>
      <c r="H26" s="54">
        <v>12490</v>
      </c>
      <c r="I26" s="74">
        <v>2640</v>
      </c>
      <c r="K26" s="72">
        <v>75000</v>
      </c>
      <c r="L26" s="73">
        <v>91.86</v>
      </c>
      <c r="M26" s="73">
        <v>44.34</v>
      </c>
      <c r="N26" s="73">
        <v>37.29</v>
      </c>
      <c r="O26" s="115">
        <v>10.19</v>
      </c>
      <c r="P26" s="54">
        <v>13330</v>
      </c>
      <c r="Q26" s="54">
        <v>8640</v>
      </c>
      <c r="R26" s="54">
        <v>12370</v>
      </c>
      <c r="S26" s="74">
        <v>3850</v>
      </c>
      <c r="U26" s="72">
        <v>75000</v>
      </c>
      <c r="V26" s="73">
        <v>90.25</v>
      </c>
      <c r="W26" s="73">
        <v>42.07</v>
      </c>
      <c r="X26" s="73">
        <v>35.93</v>
      </c>
      <c r="Y26" s="115">
        <v>12.22</v>
      </c>
      <c r="Z26" s="54">
        <v>13040</v>
      </c>
      <c r="AA26" s="54">
        <v>8410</v>
      </c>
      <c r="AB26" s="54">
        <v>11980</v>
      </c>
      <c r="AC26" s="74">
        <v>4450</v>
      </c>
      <c r="AE26" s="72">
        <v>75000</v>
      </c>
      <c r="AF26" s="73">
        <v>91.9</v>
      </c>
      <c r="AG26" s="73">
        <v>46.81</v>
      </c>
      <c r="AH26" s="73">
        <v>33.67</v>
      </c>
      <c r="AI26" s="115">
        <v>11.38</v>
      </c>
      <c r="AJ26" s="54">
        <v>12360</v>
      </c>
      <c r="AK26" s="54">
        <v>7770</v>
      </c>
      <c r="AL26" s="54">
        <v>11290</v>
      </c>
      <c r="AM26" s="74">
        <v>4020</v>
      </c>
      <c r="AO26" s="72">
        <v>75000</v>
      </c>
      <c r="AP26" s="73">
        <v>98.17</v>
      </c>
      <c r="AQ26" s="73">
        <v>52.83</v>
      </c>
      <c r="AR26" s="73">
        <v>34.22</v>
      </c>
      <c r="AS26" s="115">
        <v>11.1</v>
      </c>
      <c r="AT26" s="54">
        <v>12120</v>
      </c>
      <c r="AU26" s="54">
        <v>7540</v>
      </c>
      <c r="AV26" s="54">
        <v>10950</v>
      </c>
      <c r="AW26" s="74">
        <v>3690</v>
      </c>
    </row>
    <row r="27" spans="1:49" x14ac:dyDescent="0.25">
      <c r="A27" s="72">
        <v>80000</v>
      </c>
      <c r="B27" s="73">
        <v>73.650000000000006</v>
      </c>
      <c r="C27" s="73">
        <v>35.049999999999997</v>
      </c>
      <c r="D27" s="73">
        <v>32.85</v>
      </c>
      <c r="E27" s="115">
        <v>5.74</v>
      </c>
      <c r="F27" s="54">
        <v>13150</v>
      </c>
      <c r="G27" s="54">
        <v>8580</v>
      </c>
      <c r="H27" s="54">
        <v>12070</v>
      </c>
      <c r="I27" s="74">
        <v>2780</v>
      </c>
      <c r="K27" s="72">
        <v>80000</v>
      </c>
      <c r="L27" s="73">
        <v>72.209999999999994</v>
      </c>
      <c r="M27" s="73">
        <v>32.369999999999997</v>
      </c>
      <c r="N27" s="73">
        <v>30.34</v>
      </c>
      <c r="O27" s="115">
        <v>9.48</v>
      </c>
      <c r="P27" s="54">
        <v>12540</v>
      </c>
      <c r="Q27" s="54">
        <v>8050</v>
      </c>
      <c r="R27" s="54">
        <v>11630</v>
      </c>
      <c r="S27" s="74">
        <v>3660</v>
      </c>
      <c r="U27" s="72">
        <v>80000</v>
      </c>
      <c r="V27" s="73">
        <v>74.14</v>
      </c>
      <c r="W27" s="73">
        <v>32.67</v>
      </c>
      <c r="X27" s="73">
        <v>29.65</v>
      </c>
      <c r="Y27" s="115">
        <v>11.8</v>
      </c>
      <c r="Z27" s="54">
        <v>12280</v>
      </c>
      <c r="AA27" s="54">
        <v>7940</v>
      </c>
      <c r="AB27" s="54">
        <v>11220</v>
      </c>
      <c r="AC27" s="74">
        <v>4370</v>
      </c>
      <c r="AE27" s="72">
        <v>80000</v>
      </c>
      <c r="AF27" s="73">
        <v>75.62</v>
      </c>
      <c r="AG27" s="73">
        <v>36.94</v>
      </c>
      <c r="AH27" s="73">
        <v>27.29</v>
      </c>
      <c r="AI27" s="115">
        <v>11.37</v>
      </c>
      <c r="AJ27" s="54">
        <v>11690</v>
      </c>
      <c r="AK27" s="54">
        <v>7340</v>
      </c>
      <c r="AL27" s="54">
        <v>10650</v>
      </c>
      <c r="AM27" s="74">
        <v>4080</v>
      </c>
      <c r="AO27" s="72">
        <v>80000</v>
      </c>
      <c r="AP27" s="73">
        <v>78.739999999999995</v>
      </c>
      <c r="AQ27" s="73">
        <v>40.880000000000003</v>
      </c>
      <c r="AR27" s="73">
        <v>27.15</v>
      </c>
      <c r="AS27" s="115">
        <v>10.69</v>
      </c>
      <c r="AT27" s="54">
        <v>11190</v>
      </c>
      <c r="AU27" s="54">
        <v>6910</v>
      </c>
      <c r="AV27" s="54">
        <v>10090</v>
      </c>
      <c r="AW27" s="74">
        <v>3600</v>
      </c>
    </row>
    <row r="28" spans="1:49" x14ac:dyDescent="0.25">
      <c r="A28" s="72">
        <v>85000</v>
      </c>
      <c r="B28" s="73">
        <v>57.83</v>
      </c>
      <c r="C28" s="73">
        <v>24.28</v>
      </c>
      <c r="D28" s="73">
        <v>28.35</v>
      </c>
      <c r="E28" s="115">
        <v>5.19</v>
      </c>
      <c r="F28" s="54">
        <v>10360</v>
      </c>
      <c r="G28" s="54">
        <v>8320</v>
      </c>
      <c r="H28" s="54">
        <v>8900</v>
      </c>
      <c r="I28" s="74">
        <v>2740</v>
      </c>
      <c r="K28" s="72">
        <v>85000</v>
      </c>
      <c r="L28" s="73">
        <v>58.08</v>
      </c>
      <c r="M28" s="73">
        <v>22.97</v>
      </c>
      <c r="N28" s="73">
        <v>26.94</v>
      </c>
      <c r="O28" s="115">
        <v>8.16</v>
      </c>
      <c r="P28" s="54">
        <v>10320</v>
      </c>
      <c r="Q28" s="54">
        <v>8070</v>
      </c>
      <c r="R28" s="54">
        <v>8730</v>
      </c>
      <c r="S28" s="74">
        <v>3720</v>
      </c>
      <c r="U28" s="72">
        <v>85000</v>
      </c>
      <c r="V28" s="73">
        <v>56.74</v>
      </c>
      <c r="W28" s="73">
        <v>22.32</v>
      </c>
      <c r="X28" s="73">
        <v>24.74</v>
      </c>
      <c r="Y28" s="115">
        <v>9.68</v>
      </c>
      <c r="Z28" s="54">
        <v>9830</v>
      </c>
      <c r="AA28" s="54">
        <v>7410</v>
      </c>
      <c r="AB28" s="54">
        <v>8110</v>
      </c>
      <c r="AC28" s="74">
        <v>4340</v>
      </c>
      <c r="AE28" s="72">
        <v>85000</v>
      </c>
      <c r="AF28" s="73">
        <v>59.83</v>
      </c>
      <c r="AG28" s="73">
        <v>27.3</v>
      </c>
      <c r="AH28" s="73">
        <v>22.89</v>
      </c>
      <c r="AI28" s="115">
        <v>9.6300000000000008</v>
      </c>
      <c r="AJ28" s="54">
        <v>9210</v>
      </c>
      <c r="AK28" s="54">
        <v>7030</v>
      </c>
      <c r="AL28" s="54">
        <v>7620</v>
      </c>
      <c r="AM28" s="74">
        <v>4040</v>
      </c>
      <c r="AO28" s="72">
        <v>85000</v>
      </c>
      <c r="AP28" s="73">
        <v>63.3</v>
      </c>
      <c r="AQ28" s="73">
        <v>32.020000000000003</v>
      </c>
      <c r="AR28" s="73">
        <v>21.73</v>
      </c>
      <c r="AS28" s="115">
        <v>9.5299999999999994</v>
      </c>
      <c r="AT28" s="54">
        <v>9680</v>
      </c>
      <c r="AU28" s="54">
        <v>6640</v>
      </c>
      <c r="AV28" s="54">
        <v>8280</v>
      </c>
      <c r="AW28" s="74">
        <v>3690</v>
      </c>
    </row>
    <row r="29" spans="1:49" x14ac:dyDescent="0.25">
      <c r="A29" s="72">
        <v>90000</v>
      </c>
      <c r="B29" s="73">
        <v>46.43</v>
      </c>
      <c r="C29" s="73">
        <v>17.34</v>
      </c>
      <c r="D29" s="73">
        <v>24.77</v>
      </c>
      <c r="E29" s="115">
        <v>4.3099999999999996</v>
      </c>
      <c r="F29" s="54">
        <v>9090</v>
      </c>
      <c r="G29" s="54">
        <v>3510</v>
      </c>
      <c r="H29" s="54">
        <v>7680</v>
      </c>
      <c r="I29" s="74">
        <v>2570</v>
      </c>
      <c r="J29" s="54"/>
      <c r="K29" s="72">
        <v>90000</v>
      </c>
      <c r="L29" s="73">
        <v>45.48</v>
      </c>
      <c r="M29" s="73">
        <v>15.89</v>
      </c>
      <c r="N29" s="73">
        <v>23.61</v>
      </c>
      <c r="O29" s="115">
        <v>5.97</v>
      </c>
      <c r="P29" s="54">
        <v>9230</v>
      </c>
      <c r="Q29" s="54">
        <v>3380</v>
      </c>
      <c r="R29" s="54">
        <v>7460</v>
      </c>
      <c r="S29" s="74">
        <v>3620</v>
      </c>
      <c r="T29" s="54"/>
      <c r="U29" s="72">
        <v>90000</v>
      </c>
      <c r="V29" s="73">
        <v>44.87</v>
      </c>
      <c r="W29" s="73">
        <v>15.49</v>
      </c>
      <c r="X29" s="73">
        <v>22.19</v>
      </c>
      <c r="Y29" s="115">
        <v>7.18</v>
      </c>
      <c r="Z29" s="54">
        <v>8980</v>
      </c>
      <c r="AA29" s="54">
        <v>3290</v>
      </c>
      <c r="AB29" s="54">
        <v>7040</v>
      </c>
      <c r="AC29" s="74">
        <v>4400</v>
      </c>
      <c r="AD29" s="54"/>
      <c r="AE29" s="72">
        <v>90000</v>
      </c>
      <c r="AF29" s="73">
        <v>47.93</v>
      </c>
      <c r="AG29" s="73">
        <v>19.05</v>
      </c>
      <c r="AH29" s="73">
        <v>21.6</v>
      </c>
      <c r="AI29" s="115">
        <v>7.27</v>
      </c>
      <c r="AJ29" s="54">
        <v>8440</v>
      </c>
      <c r="AK29" s="54">
        <v>4770</v>
      </c>
      <c r="AL29" s="54">
        <v>6470</v>
      </c>
      <c r="AM29" s="74">
        <v>4090</v>
      </c>
      <c r="AO29" s="72">
        <v>90000</v>
      </c>
      <c r="AP29" s="73">
        <v>48.77</v>
      </c>
      <c r="AQ29" s="73">
        <v>22.11</v>
      </c>
      <c r="AR29" s="73">
        <v>19.73</v>
      </c>
      <c r="AS29" s="115">
        <v>6.92</v>
      </c>
      <c r="AT29" s="54">
        <v>7540</v>
      </c>
      <c r="AU29" s="54">
        <v>6140</v>
      </c>
      <c r="AV29" s="54">
        <v>5730</v>
      </c>
      <c r="AW29" s="74">
        <v>3530</v>
      </c>
    </row>
    <row r="30" spans="1:49" x14ac:dyDescent="0.25">
      <c r="A30" s="72">
        <v>95000</v>
      </c>
      <c r="B30" s="73">
        <v>34.619999999999997</v>
      </c>
      <c r="C30" s="73">
        <v>12.48</v>
      </c>
      <c r="D30" s="73">
        <v>18.38</v>
      </c>
      <c r="E30" s="115">
        <v>3.75</v>
      </c>
      <c r="F30" s="54">
        <v>8760</v>
      </c>
      <c r="G30" s="54">
        <v>3130</v>
      </c>
      <c r="H30" s="54">
        <v>7230</v>
      </c>
      <c r="I30" s="74">
        <v>2550</v>
      </c>
      <c r="K30" s="72">
        <v>95000</v>
      </c>
      <c r="L30" s="73">
        <v>34.03</v>
      </c>
      <c r="M30" s="73">
        <v>12.02</v>
      </c>
      <c r="N30" s="73">
        <v>17.88</v>
      </c>
      <c r="O30" s="115">
        <v>4.13</v>
      </c>
      <c r="P30" s="54">
        <v>9040</v>
      </c>
      <c r="Q30" s="54">
        <v>3060</v>
      </c>
      <c r="R30" s="54">
        <v>7200</v>
      </c>
      <c r="S30" s="74">
        <v>3440</v>
      </c>
      <c r="U30" s="72">
        <v>95000</v>
      </c>
      <c r="V30" s="73">
        <v>33.450000000000003</v>
      </c>
      <c r="W30" s="73">
        <v>11.99</v>
      </c>
      <c r="X30" s="73">
        <v>17.07</v>
      </c>
      <c r="Y30" s="115">
        <v>4.3899999999999997</v>
      </c>
      <c r="Z30" s="54">
        <v>8870</v>
      </c>
      <c r="AA30" s="54">
        <v>2950</v>
      </c>
      <c r="AB30" s="54">
        <v>6870</v>
      </c>
      <c r="AC30" s="74">
        <v>4020</v>
      </c>
      <c r="AE30" s="72">
        <v>95000</v>
      </c>
      <c r="AF30" s="73">
        <v>35.880000000000003</v>
      </c>
      <c r="AG30" s="73">
        <v>14.2</v>
      </c>
      <c r="AH30" s="73">
        <v>16.86</v>
      </c>
      <c r="AI30" s="115">
        <v>4.82</v>
      </c>
      <c r="AJ30" s="54">
        <v>8140</v>
      </c>
      <c r="AK30" s="54">
        <v>2770</v>
      </c>
      <c r="AL30" s="54">
        <v>6170</v>
      </c>
      <c r="AM30" s="74">
        <v>4050</v>
      </c>
      <c r="AO30" s="72">
        <v>95000</v>
      </c>
      <c r="AP30" s="73">
        <v>40.549999999999997</v>
      </c>
      <c r="AQ30" s="73">
        <v>16.989999999999998</v>
      </c>
      <c r="AR30" s="73">
        <v>18.420000000000002</v>
      </c>
      <c r="AS30" s="115">
        <v>5.12</v>
      </c>
      <c r="AT30" s="54">
        <v>7570</v>
      </c>
      <c r="AU30" s="54">
        <v>3080</v>
      </c>
      <c r="AV30" s="54">
        <v>5750</v>
      </c>
      <c r="AW30" s="74">
        <v>3680</v>
      </c>
    </row>
    <row r="31" spans="1:49" x14ac:dyDescent="0.25">
      <c r="A31" s="72">
        <v>100000</v>
      </c>
      <c r="B31" s="73">
        <v>24.98</v>
      </c>
      <c r="C31" s="73">
        <v>8.7799999999999994</v>
      </c>
      <c r="D31" s="73">
        <v>12.56</v>
      </c>
      <c r="E31" s="115">
        <v>3.63</v>
      </c>
      <c r="F31" s="54">
        <v>8340</v>
      </c>
      <c r="G31" s="54">
        <v>2960</v>
      </c>
      <c r="H31" s="54">
        <v>6670</v>
      </c>
      <c r="I31" s="74">
        <v>2580</v>
      </c>
      <c r="K31" s="72">
        <v>100000</v>
      </c>
      <c r="L31" s="73">
        <v>24.85</v>
      </c>
      <c r="M31" s="73">
        <v>8.89</v>
      </c>
      <c r="N31" s="73">
        <v>12.44</v>
      </c>
      <c r="O31" s="115">
        <v>3.51</v>
      </c>
      <c r="P31" s="54">
        <v>8460</v>
      </c>
      <c r="Q31" s="54">
        <v>2940</v>
      </c>
      <c r="R31" s="54">
        <v>6850</v>
      </c>
      <c r="S31" s="74">
        <v>2790</v>
      </c>
      <c r="U31" s="72">
        <v>100000</v>
      </c>
      <c r="V31" s="73">
        <v>24.33</v>
      </c>
      <c r="W31" s="73">
        <v>8.74</v>
      </c>
      <c r="X31" s="73">
        <v>12.07</v>
      </c>
      <c r="Y31" s="115">
        <v>3.51</v>
      </c>
      <c r="Z31" s="54">
        <v>8230</v>
      </c>
      <c r="AA31" s="54">
        <v>2830</v>
      </c>
      <c r="AB31" s="54">
        <v>6650</v>
      </c>
      <c r="AC31" s="74">
        <v>2800</v>
      </c>
      <c r="AE31" s="72">
        <v>100000</v>
      </c>
      <c r="AF31" s="73">
        <v>26.59</v>
      </c>
      <c r="AG31" s="73">
        <v>10.79</v>
      </c>
      <c r="AH31" s="73">
        <v>12.26</v>
      </c>
      <c r="AI31" s="115">
        <v>3.54</v>
      </c>
      <c r="AJ31" s="54">
        <v>7690</v>
      </c>
      <c r="AK31" s="54">
        <v>2660</v>
      </c>
      <c r="AL31" s="54">
        <v>6200</v>
      </c>
      <c r="AM31" s="74">
        <v>2670</v>
      </c>
      <c r="AO31" s="72">
        <v>100000</v>
      </c>
      <c r="AP31" s="73">
        <v>29.98</v>
      </c>
      <c r="AQ31" s="73">
        <v>12.86</v>
      </c>
      <c r="AR31" s="73">
        <v>13.59</v>
      </c>
      <c r="AS31" s="115">
        <v>3.52</v>
      </c>
      <c r="AT31" s="54">
        <v>7010</v>
      </c>
      <c r="AU31" s="54">
        <v>2470</v>
      </c>
      <c r="AV31" s="54">
        <v>5500</v>
      </c>
      <c r="AW31" s="74">
        <v>2700</v>
      </c>
    </row>
    <row r="32" spans="1:49" x14ac:dyDescent="0.25">
      <c r="A32" s="72">
        <v>105000</v>
      </c>
      <c r="B32" s="73">
        <v>17.64</v>
      </c>
      <c r="C32" s="73">
        <v>5.16</v>
      </c>
      <c r="D32" s="73">
        <v>9.1199999999999992</v>
      </c>
      <c r="E32" s="115">
        <v>3.36</v>
      </c>
      <c r="F32" s="54">
        <v>4930</v>
      </c>
      <c r="G32" s="54">
        <v>2390</v>
      </c>
      <c r="H32" s="54">
        <v>2830</v>
      </c>
      <c r="I32" s="74">
        <v>2530</v>
      </c>
      <c r="K32" s="72">
        <v>105000</v>
      </c>
      <c r="L32" s="73">
        <v>18.03</v>
      </c>
      <c r="M32" s="73">
        <v>5.32</v>
      </c>
      <c r="N32" s="73">
        <v>9.36</v>
      </c>
      <c r="O32" s="115">
        <v>3.34</v>
      </c>
      <c r="P32" s="54">
        <v>5170</v>
      </c>
      <c r="Q32" s="54">
        <v>2500</v>
      </c>
      <c r="R32" s="54">
        <v>2990</v>
      </c>
      <c r="S32" s="74">
        <v>2720</v>
      </c>
      <c r="U32" s="72">
        <v>105000</v>
      </c>
      <c r="V32" s="73">
        <v>17.600000000000001</v>
      </c>
      <c r="W32" s="73">
        <v>5.35</v>
      </c>
      <c r="X32" s="73">
        <v>8.92</v>
      </c>
      <c r="Y32" s="115">
        <v>3.33</v>
      </c>
      <c r="Z32" s="54">
        <v>5250</v>
      </c>
      <c r="AA32" s="54">
        <v>2430</v>
      </c>
      <c r="AB32" s="54">
        <v>3060</v>
      </c>
      <c r="AC32" s="74">
        <v>2830</v>
      </c>
      <c r="AE32" s="72">
        <v>105000</v>
      </c>
      <c r="AF32" s="73">
        <v>19.45</v>
      </c>
      <c r="AG32" s="73">
        <v>7.66</v>
      </c>
      <c r="AH32" s="73">
        <v>8.4</v>
      </c>
      <c r="AI32" s="115">
        <v>3.38</v>
      </c>
      <c r="AJ32" s="54">
        <v>5270</v>
      </c>
      <c r="AK32" s="54">
        <v>2520</v>
      </c>
      <c r="AL32" s="54">
        <v>3370</v>
      </c>
      <c r="AM32" s="74">
        <v>2570</v>
      </c>
      <c r="AO32" s="72">
        <v>105000</v>
      </c>
      <c r="AP32" s="73">
        <v>22.3</v>
      </c>
      <c r="AQ32" s="73">
        <v>9.75</v>
      </c>
      <c r="AR32" s="73">
        <v>9.16</v>
      </c>
      <c r="AS32" s="115">
        <v>3.38</v>
      </c>
      <c r="AT32" s="54">
        <v>6530</v>
      </c>
      <c r="AU32" s="54">
        <v>2360</v>
      </c>
      <c r="AV32" s="54">
        <v>5110</v>
      </c>
      <c r="AW32" s="74">
        <v>2330</v>
      </c>
    </row>
    <row r="33" spans="1:49" x14ac:dyDescent="0.25">
      <c r="A33" s="72">
        <v>110000</v>
      </c>
      <c r="B33" s="73">
        <v>13.57</v>
      </c>
      <c r="C33" s="73">
        <v>3.44</v>
      </c>
      <c r="D33" s="73">
        <v>7.15</v>
      </c>
      <c r="E33" s="115">
        <v>2.99</v>
      </c>
      <c r="F33" s="54">
        <v>4300</v>
      </c>
      <c r="G33" s="54">
        <v>840</v>
      </c>
      <c r="H33" s="54">
        <v>2380</v>
      </c>
      <c r="I33" s="74">
        <v>2270</v>
      </c>
      <c r="K33" s="72">
        <v>110000</v>
      </c>
      <c r="L33" s="73">
        <v>13.38</v>
      </c>
      <c r="M33" s="73">
        <v>3.49</v>
      </c>
      <c r="N33" s="73">
        <v>6.98</v>
      </c>
      <c r="O33" s="115">
        <v>2.9</v>
      </c>
      <c r="P33" s="54">
        <v>4490</v>
      </c>
      <c r="Q33" s="54">
        <v>900</v>
      </c>
      <c r="R33" s="54">
        <v>2330</v>
      </c>
      <c r="S33" s="74">
        <v>2490</v>
      </c>
      <c r="U33" s="72">
        <v>110000</v>
      </c>
      <c r="V33" s="73">
        <v>13.58</v>
      </c>
      <c r="W33" s="73">
        <v>3.25</v>
      </c>
      <c r="X33" s="73">
        <v>7.25</v>
      </c>
      <c r="Y33" s="115">
        <v>3.08</v>
      </c>
      <c r="Z33" s="54">
        <v>4780</v>
      </c>
      <c r="AA33" s="54">
        <v>870</v>
      </c>
      <c r="AB33" s="54">
        <v>2450</v>
      </c>
      <c r="AC33" s="74">
        <v>2790</v>
      </c>
      <c r="AE33" s="72">
        <v>110000</v>
      </c>
      <c r="AF33" s="73">
        <v>15.13</v>
      </c>
      <c r="AG33" s="73">
        <v>4.4000000000000004</v>
      </c>
      <c r="AH33" s="73">
        <v>7.48</v>
      </c>
      <c r="AI33" s="115">
        <v>3.24</v>
      </c>
      <c r="AJ33" s="54">
        <v>4480</v>
      </c>
      <c r="AK33" s="54">
        <v>1600</v>
      </c>
      <c r="AL33" s="54">
        <v>2300</v>
      </c>
      <c r="AM33" s="74">
        <v>2640</v>
      </c>
      <c r="AO33" s="72">
        <v>110000</v>
      </c>
      <c r="AP33" s="73">
        <v>16.809999999999999</v>
      </c>
      <c r="AQ33" s="73">
        <v>6.57</v>
      </c>
      <c r="AR33" s="73">
        <v>7.06</v>
      </c>
      <c r="AS33" s="115">
        <v>3.18</v>
      </c>
      <c r="AT33" s="54">
        <v>4010</v>
      </c>
      <c r="AU33" s="54">
        <v>2180</v>
      </c>
      <c r="AV33" s="54">
        <v>2130</v>
      </c>
      <c r="AW33" s="74">
        <v>2290</v>
      </c>
    </row>
    <row r="34" spans="1:49" x14ac:dyDescent="0.25">
      <c r="A34" s="72">
        <v>115000</v>
      </c>
      <c r="B34" s="73">
        <v>10.16</v>
      </c>
      <c r="C34" s="73">
        <v>2.42</v>
      </c>
      <c r="D34" s="73">
        <v>4.96</v>
      </c>
      <c r="E34" s="115">
        <v>2.78</v>
      </c>
      <c r="F34" s="54">
        <v>3980</v>
      </c>
      <c r="G34" s="54">
        <v>750</v>
      </c>
      <c r="H34" s="54">
        <v>2190</v>
      </c>
      <c r="I34" s="74">
        <v>2100</v>
      </c>
      <c r="K34" s="72">
        <v>115000</v>
      </c>
      <c r="L34" s="73">
        <v>10.1</v>
      </c>
      <c r="M34" s="73">
        <v>2.4</v>
      </c>
      <c r="N34" s="73">
        <v>4.9800000000000004</v>
      </c>
      <c r="O34" s="115">
        <v>2.71</v>
      </c>
      <c r="P34" s="54">
        <v>4250</v>
      </c>
      <c r="Q34" s="54">
        <v>780</v>
      </c>
      <c r="R34" s="54">
        <v>2240</v>
      </c>
      <c r="S34" s="74">
        <v>2310</v>
      </c>
      <c r="U34" s="72">
        <v>115000</v>
      </c>
      <c r="V34" s="73">
        <v>10.42</v>
      </c>
      <c r="W34" s="73">
        <v>2.56</v>
      </c>
      <c r="X34" s="73">
        <v>4.92</v>
      </c>
      <c r="Y34" s="115">
        <v>2.93</v>
      </c>
      <c r="Z34" s="54">
        <v>4500</v>
      </c>
      <c r="AA34" s="54">
        <v>770</v>
      </c>
      <c r="AB34" s="54">
        <v>2270</v>
      </c>
      <c r="AC34" s="74">
        <v>2630</v>
      </c>
      <c r="AE34" s="72">
        <v>115000</v>
      </c>
      <c r="AF34" s="73">
        <v>12.24</v>
      </c>
      <c r="AG34" s="73">
        <v>3.41</v>
      </c>
      <c r="AH34" s="73">
        <v>5.66</v>
      </c>
      <c r="AI34" s="115">
        <v>3.16</v>
      </c>
      <c r="AJ34" s="54">
        <v>4300</v>
      </c>
      <c r="AK34" s="54">
        <v>800</v>
      </c>
      <c r="AL34" s="54">
        <v>2160</v>
      </c>
      <c r="AM34" s="74">
        <v>2560</v>
      </c>
      <c r="AO34" s="72">
        <v>115000</v>
      </c>
      <c r="AP34" s="73">
        <v>14.51</v>
      </c>
      <c r="AQ34" s="73">
        <v>4.7300000000000004</v>
      </c>
      <c r="AR34" s="73">
        <v>6.67</v>
      </c>
      <c r="AS34" s="115">
        <v>3.11</v>
      </c>
      <c r="AT34" s="54">
        <v>4010</v>
      </c>
      <c r="AU34" s="54">
        <v>1420</v>
      </c>
      <c r="AV34" s="54">
        <v>2040</v>
      </c>
      <c r="AW34" s="74">
        <v>2370</v>
      </c>
    </row>
    <row r="35" spans="1:49" x14ac:dyDescent="0.25">
      <c r="A35" s="72">
        <v>120000</v>
      </c>
      <c r="B35" s="73">
        <v>6.97</v>
      </c>
      <c r="C35" s="73">
        <v>1.48</v>
      </c>
      <c r="D35" s="73">
        <v>2.81</v>
      </c>
      <c r="E35" s="115">
        <v>2.67</v>
      </c>
      <c r="F35" s="54">
        <v>3570</v>
      </c>
      <c r="G35" s="54">
        <v>620</v>
      </c>
      <c r="H35" s="54">
        <v>1740</v>
      </c>
      <c r="I35" s="74">
        <v>2060</v>
      </c>
      <c r="K35" s="72">
        <v>120000</v>
      </c>
      <c r="L35" s="73">
        <v>7.49</v>
      </c>
      <c r="M35" s="73">
        <v>1.73</v>
      </c>
      <c r="N35" s="73">
        <v>3.05</v>
      </c>
      <c r="O35" s="115">
        <v>2.71</v>
      </c>
      <c r="P35" s="54">
        <v>3900</v>
      </c>
      <c r="Q35" s="54">
        <v>730</v>
      </c>
      <c r="R35" s="54">
        <v>1830</v>
      </c>
      <c r="S35" s="74">
        <v>2340</v>
      </c>
      <c r="U35" s="72">
        <v>120000</v>
      </c>
      <c r="V35" s="73">
        <v>7.57</v>
      </c>
      <c r="W35" s="73">
        <v>1.71</v>
      </c>
      <c r="X35" s="73">
        <v>3.14</v>
      </c>
      <c r="Y35" s="115">
        <v>2.72</v>
      </c>
      <c r="Z35" s="54">
        <v>4150</v>
      </c>
      <c r="AA35" s="54">
        <v>750</v>
      </c>
      <c r="AB35" s="54">
        <v>1960</v>
      </c>
      <c r="AC35" s="74">
        <v>2560</v>
      </c>
      <c r="AE35" s="72">
        <v>120000</v>
      </c>
      <c r="AF35" s="73">
        <v>9.16</v>
      </c>
      <c r="AG35" s="73">
        <v>2.4300000000000002</v>
      </c>
      <c r="AH35" s="73">
        <v>3.73</v>
      </c>
      <c r="AI35" s="115">
        <v>2.99</v>
      </c>
      <c r="AJ35" s="54">
        <v>4190</v>
      </c>
      <c r="AK35" s="54">
        <v>720</v>
      </c>
      <c r="AL35" s="54">
        <v>2100</v>
      </c>
      <c r="AM35" s="74">
        <v>2490</v>
      </c>
      <c r="AO35" s="72">
        <v>120000</v>
      </c>
      <c r="AP35" s="73">
        <v>10.79</v>
      </c>
      <c r="AQ35" s="73">
        <v>3.14</v>
      </c>
      <c r="AR35" s="73">
        <v>4.88</v>
      </c>
      <c r="AS35" s="115">
        <v>2.77</v>
      </c>
      <c r="AT35" s="54">
        <v>3730</v>
      </c>
      <c r="AU35" s="54">
        <v>700</v>
      </c>
      <c r="AV35" s="54">
        <v>1870</v>
      </c>
      <c r="AW35" s="74">
        <v>2180</v>
      </c>
    </row>
    <row r="36" spans="1:49" x14ac:dyDescent="0.25">
      <c r="A36" s="72">
        <v>125000</v>
      </c>
      <c r="B36" s="73">
        <v>5.46</v>
      </c>
      <c r="C36" s="73">
        <v>0.94</v>
      </c>
      <c r="D36" s="73">
        <v>2.0699999999999998</v>
      </c>
      <c r="E36" s="115">
        <v>2.44</v>
      </c>
      <c r="F36" s="54">
        <v>2410</v>
      </c>
      <c r="G36" s="54">
        <v>460</v>
      </c>
      <c r="H36" s="54">
        <v>580</v>
      </c>
      <c r="I36" s="74">
        <v>1910</v>
      </c>
      <c r="K36" s="72">
        <v>125000</v>
      </c>
      <c r="L36" s="73">
        <v>5.2</v>
      </c>
      <c r="M36" s="73">
        <v>0.82</v>
      </c>
      <c r="N36" s="73">
        <v>2.0099999999999998</v>
      </c>
      <c r="O36" s="115">
        <v>2.36</v>
      </c>
      <c r="P36" s="54">
        <v>2620</v>
      </c>
      <c r="Q36" s="54">
        <v>470</v>
      </c>
      <c r="R36" s="54">
        <v>580</v>
      </c>
      <c r="S36" s="74">
        <v>2100</v>
      </c>
      <c r="U36" s="72">
        <v>125000</v>
      </c>
      <c r="V36" s="73">
        <v>5.75</v>
      </c>
      <c r="W36" s="73">
        <v>1.04</v>
      </c>
      <c r="X36" s="73">
        <v>2.2200000000000002</v>
      </c>
      <c r="Y36" s="115">
        <v>2.48</v>
      </c>
      <c r="Z36" s="54">
        <v>2870</v>
      </c>
      <c r="AA36" s="54">
        <v>520</v>
      </c>
      <c r="AB36" s="54">
        <v>680</v>
      </c>
      <c r="AC36" s="74">
        <v>2320</v>
      </c>
      <c r="AE36" s="72">
        <v>125000</v>
      </c>
      <c r="AF36" s="73">
        <v>7.25</v>
      </c>
      <c r="AG36" s="73">
        <v>1.86</v>
      </c>
      <c r="AH36" s="73">
        <v>2.4700000000000002</v>
      </c>
      <c r="AI36" s="115">
        <v>2.92</v>
      </c>
      <c r="AJ36" s="54">
        <v>3290</v>
      </c>
      <c r="AK36" s="54">
        <v>700</v>
      </c>
      <c r="AL36" s="54">
        <v>1050</v>
      </c>
      <c r="AM36" s="74">
        <v>2450</v>
      </c>
      <c r="AO36" s="72">
        <v>125000</v>
      </c>
      <c r="AP36" s="73">
        <v>8.5500000000000007</v>
      </c>
      <c r="AQ36" s="73">
        <v>2.33</v>
      </c>
      <c r="AR36" s="73">
        <v>3.42</v>
      </c>
      <c r="AS36" s="115">
        <v>2.8</v>
      </c>
      <c r="AT36" s="54">
        <v>3770</v>
      </c>
      <c r="AU36" s="54">
        <v>680</v>
      </c>
      <c r="AV36" s="54">
        <v>1920</v>
      </c>
      <c r="AW36" s="74">
        <v>2140</v>
      </c>
    </row>
    <row r="37" spans="1:49" x14ac:dyDescent="0.25">
      <c r="A37" s="72">
        <v>130000</v>
      </c>
      <c r="B37" s="73">
        <v>4.43</v>
      </c>
      <c r="C37" s="73">
        <v>0.71</v>
      </c>
      <c r="D37" s="73">
        <v>1.62</v>
      </c>
      <c r="E37" s="115">
        <v>2.09</v>
      </c>
      <c r="F37" s="54">
        <v>2110</v>
      </c>
      <c r="G37" s="54">
        <v>210</v>
      </c>
      <c r="H37" s="54">
        <v>510</v>
      </c>
      <c r="I37" s="74">
        <v>1670</v>
      </c>
      <c r="K37" s="72">
        <v>130000</v>
      </c>
      <c r="L37" s="73">
        <v>4.3</v>
      </c>
      <c r="M37" s="73">
        <v>0.69</v>
      </c>
      <c r="N37" s="73">
        <v>1.49</v>
      </c>
      <c r="O37" s="115">
        <v>2.11</v>
      </c>
      <c r="P37" s="54">
        <v>2340</v>
      </c>
      <c r="Q37" s="54">
        <v>220</v>
      </c>
      <c r="R37" s="54">
        <v>470</v>
      </c>
      <c r="S37" s="74">
        <v>1910</v>
      </c>
      <c r="U37" s="72">
        <v>130000</v>
      </c>
      <c r="V37" s="73">
        <v>4.92</v>
      </c>
      <c r="W37" s="73">
        <v>0.74</v>
      </c>
      <c r="X37" s="73">
        <v>1.79</v>
      </c>
      <c r="Y37" s="115">
        <v>2.38</v>
      </c>
      <c r="Z37" s="54">
        <v>2680</v>
      </c>
      <c r="AA37" s="54">
        <v>230</v>
      </c>
      <c r="AB37" s="54">
        <v>580</v>
      </c>
      <c r="AC37" s="74">
        <v>2210</v>
      </c>
      <c r="AE37" s="72">
        <v>130000</v>
      </c>
      <c r="AF37" s="73">
        <v>5.98</v>
      </c>
      <c r="AG37" s="73">
        <v>1.1200000000000001</v>
      </c>
      <c r="AH37" s="73">
        <v>2.06</v>
      </c>
      <c r="AI37" s="115">
        <v>2.8</v>
      </c>
      <c r="AJ37" s="54">
        <v>2890</v>
      </c>
      <c r="AK37" s="54">
        <v>460</v>
      </c>
      <c r="AL37" s="54">
        <v>620</v>
      </c>
      <c r="AM37" s="74">
        <v>2400</v>
      </c>
      <c r="AO37" s="72">
        <v>130000</v>
      </c>
      <c r="AP37" s="73">
        <v>6.55</v>
      </c>
      <c r="AQ37" s="73">
        <v>1.72</v>
      </c>
      <c r="AR37" s="73">
        <v>2.04</v>
      </c>
      <c r="AS37" s="115">
        <v>2.78</v>
      </c>
      <c r="AT37" s="54">
        <v>2890</v>
      </c>
      <c r="AU37" s="54">
        <v>600</v>
      </c>
      <c r="AV37" s="54">
        <v>840</v>
      </c>
      <c r="AW37" s="74">
        <v>2190</v>
      </c>
    </row>
    <row r="38" spans="1:49" x14ac:dyDescent="0.25">
      <c r="A38" s="72">
        <v>135000</v>
      </c>
      <c r="B38" s="73">
        <v>3.32</v>
      </c>
      <c r="C38" s="73">
        <v>0.41</v>
      </c>
      <c r="D38" s="73">
        <v>1.03</v>
      </c>
      <c r="E38" s="115">
        <v>1.89</v>
      </c>
      <c r="F38" s="54">
        <v>1930</v>
      </c>
      <c r="G38" s="54">
        <v>160</v>
      </c>
      <c r="H38" s="54">
        <v>430</v>
      </c>
      <c r="I38" s="74">
        <v>1540</v>
      </c>
      <c r="J38" s="54"/>
      <c r="K38" s="72">
        <v>135000</v>
      </c>
      <c r="L38" s="73">
        <v>3.5</v>
      </c>
      <c r="M38" s="73">
        <v>0.44</v>
      </c>
      <c r="N38" s="73">
        <v>1.1000000000000001</v>
      </c>
      <c r="O38" s="115">
        <v>1.96</v>
      </c>
      <c r="P38" s="54">
        <v>2210</v>
      </c>
      <c r="Q38" s="54">
        <v>180</v>
      </c>
      <c r="R38" s="54">
        <v>450</v>
      </c>
      <c r="S38" s="74">
        <v>1800</v>
      </c>
      <c r="T38" s="54"/>
      <c r="U38" s="72">
        <v>135000</v>
      </c>
      <c r="V38" s="73">
        <v>3.88</v>
      </c>
      <c r="W38" s="73">
        <v>0.5</v>
      </c>
      <c r="X38" s="73">
        <v>1.2</v>
      </c>
      <c r="Y38" s="115">
        <v>2.1800000000000002</v>
      </c>
      <c r="Z38" s="54">
        <v>2510</v>
      </c>
      <c r="AA38" s="54">
        <v>210</v>
      </c>
      <c r="AB38" s="54">
        <v>510</v>
      </c>
      <c r="AC38" s="74">
        <v>2080</v>
      </c>
      <c r="AD38" s="54"/>
      <c r="AE38" s="72">
        <v>135000</v>
      </c>
      <c r="AF38" s="73">
        <v>4.76</v>
      </c>
      <c r="AG38" s="73">
        <v>0.73</v>
      </c>
      <c r="AH38" s="73">
        <v>1.55</v>
      </c>
      <c r="AI38" s="115">
        <v>2.4900000000000002</v>
      </c>
      <c r="AJ38" s="54">
        <v>2670</v>
      </c>
      <c r="AK38" s="54">
        <v>260</v>
      </c>
      <c r="AL38" s="54">
        <v>550</v>
      </c>
      <c r="AM38" s="74">
        <v>2190</v>
      </c>
      <c r="AO38" s="72">
        <v>135000</v>
      </c>
      <c r="AP38" s="73">
        <v>5.54</v>
      </c>
      <c r="AQ38" s="73">
        <v>1.1200000000000001</v>
      </c>
      <c r="AR38" s="73">
        <v>1.9</v>
      </c>
      <c r="AS38" s="115">
        <v>2.52</v>
      </c>
      <c r="AT38" s="54">
        <v>2470</v>
      </c>
      <c r="AU38" s="54">
        <v>480</v>
      </c>
      <c r="AV38" s="54">
        <v>560</v>
      </c>
      <c r="AW38" s="74">
        <v>2020</v>
      </c>
    </row>
    <row r="39" spans="1:49" x14ac:dyDescent="0.25">
      <c r="A39" s="72">
        <v>140000</v>
      </c>
      <c r="B39" s="73">
        <v>2.66</v>
      </c>
      <c r="C39" s="73">
        <v>0.25</v>
      </c>
      <c r="D39" s="73">
        <v>0.63</v>
      </c>
      <c r="E39" s="115">
        <v>1.79</v>
      </c>
      <c r="F39" s="54">
        <v>1780</v>
      </c>
      <c r="G39" s="54">
        <v>130</v>
      </c>
      <c r="H39" s="54">
        <v>370</v>
      </c>
      <c r="I39" s="74">
        <v>1450</v>
      </c>
      <c r="J39" s="54"/>
      <c r="K39" s="72">
        <v>140000</v>
      </c>
      <c r="L39" s="73">
        <v>2.82</v>
      </c>
      <c r="M39" s="73">
        <v>0.38</v>
      </c>
      <c r="N39" s="73">
        <v>0.65</v>
      </c>
      <c r="O39" s="115">
        <v>1.79</v>
      </c>
      <c r="P39" s="54">
        <v>2020</v>
      </c>
      <c r="Q39" s="54">
        <v>160</v>
      </c>
      <c r="R39" s="54">
        <v>390</v>
      </c>
      <c r="S39" s="74">
        <v>1650</v>
      </c>
      <c r="T39" s="54"/>
      <c r="U39" s="72">
        <v>140000</v>
      </c>
      <c r="V39" s="73">
        <v>3.16</v>
      </c>
      <c r="W39" s="73">
        <v>0.31</v>
      </c>
      <c r="X39" s="73">
        <v>0.77</v>
      </c>
      <c r="Y39" s="115">
        <v>2.0699999999999998</v>
      </c>
      <c r="Z39" s="54">
        <v>2420</v>
      </c>
      <c r="AA39" s="54">
        <v>190</v>
      </c>
      <c r="AB39" s="54">
        <v>450</v>
      </c>
      <c r="AC39" s="74">
        <v>2040</v>
      </c>
      <c r="AD39" s="54"/>
      <c r="AE39" s="72">
        <v>140000</v>
      </c>
      <c r="AF39" s="73">
        <v>4.21</v>
      </c>
      <c r="AG39" s="73">
        <v>0.57999999999999996</v>
      </c>
      <c r="AH39" s="73">
        <v>1.2</v>
      </c>
      <c r="AI39" s="115">
        <v>2.41</v>
      </c>
      <c r="AJ39" s="54">
        <v>2560</v>
      </c>
      <c r="AK39" s="54">
        <v>220</v>
      </c>
      <c r="AL39" s="54">
        <v>550</v>
      </c>
      <c r="AM39" s="74">
        <v>2100</v>
      </c>
      <c r="AO39" s="72">
        <v>140000</v>
      </c>
      <c r="AP39" s="73">
        <v>4.6399999999999997</v>
      </c>
      <c r="AQ39" s="73">
        <v>0.85</v>
      </c>
      <c r="AR39" s="73">
        <v>1.48</v>
      </c>
      <c r="AS39" s="115">
        <v>2.31</v>
      </c>
      <c r="AT39" s="54">
        <v>2360</v>
      </c>
      <c r="AU39" s="54">
        <v>240</v>
      </c>
      <c r="AV39" s="54">
        <v>500</v>
      </c>
      <c r="AW39" s="74">
        <v>1940</v>
      </c>
    </row>
    <row r="40" spans="1:49" x14ac:dyDescent="0.25">
      <c r="A40" s="72">
        <v>145000</v>
      </c>
      <c r="B40" s="73">
        <v>1.98</v>
      </c>
      <c r="C40" s="73">
        <v>0.12</v>
      </c>
      <c r="D40" s="73">
        <v>0.32</v>
      </c>
      <c r="E40" s="115">
        <v>1.53</v>
      </c>
      <c r="F40" s="54">
        <v>1420</v>
      </c>
      <c r="G40" s="54">
        <v>80</v>
      </c>
      <c r="H40" s="54">
        <v>160</v>
      </c>
      <c r="I40" s="74">
        <v>1270</v>
      </c>
      <c r="J40" s="54"/>
      <c r="K40" s="72">
        <v>145000</v>
      </c>
      <c r="L40" s="73">
        <v>2.15</v>
      </c>
      <c r="M40" s="73">
        <v>0.17</v>
      </c>
      <c r="N40" s="73">
        <v>0.38</v>
      </c>
      <c r="O40" s="115">
        <v>1.59</v>
      </c>
      <c r="P40" s="54">
        <v>1660</v>
      </c>
      <c r="Q40" s="54">
        <v>110</v>
      </c>
      <c r="R40" s="54">
        <v>190</v>
      </c>
      <c r="S40" s="74">
        <v>1490</v>
      </c>
      <c r="T40" s="54"/>
      <c r="U40" s="72">
        <v>145000</v>
      </c>
      <c r="V40" s="73">
        <v>2.38</v>
      </c>
      <c r="W40" s="73">
        <v>0.17</v>
      </c>
      <c r="X40" s="73">
        <v>0.38</v>
      </c>
      <c r="Y40" s="115">
        <v>1.84</v>
      </c>
      <c r="Z40" s="54">
        <v>1950</v>
      </c>
      <c r="AA40" s="54">
        <v>90</v>
      </c>
      <c r="AB40" s="54">
        <v>210</v>
      </c>
      <c r="AC40" s="74">
        <v>1780</v>
      </c>
      <c r="AD40" s="54"/>
      <c r="AE40" s="72">
        <v>145000</v>
      </c>
      <c r="AF40" s="73">
        <v>3.15</v>
      </c>
      <c r="AG40" s="73">
        <v>0.28999999999999998</v>
      </c>
      <c r="AH40" s="73">
        <v>0.59</v>
      </c>
      <c r="AI40" s="115">
        <v>2.27</v>
      </c>
      <c r="AJ40" s="54">
        <v>2410</v>
      </c>
      <c r="AK40" s="54">
        <v>160</v>
      </c>
      <c r="AL40" s="54">
        <v>440</v>
      </c>
      <c r="AM40" s="74">
        <v>2050</v>
      </c>
      <c r="AO40" s="72">
        <v>145000</v>
      </c>
      <c r="AP40" s="73">
        <v>4.21</v>
      </c>
      <c r="AQ40" s="73">
        <v>0.68</v>
      </c>
      <c r="AR40" s="73">
        <v>1.1399999999999999</v>
      </c>
      <c r="AS40" s="115">
        <v>2.39</v>
      </c>
      <c r="AT40" s="54">
        <v>2350</v>
      </c>
      <c r="AU40" s="54">
        <v>210</v>
      </c>
      <c r="AV40" s="54">
        <v>470</v>
      </c>
      <c r="AW40" s="74">
        <v>1950</v>
      </c>
    </row>
    <row r="41" spans="1:49" x14ac:dyDescent="0.25">
      <c r="A41" s="72">
        <v>150000</v>
      </c>
      <c r="B41" s="73">
        <v>1.74</v>
      </c>
      <c r="C41" s="73">
        <v>0.12</v>
      </c>
      <c r="D41" s="73">
        <v>0.28000000000000003</v>
      </c>
      <c r="E41" s="115">
        <v>1.34</v>
      </c>
      <c r="F41" s="54">
        <v>1220</v>
      </c>
      <c r="G41" s="54">
        <v>60</v>
      </c>
      <c r="H41" s="54">
        <v>100</v>
      </c>
      <c r="I41" s="74">
        <v>1120</v>
      </c>
      <c r="J41" s="54"/>
      <c r="K41" s="72">
        <v>150000</v>
      </c>
      <c r="L41" s="73">
        <v>1.91</v>
      </c>
      <c r="M41" s="73">
        <v>0.16</v>
      </c>
      <c r="N41" s="73">
        <v>0.32</v>
      </c>
      <c r="O41" s="115">
        <v>1.43</v>
      </c>
      <c r="P41" s="54">
        <v>1470</v>
      </c>
      <c r="Q41" s="54">
        <v>60</v>
      </c>
      <c r="R41" s="54">
        <v>110</v>
      </c>
      <c r="S41" s="74">
        <v>1370</v>
      </c>
      <c r="T41" s="54"/>
      <c r="U41" s="72">
        <v>150000</v>
      </c>
      <c r="V41" s="73">
        <v>2.02</v>
      </c>
      <c r="W41" s="73">
        <v>0.15</v>
      </c>
      <c r="X41" s="73">
        <v>0.28999999999999998</v>
      </c>
      <c r="Y41" s="115">
        <v>1.59</v>
      </c>
      <c r="Z41" s="54">
        <v>1710</v>
      </c>
      <c r="AA41" s="54">
        <v>60</v>
      </c>
      <c r="AB41" s="54">
        <v>130</v>
      </c>
      <c r="AC41" s="74">
        <v>1620</v>
      </c>
      <c r="AD41" s="54"/>
      <c r="AE41" s="72">
        <v>150000</v>
      </c>
      <c r="AF41" s="73">
        <v>2.89</v>
      </c>
      <c r="AG41" s="73">
        <v>0.28000000000000003</v>
      </c>
      <c r="AH41" s="73">
        <v>0.49</v>
      </c>
      <c r="AI41" s="115">
        <v>2.12</v>
      </c>
      <c r="AJ41" s="54">
        <v>2080</v>
      </c>
      <c r="AK41" s="54">
        <v>130</v>
      </c>
      <c r="AL41" s="54">
        <v>160</v>
      </c>
      <c r="AM41" s="74">
        <v>1940</v>
      </c>
      <c r="AO41" s="72">
        <v>150000</v>
      </c>
      <c r="AP41" s="73">
        <v>3.14</v>
      </c>
      <c r="AQ41" s="73">
        <v>0.41</v>
      </c>
      <c r="AR41" s="73">
        <v>0.65</v>
      </c>
      <c r="AS41" s="115">
        <v>2.0699999999999998</v>
      </c>
      <c r="AT41" s="54">
        <v>2190</v>
      </c>
      <c r="AU41" s="54">
        <v>160</v>
      </c>
      <c r="AV41" s="54">
        <v>430</v>
      </c>
      <c r="AW41" s="74">
        <v>1820</v>
      </c>
    </row>
    <row r="42" spans="1:49" x14ac:dyDescent="0.25">
      <c r="A42" s="72">
        <v>155000</v>
      </c>
      <c r="B42" s="73">
        <v>1.59</v>
      </c>
      <c r="C42" s="73">
        <v>0.1</v>
      </c>
      <c r="D42" s="73">
        <v>0.2</v>
      </c>
      <c r="E42" s="115">
        <v>1.3</v>
      </c>
      <c r="F42" s="54">
        <v>1140</v>
      </c>
      <c r="G42" s="54">
        <v>50</v>
      </c>
      <c r="H42" s="54">
        <v>80</v>
      </c>
      <c r="I42" s="74">
        <v>1070</v>
      </c>
      <c r="J42" s="54"/>
      <c r="K42" s="72">
        <v>155000</v>
      </c>
      <c r="L42" s="73">
        <v>1.48</v>
      </c>
      <c r="M42" s="73">
        <v>7.0000000000000007E-2</v>
      </c>
      <c r="N42" s="73">
        <v>0.14000000000000001</v>
      </c>
      <c r="O42" s="115">
        <v>1.27</v>
      </c>
      <c r="P42" s="54">
        <v>1260</v>
      </c>
      <c r="Q42" s="54">
        <v>40</v>
      </c>
      <c r="R42" s="54">
        <v>70</v>
      </c>
      <c r="S42" s="74">
        <v>1210</v>
      </c>
      <c r="T42" s="54"/>
      <c r="U42" s="72">
        <v>155000</v>
      </c>
      <c r="V42" s="73">
        <v>1.8</v>
      </c>
      <c r="W42" s="73">
        <v>0.08</v>
      </c>
      <c r="X42" s="73">
        <v>0.27</v>
      </c>
      <c r="Y42" s="115">
        <v>1.44</v>
      </c>
      <c r="Z42" s="54">
        <v>1540</v>
      </c>
      <c r="AA42" s="54">
        <v>50</v>
      </c>
      <c r="AB42" s="54">
        <v>100</v>
      </c>
      <c r="AC42" s="74">
        <v>1450</v>
      </c>
      <c r="AD42" s="54"/>
      <c r="AE42" s="72">
        <v>155000</v>
      </c>
      <c r="AF42" s="73">
        <v>2.3199999999999998</v>
      </c>
      <c r="AG42" s="73">
        <v>0.17</v>
      </c>
      <c r="AH42" s="73">
        <v>0.31</v>
      </c>
      <c r="AI42" s="115">
        <v>1.84</v>
      </c>
      <c r="AJ42" s="54">
        <v>1750</v>
      </c>
      <c r="AK42" s="54">
        <v>70</v>
      </c>
      <c r="AL42" s="54">
        <v>120</v>
      </c>
      <c r="AM42" s="74">
        <v>1650</v>
      </c>
      <c r="AO42" s="72">
        <v>155000</v>
      </c>
      <c r="AP42" s="73">
        <v>2.93</v>
      </c>
      <c r="AQ42" s="73">
        <v>0.34</v>
      </c>
      <c r="AR42" s="73">
        <v>0.46</v>
      </c>
      <c r="AS42" s="115">
        <v>2.12</v>
      </c>
      <c r="AT42" s="54">
        <v>1960</v>
      </c>
      <c r="AU42" s="54">
        <v>170</v>
      </c>
      <c r="AV42" s="54">
        <v>200</v>
      </c>
      <c r="AW42" s="74">
        <v>1790</v>
      </c>
    </row>
    <row r="43" spans="1:49" x14ac:dyDescent="0.25">
      <c r="A43" s="72">
        <v>160000</v>
      </c>
      <c r="B43" s="73">
        <v>1.33</v>
      </c>
      <c r="C43" s="73">
        <v>7.0000000000000007E-2</v>
      </c>
      <c r="D43" s="73">
        <v>0.13</v>
      </c>
      <c r="E43" s="115">
        <v>1.1299999999999999</v>
      </c>
      <c r="F43" s="54">
        <v>950</v>
      </c>
      <c r="G43" s="54">
        <v>40</v>
      </c>
      <c r="H43" s="54">
        <v>50</v>
      </c>
      <c r="I43" s="74">
        <v>900</v>
      </c>
      <c r="J43" s="54"/>
      <c r="K43" s="72">
        <v>160000</v>
      </c>
      <c r="L43" s="73">
        <v>1.37</v>
      </c>
      <c r="M43" s="73">
        <v>0.09</v>
      </c>
      <c r="N43" s="73">
        <v>0.15</v>
      </c>
      <c r="O43" s="115">
        <v>1.1200000000000001</v>
      </c>
      <c r="P43" s="54">
        <v>1130</v>
      </c>
      <c r="Q43" s="54">
        <v>50</v>
      </c>
      <c r="R43" s="54">
        <v>80</v>
      </c>
      <c r="S43" s="74">
        <v>1060</v>
      </c>
      <c r="T43" s="54"/>
      <c r="U43" s="72">
        <v>160000</v>
      </c>
      <c r="V43" s="73">
        <v>1.5</v>
      </c>
      <c r="W43" s="73">
        <v>0.06</v>
      </c>
      <c r="X43" s="73">
        <v>0.14000000000000001</v>
      </c>
      <c r="Y43" s="115">
        <v>1.3</v>
      </c>
      <c r="Z43" s="54">
        <v>1400</v>
      </c>
      <c r="AA43" s="54">
        <v>40</v>
      </c>
      <c r="AB43" s="54">
        <v>70</v>
      </c>
      <c r="AC43" s="74">
        <v>1330</v>
      </c>
      <c r="AD43" s="54"/>
      <c r="AE43" s="72">
        <v>160000</v>
      </c>
      <c r="AF43" s="73">
        <v>2</v>
      </c>
      <c r="AG43" s="73">
        <v>0.12</v>
      </c>
      <c r="AH43" s="73">
        <v>0.24</v>
      </c>
      <c r="AI43" s="115">
        <v>1.63</v>
      </c>
      <c r="AJ43" s="54">
        <v>1610</v>
      </c>
      <c r="AK43" s="54">
        <v>60</v>
      </c>
      <c r="AL43" s="54">
        <v>100</v>
      </c>
      <c r="AM43" s="74">
        <v>1540</v>
      </c>
      <c r="AO43" s="72">
        <v>160000</v>
      </c>
      <c r="AP43" s="73">
        <v>2.44</v>
      </c>
      <c r="AQ43" s="73">
        <v>0.16</v>
      </c>
      <c r="AR43" s="73">
        <v>0.32</v>
      </c>
      <c r="AS43" s="115">
        <v>1.96</v>
      </c>
      <c r="AT43" s="54">
        <v>1750</v>
      </c>
      <c r="AU43" s="54">
        <v>70</v>
      </c>
      <c r="AV43" s="54">
        <v>120</v>
      </c>
      <c r="AW43" s="74">
        <v>1660</v>
      </c>
    </row>
    <row r="44" spans="1:49" x14ac:dyDescent="0.25">
      <c r="A44" s="72">
        <v>165000</v>
      </c>
      <c r="B44" s="73">
        <v>1.1000000000000001</v>
      </c>
      <c r="C44" s="73">
        <v>0.03</v>
      </c>
      <c r="D44" s="73">
        <v>0.04</v>
      </c>
      <c r="E44" s="115">
        <v>1.03</v>
      </c>
      <c r="F44" s="54">
        <v>870</v>
      </c>
      <c r="G44" s="54">
        <v>30</v>
      </c>
      <c r="H44" s="54">
        <v>30</v>
      </c>
      <c r="I44" s="74">
        <v>840</v>
      </c>
      <c r="J44" s="54"/>
      <c r="K44" s="72">
        <v>165000</v>
      </c>
      <c r="L44" s="73">
        <v>1.22</v>
      </c>
      <c r="M44" s="73">
        <v>7.0000000000000007E-2</v>
      </c>
      <c r="N44" s="73">
        <v>0.08</v>
      </c>
      <c r="O44" s="115">
        <v>1.08</v>
      </c>
      <c r="P44" s="54">
        <v>1030</v>
      </c>
      <c r="Q44" s="54">
        <v>40</v>
      </c>
      <c r="R44" s="54">
        <v>50</v>
      </c>
      <c r="S44" s="74">
        <v>990</v>
      </c>
      <c r="T44" s="54"/>
      <c r="U44" s="72">
        <v>165000</v>
      </c>
      <c r="V44" s="73">
        <v>1.32</v>
      </c>
      <c r="W44" s="73">
        <v>0.06</v>
      </c>
      <c r="X44" s="73">
        <v>0.08</v>
      </c>
      <c r="Y44" s="115">
        <v>1.18</v>
      </c>
      <c r="Z44" s="54">
        <v>1270</v>
      </c>
      <c r="AA44" s="54">
        <v>20</v>
      </c>
      <c r="AB44" s="54">
        <v>50</v>
      </c>
      <c r="AC44" s="74">
        <v>1220</v>
      </c>
      <c r="AD44" s="54"/>
      <c r="AE44" s="72">
        <v>165000</v>
      </c>
      <c r="AF44" s="73">
        <v>1.86</v>
      </c>
      <c r="AG44" s="73">
        <v>0.11</v>
      </c>
      <c r="AH44" s="73">
        <v>0.15</v>
      </c>
      <c r="AI44" s="115">
        <v>1.6</v>
      </c>
      <c r="AJ44" s="54">
        <v>1520</v>
      </c>
      <c r="AK44" s="54">
        <v>50</v>
      </c>
      <c r="AL44" s="54">
        <v>80</v>
      </c>
      <c r="AM44" s="74">
        <v>1450</v>
      </c>
      <c r="AO44" s="72">
        <v>165000</v>
      </c>
      <c r="AP44" s="73">
        <v>2.13</v>
      </c>
      <c r="AQ44" s="73">
        <v>0.18</v>
      </c>
      <c r="AR44" s="73">
        <v>0.26</v>
      </c>
      <c r="AS44" s="115">
        <v>1.69</v>
      </c>
      <c r="AT44" s="54">
        <v>1540</v>
      </c>
      <c r="AU44" s="54">
        <v>80</v>
      </c>
      <c r="AV44" s="54">
        <v>100</v>
      </c>
      <c r="AW44" s="74">
        <v>1450</v>
      </c>
    </row>
    <row r="45" spans="1:49" x14ac:dyDescent="0.25">
      <c r="A45" s="72">
        <v>170000</v>
      </c>
      <c r="B45" s="73">
        <v>0.96</v>
      </c>
      <c r="C45" s="73">
        <v>0.04</v>
      </c>
      <c r="D45" s="73">
        <v>0.05</v>
      </c>
      <c r="E45" s="115">
        <v>0.87</v>
      </c>
      <c r="F45" s="54">
        <v>740</v>
      </c>
      <c r="G45" s="54">
        <v>30</v>
      </c>
      <c r="H45" s="54">
        <v>30</v>
      </c>
      <c r="I45" s="74">
        <v>710</v>
      </c>
      <c r="J45" s="54"/>
      <c r="K45" s="72">
        <v>170000</v>
      </c>
      <c r="L45" s="73">
        <v>0.99</v>
      </c>
      <c r="M45" s="73">
        <v>0.04</v>
      </c>
      <c r="N45" s="73">
        <v>0.05</v>
      </c>
      <c r="O45" s="115">
        <v>0.9</v>
      </c>
      <c r="P45" s="54">
        <v>890</v>
      </c>
      <c r="Q45" s="54">
        <v>30</v>
      </c>
      <c r="R45" s="54">
        <v>20</v>
      </c>
      <c r="S45" s="74">
        <v>860</v>
      </c>
      <c r="T45" s="54"/>
      <c r="U45" s="72">
        <v>170000</v>
      </c>
      <c r="V45" s="73">
        <v>1.17</v>
      </c>
      <c r="W45" s="73">
        <v>0.05</v>
      </c>
      <c r="X45" s="73">
        <v>0.05</v>
      </c>
      <c r="Y45" s="115">
        <v>1.06</v>
      </c>
      <c r="Z45" s="54">
        <v>1090</v>
      </c>
      <c r="AA45" s="54">
        <v>30</v>
      </c>
      <c r="AB45" s="54">
        <v>30</v>
      </c>
      <c r="AC45" s="74">
        <v>1070</v>
      </c>
      <c r="AD45" s="54"/>
      <c r="AE45" s="72">
        <v>170000</v>
      </c>
      <c r="AF45" s="73">
        <v>1.48</v>
      </c>
      <c r="AG45" s="73">
        <v>0.06</v>
      </c>
      <c r="AH45" s="73">
        <v>0.06</v>
      </c>
      <c r="AI45" s="115">
        <v>1.35</v>
      </c>
      <c r="AJ45" s="54">
        <v>1340</v>
      </c>
      <c r="AK45" s="54">
        <v>40</v>
      </c>
      <c r="AL45" s="54">
        <v>50</v>
      </c>
      <c r="AM45" s="74">
        <v>1290</v>
      </c>
      <c r="AO45" s="72">
        <v>170000</v>
      </c>
      <c r="AP45" s="73">
        <v>1.84</v>
      </c>
      <c r="AQ45" s="73">
        <v>0.11</v>
      </c>
      <c r="AR45" s="73">
        <v>0.16</v>
      </c>
      <c r="AS45" s="115">
        <v>1.58</v>
      </c>
      <c r="AT45" s="54">
        <v>1440</v>
      </c>
      <c r="AU45" s="54">
        <v>50</v>
      </c>
      <c r="AV45" s="54">
        <v>90</v>
      </c>
      <c r="AW45" s="74">
        <v>1360</v>
      </c>
    </row>
    <row r="46" spans="1:49" x14ac:dyDescent="0.25">
      <c r="A46" s="72">
        <v>175000</v>
      </c>
      <c r="B46" s="73">
        <v>0.86</v>
      </c>
      <c r="C46" s="73">
        <v>0.03</v>
      </c>
      <c r="D46" s="73">
        <v>0.04</v>
      </c>
      <c r="E46" s="115">
        <v>0.79</v>
      </c>
      <c r="F46" s="54">
        <v>700</v>
      </c>
      <c r="G46" s="54">
        <v>20</v>
      </c>
      <c r="H46" s="54">
        <v>20</v>
      </c>
      <c r="I46" s="74">
        <v>670</v>
      </c>
      <c r="J46" s="54"/>
      <c r="K46" s="72">
        <v>175000</v>
      </c>
      <c r="L46" s="73">
        <v>0.91</v>
      </c>
      <c r="M46" s="73">
        <v>0.02</v>
      </c>
      <c r="N46" s="73">
        <v>0.02</v>
      </c>
      <c r="O46" s="115">
        <v>0.87</v>
      </c>
      <c r="P46" s="54">
        <v>830</v>
      </c>
      <c r="Q46" s="54">
        <v>20</v>
      </c>
      <c r="R46" s="54">
        <v>20</v>
      </c>
      <c r="S46" s="74">
        <v>810</v>
      </c>
      <c r="T46" s="54"/>
      <c r="U46" s="72">
        <v>175000</v>
      </c>
      <c r="V46" s="73">
        <v>1.1100000000000001</v>
      </c>
      <c r="W46" s="73">
        <v>0.03</v>
      </c>
      <c r="X46" s="73">
        <v>0.04</v>
      </c>
      <c r="Y46" s="115">
        <v>1.05</v>
      </c>
      <c r="Z46" s="54">
        <v>1100</v>
      </c>
      <c r="AA46" s="54">
        <v>20</v>
      </c>
      <c r="AB46" s="54">
        <v>20</v>
      </c>
      <c r="AC46" s="74">
        <v>1070</v>
      </c>
      <c r="AD46" s="54"/>
      <c r="AE46" s="72">
        <v>175000</v>
      </c>
      <c r="AF46" s="73">
        <v>1.43</v>
      </c>
      <c r="AG46" s="73">
        <v>0.05</v>
      </c>
      <c r="AH46" s="73">
        <v>7.0000000000000007E-2</v>
      </c>
      <c r="AI46" s="115">
        <v>1.31</v>
      </c>
      <c r="AJ46" s="54">
        <v>1240</v>
      </c>
      <c r="AK46" s="54">
        <v>30</v>
      </c>
      <c r="AL46" s="54">
        <v>30</v>
      </c>
      <c r="AM46" s="74">
        <v>1210</v>
      </c>
      <c r="AO46" s="72">
        <v>175000</v>
      </c>
      <c r="AP46" s="73">
        <v>1.71</v>
      </c>
      <c r="AQ46" s="73">
        <v>0.09</v>
      </c>
      <c r="AR46" s="73">
        <v>0.11</v>
      </c>
      <c r="AS46" s="115">
        <v>1.52</v>
      </c>
      <c r="AT46" s="54">
        <v>1360</v>
      </c>
      <c r="AU46" s="54">
        <v>40</v>
      </c>
      <c r="AV46" s="54">
        <v>70</v>
      </c>
      <c r="AW46" s="74">
        <v>1300</v>
      </c>
    </row>
    <row r="47" spans="1:49" x14ac:dyDescent="0.25">
      <c r="A47" s="72">
        <v>180000</v>
      </c>
      <c r="B47" s="73">
        <v>0.72</v>
      </c>
      <c r="C47" s="73">
        <v>0.02</v>
      </c>
      <c r="D47" s="73">
        <v>0.02</v>
      </c>
      <c r="E47" s="115">
        <v>0.68</v>
      </c>
      <c r="F47" s="54">
        <v>590</v>
      </c>
      <c r="G47" s="54">
        <v>10</v>
      </c>
      <c r="H47" s="54">
        <v>20</v>
      </c>
      <c r="I47" s="74">
        <v>570</v>
      </c>
      <c r="J47" s="54"/>
      <c r="K47" s="72">
        <v>180000</v>
      </c>
      <c r="L47" s="73">
        <v>0.82</v>
      </c>
      <c r="M47" s="73">
        <v>0.02</v>
      </c>
      <c r="N47" s="73">
        <v>0.02</v>
      </c>
      <c r="O47" s="115">
        <v>0.77</v>
      </c>
      <c r="P47" s="54">
        <v>730</v>
      </c>
      <c r="Q47" s="54">
        <v>10</v>
      </c>
      <c r="R47" s="54">
        <v>20</v>
      </c>
      <c r="S47" s="74">
        <v>710</v>
      </c>
      <c r="T47" s="54"/>
      <c r="U47" s="72">
        <v>180000</v>
      </c>
      <c r="V47" s="73">
        <v>1</v>
      </c>
      <c r="W47" s="73">
        <v>0.03</v>
      </c>
      <c r="X47" s="73">
        <v>0.04</v>
      </c>
      <c r="Y47" s="115">
        <v>0.93</v>
      </c>
      <c r="Z47" s="54">
        <v>950</v>
      </c>
      <c r="AA47" s="54">
        <v>20</v>
      </c>
      <c r="AB47" s="54">
        <v>20</v>
      </c>
      <c r="AC47" s="74">
        <v>930</v>
      </c>
      <c r="AD47" s="54"/>
      <c r="AE47" s="72">
        <v>180000</v>
      </c>
      <c r="AF47" s="73">
        <v>1.27</v>
      </c>
      <c r="AG47" s="73">
        <v>0.03</v>
      </c>
      <c r="AH47" s="73">
        <v>0.05</v>
      </c>
      <c r="AI47" s="115">
        <v>1.19</v>
      </c>
      <c r="AJ47" s="54">
        <v>1130</v>
      </c>
      <c r="AK47" s="54">
        <v>20</v>
      </c>
      <c r="AL47" s="54">
        <v>30</v>
      </c>
      <c r="AM47" s="74">
        <v>1110</v>
      </c>
      <c r="AO47" s="72">
        <v>180000</v>
      </c>
      <c r="AP47" s="73">
        <v>1.51</v>
      </c>
      <c r="AQ47" s="73">
        <v>0.04</v>
      </c>
      <c r="AR47" s="73">
        <v>0.11</v>
      </c>
      <c r="AS47" s="115">
        <v>1.37</v>
      </c>
      <c r="AT47" s="54">
        <v>1230</v>
      </c>
      <c r="AU47" s="54">
        <v>30</v>
      </c>
      <c r="AV47" s="54">
        <v>50</v>
      </c>
      <c r="AW47" s="74">
        <v>1190</v>
      </c>
    </row>
    <row r="48" spans="1:49" x14ac:dyDescent="0.25">
      <c r="A48" s="64" t="s">
        <v>59</v>
      </c>
      <c r="B48" s="73">
        <v>8.24</v>
      </c>
      <c r="C48" s="73">
        <v>0.16</v>
      </c>
      <c r="D48" s="73">
        <v>0.08</v>
      </c>
      <c r="E48" s="115">
        <v>8</v>
      </c>
      <c r="F48" s="54">
        <v>6590</v>
      </c>
      <c r="G48" s="54">
        <v>90</v>
      </c>
      <c r="H48" s="54">
        <v>60</v>
      </c>
      <c r="I48" s="74">
        <v>6510</v>
      </c>
      <c r="J48" s="54"/>
      <c r="K48" s="64" t="s">
        <v>59</v>
      </c>
      <c r="L48" s="73">
        <v>9.64</v>
      </c>
      <c r="M48" s="73">
        <v>0.24</v>
      </c>
      <c r="N48" s="73">
        <v>0.1</v>
      </c>
      <c r="O48" s="115">
        <v>9.3000000000000007</v>
      </c>
      <c r="P48" s="54">
        <v>8620</v>
      </c>
      <c r="Q48" s="54">
        <v>120</v>
      </c>
      <c r="R48" s="54">
        <v>80</v>
      </c>
      <c r="S48" s="74">
        <v>8520</v>
      </c>
      <c r="T48" s="54"/>
      <c r="U48" s="64" t="s">
        <v>59</v>
      </c>
      <c r="V48" s="73">
        <v>11.41</v>
      </c>
      <c r="W48" s="73">
        <v>0.28000000000000003</v>
      </c>
      <c r="X48" s="73">
        <v>0.15</v>
      </c>
      <c r="Y48" s="115">
        <v>10.98</v>
      </c>
      <c r="Z48" s="54">
        <v>10990</v>
      </c>
      <c r="AA48" s="54">
        <v>130</v>
      </c>
      <c r="AB48" s="54">
        <v>120</v>
      </c>
      <c r="AC48" s="74">
        <v>10870</v>
      </c>
      <c r="AD48" s="54"/>
      <c r="AE48" s="64" t="s">
        <v>59</v>
      </c>
      <c r="AF48" s="73">
        <v>14.88</v>
      </c>
      <c r="AG48" s="73">
        <v>0.34</v>
      </c>
      <c r="AH48" s="73">
        <v>0.14000000000000001</v>
      </c>
      <c r="AI48" s="115">
        <v>14.4</v>
      </c>
      <c r="AJ48" s="54">
        <v>13710</v>
      </c>
      <c r="AK48" s="54">
        <v>140</v>
      </c>
      <c r="AL48" s="54">
        <v>130</v>
      </c>
      <c r="AM48" s="74">
        <v>13570</v>
      </c>
      <c r="AO48" s="64" t="s">
        <v>59</v>
      </c>
      <c r="AP48" s="73">
        <v>18.37</v>
      </c>
      <c r="AQ48" s="73">
        <v>0.34</v>
      </c>
      <c r="AR48" s="73">
        <v>0.19</v>
      </c>
      <c r="AS48" s="115">
        <v>17.84</v>
      </c>
      <c r="AT48" s="54">
        <v>16150</v>
      </c>
      <c r="AU48" s="54">
        <v>210</v>
      </c>
      <c r="AV48" s="54">
        <v>180</v>
      </c>
      <c r="AW48" s="74">
        <v>15960</v>
      </c>
    </row>
    <row r="49" spans="1:49" s="63" customFormat="1" x14ac:dyDescent="0.25">
      <c r="A49" s="75" t="s">
        <v>48</v>
      </c>
      <c r="B49" s="76">
        <v>19.27</v>
      </c>
      <c r="C49" s="76">
        <v>14.16</v>
      </c>
      <c r="D49" s="76">
        <v>4.1100000000000003</v>
      </c>
      <c r="E49" s="116">
        <v>0.81</v>
      </c>
      <c r="F49" s="77">
        <v>2480</v>
      </c>
      <c r="G49" s="77">
        <v>2120</v>
      </c>
      <c r="H49" s="77">
        <v>1480</v>
      </c>
      <c r="I49" s="78">
        <v>450</v>
      </c>
      <c r="J49" s="84"/>
      <c r="K49" s="75" t="s">
        <v>48</v>
      </c>
      <c r="L49" s="76">
        <v>20.05</v>
      </c>
      <c r="M49" s="76">
        <v>14.71</v>
      </c>
      <c r="N49" s="76">
        <v>3.93</v>
      </c>
      <c r="O49" s="116">
        <v>1.28</v>
      </c>
      <c r="P49" s="77">
        <v>2610</v>
      </c>
      <c r="Q49" s="77">
        <v>2170</v>
      </c>
      <c r="R49" s="77">
        <v>1520</v>
      </c>
      <c r="S49" s="78">
        <v>670</v>
      </c>
      <c r="T49" s="84"/>
      <c r="U49" s="75" t="s">
        <v>48</v>
      </c>
      <c r="V49" s="76">
        <v>20.3</v>
      </c>
      <c r="W49" s="76">
        <v>14.89</v>
      </c>
      <c r="X49" s="76">
        <v>3.64</v>
      </c>
      <c r="Y49" s="116">
        <v>1.63</v>
      </c>
      <c r="Z49" s="77">
        <v>2700</v>
      </c>
      <c r="AA49" s="77">
        <v>2190</v>
      </c>
      <c r="AB49" s="77">
        <v>1410</v>
      </c>
      <c r="AC49" s="78">
        <v>860</v>
      </c>
      <c r="AD49" s="84"/>
      <c r="AE49" s="75" t="s">
        <v>48</v>
      </c>
      <c r="AF49" s="76">
        <v>24.97</v>
      </c>
      <c r="AG49" s="76">
        <v>18.59</v>
      </c>
      <c r="AH49" s="76">
        <v>4.22</v>
      </c>
      <c r="AI49" s="116">
        <v>2.0299999999999998</v>
      </c>
      <c r="AJ49" s="77">
        <v>3150</v>
      </c>
      <c r="AK49" s="77">
        <v>2520</v>
      </c>
      <c r="AL49" s="77">
        <v>1810</v>
      </c>
      <c r="AM49" s="78">
        <v>1070</v>
      </c>
      <c r="AO49" s="64" t="s">
        <v>48</v>
      </c>
      <c r="AP49" s="92">
        <v>28.02</v>
      </c>
      <c r="AQ49" s="92">
        <v>20.79</v>
      </c>
      <c r="AR49" s="92">
        <v>4.45</v>
      </c>
      <c r="AS49" s="118">
        <v>2.7</v>
      </c>
      <c r="AT49" s="84">
        <v>3390</v>
      </c>
      <c r="AU49" s="84">
        <v>2630</v>
      </c>
      <c r="AV49" s="84">
        <v>1930</v>
      </c>
      <c r="AW49" s="85">
        <v>1340</v>
      </c>
    </row>
    <row r="50" spans="1:49" s="63" customFormat="1" x14ac:dyDescent="0.25">
      <c r="A50" s="75" t="s">
        <v>57</v>
      </c>
      <c r="B50" s="76">
        <v>0.13999999999850843</v>
      </c>
      <c r="C50" s="76">
        <v>0.58000000000038199</v>
      </c>
      <c r="D50" s="76">
        <v>0.19999999999993179</v>
      </c>
      <c r="E50" s="116">
        <v>0.19999999999996021</v>
      </c>
      <c r="F50" s="77">
        <v>20</v>
      </c>
      <c r="G50" s="77">
        <v>30</v>
      </c>
      <c r="H50" s="77">
        <v>70</v>
      </c>
      <c r="I50" s="100">
        <v>20</v>
      </c>
      <c r="J50" s="84"/>
      <c r="K50" s="75" t="s">
        <v>57</v>
      </c>
      <c r="L50" s="76">
        <v>0.32999999999992724</v>
      </c>
      <c r="M50" s="76">
        <v>0.54000000000041837</v>
      </c>
      <c r="N50" s="76">
        <v>0.27999999999997272</v>
      </c>
      <c r="O50" s="116">
        <v>0.18000000000012051</v>
      </c>
      <c r="P50" s="77">
        <v>0</v>
      </c>
      <c r="Q50" s="77">
        <v>50</v>
      </c>
      <c r="R50" s="77">
        <v>20</v>
      </c>
      <c r="S50" s="100">
        <v>10</v>
      </c>
      <c r="T50" s="84"/>
      <c r="U50" s="75" t="s">
        <v>57</v>
      </c>
      <c r="V50" s="76">
        <v>0.12000000000034561</v>
      </c>
      <c r="W50" s="76">
        <v>0.59999999999990905</v>
      </c>
      <c r="X50" s="76">
        <v>-0.25999999999999091</v>
      </c>
      <c r="Y50" s="116">
        <v>0.51000000000004775</v>
      </c>
      <c r="Z50" s="77">
        <v>70</v>
      </c>
      <c r="AA50" s="77">
        <v>50</v>
      </c>
      <c r="AB50" s="77">
        <v>70</v>
      </c>
      <c r="AC50" s="100">
        <v>40</v>
      </c>
      <c r="AD50" s="84"/>
      <c r="AE50" s="75" t="s">
        <v>57</v>
      </c>
      <c r="AF50" s="76">
        <v>-0.42000000000007276</v>
      </c>
      <c r="AG50" s="76">
        <v>0.14000000000032742</v>
      </c>
      <c r="AH50" s="76">
        <v>-0.29999999999989768</v>
      </c>
      <c r="AI50" s="116">
        <v>1.0000000000047748E-2</v>
      </c>
      <c r="AJ50" s="77">
        <v>90</v>
      </c>
      <c r="AK50" s="77">
        <v>100</v>
      </c>
      <c r="AL50" s="77">
        <v>140</v>
      </c>
      <c r="AM50" s="100">
        <v>30</v>
      </c>
      <c r="AO50" s="112" t="s">
        <v>57</v>
      </c>
      <c r="AP50" s="93">
        <v>-0.42999999999938154</v>
      </c>
      <c r="AQ50" s="93">
        <v>0.81999999999925421</v>
      </c>
      <c r="AR50" s="93">
        <v>0.43000000000006366</v>
      </c>
      <c r="AS50" s="119">
        <v>-0.200000000000216</v>
      </c>
      <c r="AT50" s="80">
        <v>50</v>
      </c>
      <c r="AU50" s="80">
        <v>100</v>
      </c>
      <c r="AV50" s="80">
        <v>180</v>
      </c>
      <c r="AW50" s="100">
        <v>50</v>
      </c>
    </row>
    <row r="51" spans="1:49" s="63" customFormat="1" x14ac:dyDescent="0.25">
      <c r="A51" s="79" t="s">
        <v>36</v>
      </c>
      <c r="B51" s="80">
        <v>2928</v>
      </c>
      <c r="C51" s="80">
        <v>2151</v>
      </c>
      <c r="D51" s="80">
        <v>603</v>
      </c>
      <c r="E51" s="100">
        <v>159</v>
      </c>
      <c r="F51" s="80">
        <v>354700</v>
      </c>
      <c r="G51" s="80">
        <v>287200</v>
      </c>
      <c r="H51" s="80">
        <v>196600</v>
      </c>
      <c r="I51" s="100">
        <v>88100</v>
      </c>
      <c r="J51" s="84"/>
      <c r="K51" s="79" t="s">
        <v>36</v>
      </c>
      <c r="L51" s="80">
        <v>2902</v>
      </c>
      <c r="M51" s="80">
        <v>2084</v>
      </c>
      <c r="N51" s="80">
        <v>557</v>
      </c>
      <c r="O51" s="100">
        <v>247</v>
      </c>
      <c r="P51" s="80">
        <v>351600</v>
      </c>
      <c r="Q51" s="80">
        <v>278500</v>
      </c>
      <c r="R51" s="80">
        <v>187300</v>
      </c>
      <c r="S51" s="100">
        <v>116900</v>
      </c>
      <c r="T51" s="85"/>
      <c r="U51" s="82" t="s">
        <v>36</v>
      </c>
      <c r="V51" s="80">
        <v>2788</v>
      </c>
      <c r="W51" s="80">
        <v>1970</v>
      </c>
      <c r="X51" s="80">
        <v>508</v>
      </c>
      <c r="Y51" s="100">
        <v>296</v>
      </c>
      <c r="Z51" s="80">
        <v>344400</v>
      </c>
      <c r="AA51" s="80">
        <v>265100</v>
      </c>
      <c r="AB51" s="80">
        <v>172500</v>
      </c>
      <c r="AC51" s="80">
        <v>138600</v>
      </c>
      <c r="AD51" s="86"/>
      <c r="AE51" s="82" t="s">
        <v>36</v>
      </c>
      <c r="AF51" s="80">
        <v>2950</v>
      </c>
      <c r="AG51" s="80">
        <v>2154</v>
      </c>
      <c r="AH51" s="80">
        <v>472</v>
      </c>
      <c r="AI51" s="100">
        <v>311</v>
      </c>
      <c r="AJ51" s="80">
        <v>336000</v>
      </c>
      <c r="AK51" s="80">
        <v>257100</v>
      </c>
      <c r="AL51" s="80">
        <v>162300</v>
      </c>
      <c r="AM51" s="100">
        <v>141200</v>
      </c>
      <c r="AO51" s="79" t="s">
        <v>36</v>
      </c>
      <c r="AP51" s="80">
        <v>3043</v>
      </c>
      <c r="AQ51" s="80">
        <v>2273</v>
      </c>
      <c r="AR51" s="80">
        <v>437</v>
      </c>
      <c r="AS51" s="100">
        <v>320</v>
      </c>
      <c r="AT51" s="80">
        <v>328400</v>
      </c>
      <c r="AU51" s="80">
        <v>252500</v>
      </c>
      <c r="AV51" s="80">
        <v>150500</v>
      </c>
      <c r="AW51" s="100">
        <v>137200</v>
      </c>
    </row>
    <row r="52" spans="1:49" x14ac:dyDescent="0.25">
      <c r="A52" t="s">
        <v>55</v>
      </c>
      <c r="K52" t="s">
        <v>55</v>
      </c>
      <c r="U52" t="s">
        <v>55</v>
      </c>
      <c r="AE52" t="s">
        <v>55</v>
      </c>
      <c r="AO52" t="s">
        <v>55</v>
      </c>
    </row>
    <row r="53" spans="1:49" x14ac:dyDescent="0.25">
      <c r="A53" s="81" t="s">
        <v>54</v>
      </c>
      <c r="K53" s="81" t="s">
        <v>54</v>
      </c>
      <c r="U53" s="81" t="s">
        <v>54</v>
      </c>
      <c r="AE53" s="81" t="s">
        <v>54</v>
      </c>
      <c r="AO53" s="81" t="s">
        <v>54</v>
      </c>
    </row>
    <row r="56" spans="1:49" x14ac:dyDescent="0.25">
      <c r="A56" s="107"/>
      <c r="B56" s="108"/>
      <c r="C56" s="108"/>
      <c r="D56" s="108"/>
      <c r="E56" s="108"/>
      <c r="F56" s="108"/>
      <c r="G56" s="108"/>
      <c r="H56" s="108"/>
      <c r="I56" s="108"/>
      <c r="J56" s="107"/>
      <c r="K56" s="107"/>
      <c r="L56" s="108"/>
      <c r="M56" s="108"/>
      <c r="N56" s="108"/>
      <c r="O56" s="108"/>
      <c r="P56" s="108"/>
      <c r="Q56" s="108"/>
      <c r="R56" s="108"/>
      <c r="S56" s="108"/>
      <c r="T56" s="107"/>
      <c r="U56" s="107"/>
      <c r="V56" s="108"/>
      <c r="W56" s="108"/>
      <c r="X56" s="108"/>
      <c r="Y56" s="108"/>
      <c r="Z56" s="108"/>
      <c r="AA56" s="108"/>
      <c r="AB56" s="108"/>
      <c r="AC56" s="108"/>
      <c r="AD56" s="107"/>
      <c r="AE56" s="107"/>
      <c r="AF56" s="108"/>
      <c r="AG56" s="108"/>
      <c r="AH56" s="108"/>
      <c r="AI56" s="108"/>
      <c r="AJ56" s="108"/>
      <c r="AK56" s="108"/>
      <c r="AL56" s="108"/>
      <c r="AM56" s="108"/>
      <c r="AN56" s="107"/>
      <c r="AO56" s="107"/>
      <c r="AP56" s="108"/>
      <c r="AQ56" s="108"/>
      <c r="AR56" s="108"/>
      <c r="AS56" s="108"/>
      <c r="AT56" s="108"/>
      <c r="AU56" s="108"/>
      <c r="AV56" s="108"/>
      <c r="AW56" s="108"/>
    </row>
    <row r="57" spans="1:49" x14ac:dyDescent="0.25">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row>
    <row r="58" spans="1:49" x14ac:dyDescent="0.25">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row>
    <row r="59" spans="1:49" x14ac:dyDescent="0.25">
      <c r="A59" s="107"/>
      <c r="B59" s="109"/>
      <c r="C59" s="109"/>
      <c r="D59" s="109"/>
      <c r="E59" s="109"/>
      <c r="F59" s="107"/>
      <c r="G59" s="107"/>
      <c r="H59" s="107"/>
      <c r="I59" s="107"/>
      <c r="J59" s="107"/>
      <c r="K59" s="107"/>
      <c r="L59" s="109"/>
      <c r="M59" s="109"/>
      <c r="N59" s="109"/>
      <c r="O59" s="109"/>
      <c r="P59" s="107"/>
      <c r="Q59" s="107"/>
      <c r="R59" s="107"/>
      <c r="S59" s="107"/>
      <c r="T59" s="107"/>
      <c r="U59" s="107"/>
      <c r="V59" s="109"/>
      <c r="W59" s="109"/>
      <c r="X59" s="109"/>
      <c r="Y59" s="109"/>
      <c r="Z59" s="107"/>
      <c r="AA59" s="107"/>
      <c r="AB59" s="107"/>
      <c r="AC59" s="107"/>
      <c r="AD59" s="107"/>
      <c r="AE59" s="107"/>
      <c r="AF59" s="109"/>
      <c r="AG59" s="109"/>
      <c r="AH59" s="109"/>
      <c r="AI59" s="109"/>
      <c r="AJ59" s="107"/>
      <c r="AK59" s="107"/>
      <c r="AL59" s="107"/>
      <c r="AM59" s="107"/>
      <c r="AN59" s="107"/>
      <c r="AO59" s="107"/>
      <c r="AP59" s="109"/>
      <c r="AQ59" s="109"/>
      <c r="AR59" s="109"/>
      <c r="AS59" s="109"/>
      <c r="AT59" s="107"/>
      <c r="AU59" s="107"/>
      <c r="AV59" s="107"/>
      <c r="AW59" s="107"/>
    </row>
    <row r="60" spans="1:49" x14ac:dyDescent="0.25">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row>
    <row r="61" spans="1:49" x14ac:dyDescent="0.25">
      <c r="A61" s="107"/>
      <c r="B61" s="108"/>
      <c r="C61" s="108"/>
      <c r="D61" s="108"/>
      <c r="E61" s="108"/>
      <c r="F61" s="108"/>
      <c r="G61" s="108"/>
      <c r="H61" s="108"/>
      <c r="I61" s="108"/>
      <c r="J61" s="107"/>
      <c r="K61" s="107"/>
      <c r="L61" s="108"/>
      <c r="M61" s="108"/>
      <c r="N61" s="108"/>
      <c r="O61" s="108"/>
      <c r="P61" s="108"/>
      <c r="Q61" s="108"/>
      <c r="R61" s="108"/>
      <c r="S61" s="108"/>
      <c r="T61" s="107"/>
      <c r="U61" s="107"/>
      <c r="V61" s="108"/>
      <c r="W61" s="108"/>
      <c r="X61" s="108"/>
      <c r="Y61" s="108"/>
      <c r="Z61" s="108"/>
      <c r="AA61" s="108"/>
      <c r="AB61" s="108"/>
      <c r="AC61" s="108"/>
      <c r="AD61" s="107"/>
      <c r="AE61" s="107"/>
      <c r="AF61" s="108"/>
      <c r="AG61" s="108"/>
      <c r="AH61" s="108"/>
      <c r="AI61" s="108"/>
      <c r="AJ61" s="108"/>
      <c r="AK61" s="108"/>
      <c r="AL61" s="108"/>
      <c r="AM61" s="108"/>
      <c r="AN61" s="107"/>
      <c r="AO61" s="107"/>
      <c r="AP61" s="108"/>
      <c r="AQ61" s="108"/>
      <c r="AR61" s="108"/>
      <c r="AS61" s="108"/>
      <c r="AT61" s="108"/>
      <c r="AU61" s="108"/>
      <c r="AV61" s="108"/>
      <c r="AW61" s="108"/>
    </row>
    <row r="62" spans="1:49" x14ac:dyDescent="0.25">
      <c r="A62" s="107"/>
      <c r="B62" s="107"/>
      <c r="C62" s="107"/>
      <c r="D62" s="107"/>
      <c r="E62" s="107"/>
      <c r="F62" s="108"/>
      <c r="G62" s="108"/>
      <c r="H62" s="108"/>
      <c r="I62" s="108"/>
      <c r="J62" s="107"/>
      <c r="K62" s="107"/>
      <c r="L62" s="107"/>
      <c r="M62" s="107"/>
      <c r="N62" s="107"/>
      <c r="O62" s="107"/>
      <c r="P62" s="108"/>
      <c r="Q62" s="108"/>
      <c r="R62" s="108"/>
      <c r="S62" s="108"/>
      <c r="T62" s="107"/>
      <c r="U62" s="107"/>
      <c r="V62" s="107"/>
      <c r="W62" s="107"/>
      <c r="X62" s="107"/>
      <c r="Y62" s="107"/>
      <c r="Z62" s="108"/>
      <c r="AA62" s="108"/>
      <c r="AB62" s="108"/>
      <c r="AC62" s="108"/>
      <c r="AD62" s="107"/>
      <c r="AE62" s="107"/>
      <c r="AF62" s="107"/>
      <c r="AG62" s="107"/>
      <c r="AH62" s="107"/>
      <c r="AI62" s="107"/>
      <c r="AJ62" s="108"/>
      <c r="AK62" s="108"/>
      <c r="AL62" s="108"/>
      <c r="AM62" s="108"/>
      <c r="AN62" s="107"/>
      <c r="AO62" s="107"/>
      <c r="AP62" s="107"/>
      <c r="AQ62" s="107"/>
      <c r="AR62" s="107"/>
      <c r="AS62" s="107"/>
      <c r="AT62" s="108"/>
      <c r="AU62" s="108"/>
      <c r="AV62" s="108"/>
      <c r="AW62" s="10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RNZDocument" ma:contentTypeID="0x010100A99A3D3464918141880706C171BD7BAA01008147ACEF40A7FB46ADFA656A8BBDCBF4" ma:contentTypeVersion="223" ma:contentTypeDescription="Inland Revenue NZ Document" ma:contentTypeScope="" ma:versionID="68e66cb6704809627d176cbd042181c2">
  <xsd:schema xmlns:xsd="http://www.w3.org/2001/XMLSchema" xmlns:xs="http://www.w3.org/2001/XMLSchema" xmlns:p="http://schemas.microsoft.com/office/2006/metadata/properties" xmlns:ns1="http://schemas.microsoft.com/sharepoint/v3" xmlns:ns2="bb3e7710-6c86-4f33-9fa7-57e5751d8f3f" xmlns:ns3="http://schemas.microsoft.com/sharepoint/v3/fields" xmlns:ns4="c5adfe54-fbe5-48bd-85df-7b64eb8cbe32" targetNamespace="http://schemas.microsoft.com/office/2006/metadata/properties" ma:root="true" ma:fieldsID="a7ef93cb6f73bf68c4c5eae6dba6ce2b" ns1:_="" ns2:_="" ns3:_="" ns4:_="">
    <xsd:import namespace="http://schemas.microsoft.com/sharepoint/v3"/>
    <xsd:import namespace="bb3e7710-6c86-4f33-9fa7-57e5751d8f3f"/>
    <xsd:import namespace="http://schemas.microsoft.com/sharepoint/v3/fields"/>
    <xsd:import namespace="c5adfe54-fbe5-48bd-85df-7b64eb8cbe32"/>
    <xsd:element name="properties">
      <xsd:complexType>
        <xsd:sequence>
          <xsd:element name="documentManagement">
            <xsd:complexType>
              <xsd:all>
                <xsd:element ref="ns2:_dlc_DocId" minOccurs="0"/>
                <xsd:element ref="ns2:_dlc_DocIdUrl" minOccurs="0"/>
                <xsd:element ref="ns2:_dlc_DocIdPersistId" minOccurs="0"/>
                <xsd:element ref="ns3:_Version" minOccurs="0"/>
                <xsd:element ref="ns3:wic_System_Copyright" minOccurs="0"/>
                <xsd:element ref="ns1:SecurityClassificationTaxHTField" minOccurs="0"/>
                <xsd:element ref="ns2:TaxCatchAll" minOccurs="0"/>
                <xsd:element ref="ns2:TaxCatchAllLabel" minOccurs="0"/>
                <xsd:element ref="ns1:InformationTypeTaxHTField" minOccurs="0"/>
                <xsd:element ref="ns1:BusinessUnitTaxHTField" minOccurs="0"/>
                <xsd:element ref="ns1:BusinessActivityTaxHTField" minOccurs="0"/>
                <xsd:element ref="ns1:DocumentStatusTaxHTField" minOccurs="0"/>
                <xsd:element ref="ns4:MediaServiceMetadata" minOccurs="0"/>
                <xsd:element ref="ns4:MediaServiceFastMetadata" minOccurs="0"/>
                <xsd:element ref="ns4:MediaServiceOCR" minOccurs="0"/>
                <xsd:element ref="ns4:MediaServiceGenerationTime" minOccurs="0"/>
                <xsd:element ref="ns4:MediaServiceEventHashCode" minOccurs="0"/>
                <xsd:element ref="ns4:MediaServiceDateTaken" minOccurs="0"/>
                <xsd:element ref="ns2:SharedWithUsers" minOccurs="0"/>
                <xsd:element ref="ns2:SharedWithDetails" minOccurs="0"/>
                <xsd:element ref="ns4:MediaServiceAutoKeyPoints" minOccurs="0"/>
                <xsd:element ref="ns4:MediaServiceKeyPoints" minOccurs="0"/>
                <xsd:element ref="ns4:lcf76f155ced4ddcb4097134ff3c332f" minOccurs="0"/>
                <xsd:element ref="ns4:MediaServiceSearchProperties" minOccurs="0"/>
                <xsd:element ref="ns4:MediaServiceObjectDetectorVersions" minOccurs="0"/>
                <xsd:element ref="ns4:MediaLengthInSeconds" minOccurs="0"/>
                <xsd:element ref="ns2:i0f84bba906045b4af568ee102a52dcb"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ecurityClassificationTaxHTField" ma:index="14" nillable="true" ma:taxonomy="true" ma:internalName="SecurityClassificationTaxHTField" ma:taxonomyFieldName="SecurityClassification" ma:displayName="Security Classification" ma:default="" ma:fieldId="{2f32f5bd-a907-45fd-bdaf-7ab6f283ee72}" ma:sspId="5927ce2a-d703-4d88-aeb0-762fc977e677" ma:termSetId="8ca4c15b-f438-4b25-aeeb-6af3186238a8" ma:anchorId="00000000-0000-0000-0000-000000000000" ma:open="false" ma:isKeyword="false">
      <xsd:complexType>
        <xsd:sequence>
          <xsd:element ref="pc:Terms" minOccurs="0" maxOccurs="1"/>
        </xsd:sequence>
      </xsd:complexType>
    </xsd:element>
    <xsd:element name="InformationTypeTaxHTField" ma:index="19" nillable="true" ma:taxonomy="true" ma:internalName="InformationTypeTaxHTField" ma:taxonomyFieldName="InformationType" ma:displayName="Information Type" ma:default="" ma:fieldId="{8fb119d1-9c50-490f-b5e6-737b1bfc5b86}" ma:sspId="5927ce2a-d703-4d88-aeb0-762fc977e677" ma:termSetId="fb36316d-ed76-4880-8cc4-a796bc5567d4" ma:anchorId="00000000-0000-0000-0000-000000000000" ma:open="false" ma:isKeyword="false">
      <xsd:complexType>
        <xsd:sequence>
          <xsd:element ref="pc:Terms" minOccurs="0" maxOccurs="1"/>
        </xsd:sequence>
      </xsd:complexType>
    </xsd:element>
    <xsd:element name="BusinessUnitTaxHTField" ma:index="21" nillable="true" ma:taxonomy="true" ma:internalName="BusinessUnitTaxHTField" ma:taxonomyFieldName="BusinessUnit" ma:displayName="Business Unit" ma:default="1;#Revenue Forecasting|22a6019e-35a7-4192-b120-5b0f20d70de5" ma:fieldId="{1d18cb4a-1f03-4570-adf9-d6a1ebf9e20b}" ma:sspId="5927ce2a-d703-4d88-aeb0-762fc977e677" ma:termSetId="8ed8c9ea-7052-4c1d-a4d7-b9c10bffea6f" ma:anchorId="00000000-0000-0000-0000-000000000000" ma:open="true" ma:isKeyword="false">
      <xsd:complexType>
        <xsd:sequence>
          <xsd:element ref="pc:Terms" minOccurs="0" maxOccurs="1"/>
        </xsd:sequence>
      </xsd:complexType>
    </xsd:element>
    <xsd:element name="BusinessActivityTaxHTField" ma:index="23" nillable="true" ma:taxonomy="true" ma:internalName="BusinessActivityTaxHTField" ma:taxonomyFieldName="BusinessActivity" ma:displayName="Business Activity" ma:default="" ma:fieldId="{8b785374-fa9b-49db-abe4-1b5a58a03ecd}" ma:sspId="5927ce2a-d703-4d88-aeb0-762fc977e677" ma:termSetId="27f16461-a9a1-4d80-ad53-ffc6708317a7" ma:anchorId="00000000-0000-0000-0000-000000000000" ma:open="false" ma:isKeyword="false">
      <xsd:complexType>
        <xsd:sequence>
          <xsd:element ref="pc:Terms" minOccurs="0" maxOccurs="1"/>
        </xsd:sequence>
      </xsd:complexType>
    </xsd:element>
    <xsd:element name="DocumentStatusTaxHTField" ma:index="25" nillable="true" ma:taxonomy="true" ma:internalName="DocumentStatusTaxHTField" ma:taxonomyFieldName="DocumentStatus" ma:displayName="Document Status" ma:default="" ma:fieldId="{0c319c61-60f4-4dca-bfac-89e3c05fb13d}" ma:sspId="5927ce2a-d703-4d88-aeb0-762fc977e677" ma:termSetId="3358e485-0f01-450b-a1f2-018b96e592d0" ma:anchorId="00000000-0000-0000-0000-000000000000" ma:open="false" ma:isKeyword="false">
      <xsd:complexType>
        <xsd:sequence>
          <xsd:element ref="pc:Terms" minOccurs="0" maxOccurs="1"/>
        </xsd:sequence>
      </xsd:complexType>
    </xsd:element>
    <xsd:element name="_ip_UnifiedCompliancePolicyProperties" ma:index="44" nillable="true" ma:displayName="Unified Compliance Policy Properties" ma:hidden="true" ma:internalName="_ip_UnifiedCompliancePolicyProperties">
      <xsd:simpleType>
        <xsd:restriction base="dms:Note"/>
      </xsd:simpleType>
    </xsd:element>
    <xsd:element name="_ip_UnifiedCompliancePolicyUIAction" ma:index="4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3e7710-6c86-4f33-9fa7-57e5751d8f3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93a04445-fec4-4866-9a4d-c0d26f34d264}" ma:internalName="TaxCatchAll" ma:showField="CatchAllData" ma:web="bb3e7710-6c86-4f33-9fa7-57e5751d8f3f">
      <xsd:complexType>
        <xsd:complexContent>
          <xsd:extension base="dms:MultiChoiceLookup">
            <xsd:sequence>
              <xsd:element name="Value" type="dms:Lookup" maxOccurs="unbounded" minOccurs="0" nillable="true"/>
            </xsd:sequence>
          </xsd:extension>
        </xsd:complexContent>
      </xsd:complexType>
    </xsd:element>
    <xsd:element name="TaxCatchAllLabel" ma:index="16" nillable="true" ma:displayName="Taxonomy Catch All Column1" ma:hidden="true" ma:list="{93a04445-fec4-4866-9a4d-c0d26f34d264}" ma:internalName="TaxCatchAllLabel" ma:readOnly="true" ma:showField="CatchAllDataLabel" ma:web="bb3e7710-6c86-4f33-9fa7-57e5751d8f3f">
      <xsd:complexType>
        <xsd:complexContent>
          <xsd:extension base="dms:MultiChoiceLookup">
            <xsd:sequence>
              <xsd:element name="Value" type="dms:Lookup" maxOccurs="unbounded" minOccurs="0" nillable="true"/>
            </xsd:sequence>
          </xsd:extension>
        </xsd:complexContent>
      </xsd:complexType>
    </xsd:element>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element name="i0f84bba906045b4af568ee102a52dcb" ma:index="43" nillable="true" ma:taxonomy="true" ma:internalName="i0f84bba906045b4af568ee102a52dcb" ma:taxonomyFieldName="RevIMBCS" ma:displayName="Records Classification" ma:indexed="true" ma:default="" ma:fieldId="{20f84bba-9060-45b4-af56-8ee102a52dcb}" ma:sspId="5927ce2a-d703-4d88-aeb0-762fc977e677" ma:termSetId="be3f21f3-a222-47a1-85c1-570715bf89ce"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12" nillable="true" ma:displayName="Version" ma:internalName="_Version">
      <xsd:simpleType>
        <xsd:restriction base="dms:Text"/>
      </xsd:simpleType>
    </xsd:element>
    <xsd:element name="wic_System_Copyright" ma:index="13" nillable="true" ma:displayName="Copyright" ma:internalName="wic_System_Copyright">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adfe54-fbe5-48bd-85df-7b64eb8cbe32"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KeyPoints" ma:index="35" nillable="true" ma:displayName="MediaServiceAutoKeyPoints" ma:hidden="true" ma:internalName="MediaServiceAutoKeyPoints" ma:readOnly="true">
      <xsd:simpleType>
        <xsd:restriction base="dms:Note"/>
      </xsd:simpleType>
    </xsd:element>
    <xsd:element name="MediaServiceKeyPoints" ma:index="36" nillable="true" ma:displayName="KeyPoints" ma:internalName="MediaServiceKeyPoints" ma:readOnly="true">
      <xsd:simpleType>
        <xsd:restriction base="dms:Note">
          <xsd:maxLength value="255"/>
        </xsd:restriction>
      </xsd:simpleType>
    </xsd:element>
    <xsd:element name="lcf76f155ced4ddcb4097134ff3c332f" ma:index="38" nillable="true" ma:taxonomy="true" ma:internalName="lcf76f155ced4ddcb4097134ff3c332f" ma:taxonomyFieldName="MediaServiceImageTags" ma:displayName="Image Tags" ma:readOnly="false" ma:fieldId="{5cf76f15-5ced-4ddc-b409-7134ff3c332f}" ma:taxonomyMulti="true" ma:sspId="5927ce2a-d703-4d88-aeb0-762fc977e677" ma:termSetId="09814cd3-568e-fe90-9814-8d621ff8fb84" ma:anchorId="fba54fb3-c3e1-fe81-a776-ca4b69148c4d" ma:open="true" ma:isKeyword="false">
      <xsd:complexType>
        <xsd:sequence>
          <xsd:element ref="pc:Terms" minOccurs="0" maxOccurs="1"/>
        </xsd:sequence>
      </xsd:complexType>
    </xsd:element>
    <xsd:element name="MediaServiceSearchProperties" ma:index="39" nillable="true" ma:displayName="MediaServiceSearchProperties" ma:hidden="true" ma:internalName="MediaServiceSearchProperties" ma:readOnly="true">
      <xsd:simpleType>
        <xsd:restriction base="dms:Note"/>
      </xsd:simpleType>
    </xsd:element>
    <xsd:element name="MediaServiceObjectDetectorVersions" ma:index="40" nillable="true" ma:displayName="MediaServiceObjectDetectorVersions" ma:description="" ma:hidden="true" ma:indexed="true" ma:internalName="MediaServiceObjectDetectorVersions" ma:readOnly="true">
      <xsd:simpleType>
        <xsd:restriction base="dms:Text"/>
      </xsd:simpleType>
    </xsd:element>
    <xsd:element name="MediaLengthInSeconds" ma:index="4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8"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BusinessActivityTaxHTField xmlns="http://schemas.microsoft.com/sharepoint/v3">
      <Terms xmlns="http://schemas.microsoft.com/office/infopath/2007/PartnerControls"/>
    </BusinessActivityTaxHTField>
    <SecurityClassificationTaxHTField xmlns="http://schemas.microsoft.com/sharepoint/v3">
      <Terms xmlns="http://schemas.microsoft.com/office/infopath/2007/PartnerControls"/>
    </SecurityClassificationTaxHTField>
    <InformationTypeTaxHTField xmlns="http://schemas.microsoft.com/sharepoint/v3">
      <Terms xmlns="http://schemas.microsoft.com/office/infopath/2007/PartnerControls"/>
    </InformationTypeTaxHTField>
    <BusinessUnitTaxHTField xmlns="http://schemas.microsoft.com/sharepoint/v3">
      <Terms xmlns="http://schemas.microsoft.com/office/infopath/2007/PartnerControls">
        <TermInfo xmlns="http://schemas.microsoft.com/office/infopath/2007/PartnerControls">
          <TermName xmlns="http://schemas.microsoft.com/office/infopath/2007/PartnerControls">Revenue Forecasting</TermName>
          <TermId xmlns="http://schemas.microsoft.com/office/infopath/2007/PartnerControls">22a6019e-35a7-4192-b120-5b0f20d70de5</TermId>
        </TermInfo>
      </Terms>
    </BusinessUnitTaxHTField>
    <DocumentStatusTaxHTField xmlns="http://schemas.microsoft.com/sharepoint/v3">
      <Terms xmlns="http://schemas.microsoft.com/office/infopath/2007/PartnerControls"/>
    </DocumentStatusTaxHTField>
    <TaxCatchAll xmlns="bb3e7710-6c86-4f33-9fa7-57e5751d8f3f">
      <Value>1</Value>
    </TaxCatchAll>
    <wic_System_Copyright xmlns="http://schemas.microsoft.com/sharepoint/v3/fields" xsi:nil="true"/>
    <_dlc_DocId xmlns="bb3e7710-6c86-4f33-9fa7-57e5751d8f3f">IRNZRF-1936080746-50222</_dlc_DocId>
    <_dlc_DocIdUrl xmlns="bb3e7710-6c86-4f33-9fa7-57e5751d8f3f">
      <Url>https://irnz.sharepoint.com/sites/RevenueForecasting/_layouts/15/DocIdRedir.aspx?ID=IRNZRF-1936080746-50222</Url>
      <Description>IRNZRF-1936080746-50222</Description>
    </_dlc_DocIdUrl>
    <lcf76f155ced4ddcb4097134ff3c332f xmlns="c5adfe54-fbe5-48bd-85df-7b64eb8cbe32">
      <Terms xmlns="http://schemas.microsoft.com/office/infopath/2007/PartnerControls"/>
    </lcf76f155ced4ddcb4097134ff3c332f>
    <SharedWithUsers xmlns="bb3e7710-6c86-4f33-9fa7-57e5751d8f3f">
      <UserInfo>
        <DisplayName/>
        <AccountId xsi:nil="true"/>
        <AccountType/>
      </UserInfo>
    </SharedWithUsers>
    <i0f84bba906045b4af568ee102a52dcb xmlns="bb3e7710-6c86-4f33-9fa7-57e5751d8f3f">
      <Terms xmlns="http://schemas.microsoft.com/office/infopath/2007/PartnerControls"/>
    </i0f84bba906045b4af568ee102a52dcb>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00C2B63B-AEC7-48A0-BE3A-BBC60D8B14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b3e7710-6c86-4f33-9fa7-57e5751d8f3f"/>
    <ds:schemaRef ds:uri="http://schemas.microsoft.com/sharepoint/v3/fields"/>
    <ds:schemaRef ds:uri="c5adfe54-fbe5-48bd-85df-7b64eb8cbe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99B653-D8CE-4CAF-A5A4-41FF32505DE5}">
  <ds:schemaRefs>
    <ds:schemaRef ds:uri="http://schemas.microsoft.com/sharepoint/events"/>
  </ds:schemaRefs>
</ds:datastoreItem>
</file>

<file path=customXml/itemProps3.xml><?xml version="1.0" encoding="utf-8"?>
<ds:datastoreItem xmlns:ds="http://schemas.openxmlformats.org/officeDocument/2006/customXml" ds:itemID="{C1A1B29B-DEAB-4458-A85D-88BC761F9724}">
  <ds:schemaRefs>
    <ds:schemaRef ds:uri="http://schemas.microsoft.com/sharepoint/v3/contenttype/forms"/>
  </ds:schemaRefs>
</ds:datastoreItem>
</file>

<file path=customXml/itemProps4.xml><?xml version="1.0" encoding="utf-8"?>
<ds:datastoreItem xmlns:ds="http://schemas.openxmlformats.org/officeDocument/2006/customXml" ds:itemID="{01D79FEA-257F-44E7-80AE-3297C1663E8C}">
  <ds:schemaRefs>
    <ds:schemaRef ds:uri="c5adfe54-fbe5-48bd-85df-7b64eb8cbe32"/>
    <ds:schemaRef ds:uri="http://schemas.microsoft.com/office/2006/documentManagement/types"/>
    <ds:schemaRef ds:uri="http://schemas.microsoft.com/sharepoint/v3/fields"/>
    <ds:schemaRef ds:uri="bb3e7710-6c86-4f33-9fa7-57e5751d8f3f"/>
    <ds:schemaRef ds:uri="http://www.w3.org/XML/1998/namespace"/>
    <ds:schemaRef ds:uri="http://schemas.microsoft.com/sharepoint/v3"/>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purl.org/dc/dcmitype/"/>
    <ds:schemaRef ds:uri="http://purl.org/dc/elements/1.1/"/>
  </ds:schemaRefs>
</ds:datastoreItem>
</file>

<file path=docMetadata/LabelInfo.xml><?xml version="1.0" encoding="utf-8"?>
<clbl:labelList xmlns:clbl="http://schemas.microsoft.com/office/2020/mipLabelMetadata">
  <clbl:label id="{665369cb-4b57-4918-891b-be45ced60474}" enabled="1" method="Privileged" siteId="{fb39e3e9-23a9-404e-93a2-b42a87d94f3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Explanatory notes</vt:lpstr>
      <vt:lpstr>Working for families charts</vt:lpstr>
      <vt:lpstr>Working for families data</vt:lpstr>
      <vt:lpstr>Working for families income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Teng</dc:creator>
  <cp:keywords/>
  <dc:description/>
  <cp:lastModifiedBy>Sarah Letellier</cp:lastModifiedBy>
  <cp:revision/>
  <dcterms:created xsi:type="dcterms:W3CDTF">2020-10-12T02:51:17Z</dcterms:created>
  <dcterms:modified xsi:type="dcterms:W3CDTF">2025-10-09T01:32:44Z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0x010100A99A3D3464918141880706C171BD7BAA01008147ACEF40A7FB46ADFA656A8BBDCBF4</vt:lpwstr>
  </property>
  <property fmtid="{D5CDD505-2E9C-101B-9397-08002B2CF9AE}" pid="3" name="InformationType">
    <vt:lpwstr/>
  </property>
  <property fmtid="{D5CDD505-2E9C-101B-9397-08002B2CF9AE}" pid="4" name="DocumentStatus">
    <vt:lpwstr/>
  </property>
  <property fmtid="{D5CDD505-2E9C-101B-9397-08002B2CF9AE}" pid="5" name="BusinessUnit">
    <vt:lpwstr>1;#Revenue Forecasting|22a6019e-35a7-4192-b120-5b0f20d70de5</vt:lpwstr>
  </property>
  <property fmtid="{D5CDD505-2E9C-101B-9397-08002B2CF9AE}" pid="6" name="SecurityClassification">
    <vt:lpwstr/>
  </property>
  <property fmtid="{D5CDD505-2E9C-101B-9397-08002B2CF9AE}" pid="7" name="BusinessActivity">
    <vt:lpwstr/>
  </property>
  <property fmtid="{D5CDD505-2E9C-101B-9397-08002B2CF9AE}" pid="8" name="_dlc_DocIdItemGuid">
    <vt:lpwstr>95461751-f358-46f4-a96c-4b810440ab2a</vt:lpwstr>
  </property>
  <property fmtid="{D5CDD505-2E9C-101B-9397-08002B2CF9AE}" pid="9" name="MediaServiceImageTags">
    <vt:lpwstr/>
  </property>
  <property fmtid="{D5CDD505-2E9C-101B-9397-08002B2CF9AE}" pid="10" name="MSIP_Label_665369cb-4b57-4918-891b-be45ced60474_Enabled">
    <vt:lpwstr>true</vt:lpwstr>
  </property>
  <property fmtid="{D5CDD505-2E9C-101B-9397-08002B2CF9AE}" pid="11" name="MSIP_Label_665369cb-4b57-4918-891b-be45ced60474_SetDate">
    <vt:lpwstr>2023-05-03T23:06:02Z</vt:lpwstr>
  </property>
  <property fmtid="{D5CDD505-2E9C-101B-9397-08002B2CF9AE}" pid="12" name="MSIP_Label_665369cb-4b57-4918-891b-be45ced60474_Method">
    <vt:lpwstr>Privileged</vt:lpwstr>
  </property>
  <property fmtid="{D5CDD505-2E9C-101B-9397-08002B2CF9AE}" pid="13" name="MSIP_Label_665369cb-4b57-4918-891b-be45ced60474_Name">
    <vt:lpwstr>665369cb-4b57-4918-891b-be45ced60474</vt:lpwstr>
  </property>
  <property fmtid="{D5CDD505-2E9C-101B-9397-08002B2CF9AE}" pid="14" name="MSIP_Label_665369cb-4b57-4918-891b-be45ced60474_SiteId">
    <vt:lpwstr>fb39e3e9-23a9-404e-93a2-b42a87d94f35</vt:lpwstr>
  </property>
  <property fmtid="{D5CDD505-2E9C-101B-9397-08002B2CF9AE}" pid="15" name="MSIP_Label_665369cb-4b57-4918-891b-be45ced60474_ActionId">
    <vt:lpwstr>f168177b-0e2a-4131-ac87-9f9379bf86cd</vt:lpwstr>
  </property>
  <property fmtid="{D5CDD505-2E9C-101B-9397-08002B2CF9AE}" pid="16" name="MSIP_Label_665369cb-4b57-4918-891b-be45ced60474_ContentBits">
    <vt:lpwstr>1</vt:lpwstr>
  </property>
  <property fmtid="{D5CDD505-2E9C-101B-9397-08002B2CF9AE}" pid="17" name="RevIMBCS">
    <vt:lpwstr/>
  </property>
</Properties>
</file>