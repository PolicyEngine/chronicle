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Z:\LPS Management Information\Report Suite 2024_25\LPA &amp; DPA\Annual Publication - 2024\"/>
    </mc:Choice>
  </mc:AlternateContent>
  <xr:revisionPtr revIDLastSave="0" documentId="13_ncr:1_{BA16D88A-CABA-4D57-B91F-5F7BD0D04571}" xr6:coauthVersionLast="47" xr6:coauthVersionMax="47" xr10:uidLastSave="{00000000-0000-0000-0000-000000000000}"/>
  <bookViews>
    <workbookView xWindow="-120" yWindow="-120" windowWidth="29040" windowHeight="15720" firstSheet="2" activeTab="13" xr2:uid="{00000000-000D-0000-FFFF-FFFF00000000}"/>
  </bookViews>
  <sheets>
    <sheet name="Cover Sheet" sheetId="13" r:id="rId1"/>
    <sheet name="Notes" sheetId="14" r:id="rId2"/>
    <sheet name="Contents" sheetId="15" r:id="rId3"/>
    <sheet name="Table 1.1" sheetId="4" r:id="rId4"/>
    <sheet name="Table 1.2 " sheetId="2" r:id="rId5"/>
    <sheet name="Table 1.3" sheetId="3" r:id="rId6"/>
    <sheet name="Figure 1" sheetId="5" r:id="rId7"/>
    <sheet name="Figure 2" sheetId="6" r:id="rId8"/>
    <sheet name="Table 1.4" sheetId="7" r:id="rId9"/>
    <sheet name="Figure 3" sheetId="9" r:id="rId10"/>
    <sheet name="Figure 4" sheetId="10" r:id="rId11"/>
    <sheet name="Figure 5" sheetId="11" r:id="rId12"/>
    <sheet name="Table 1.5" sheetId="8" r:id="rId13"/>
    <sheet name="Figure 6" sheetId="1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<sst xmlns="http://schemas.openxmlformats.org/spreadsheetml/2006/main" count="152" uniqueCount="99">
  <si>
    <t>Antrim and Newtownabbey</t>
  </si>
  <si>
    <t>Ards and North Down</t>
  </si>
  <si>
    <t>Armagh City, Banbridge and Craigavon</t>
  </si>
  <si>
    <t>Belfast</t>
  </si>
  <si>
    <t>Causeway Coast and Glens</t>
  </si>
  <si>
    <t>Fermanagh and Omagh</t>
  </si>
  <si>
    <t>Lisburn and Castlereagh</t>
  </si>
  <si>
    <t>Mid Ulster</t>
  </si>
  <si>
    <t>Mid and East Antrim</t>
  </si>
  <si>
    <t>Newry, Mourne and Down</t>
  </si>
  <si>
    <t>District Council</t>
  </si>
  <si>
    <t>Derry City and Strabane</t>
  </si>
  <si>
    <t>Northern Ireland</t>
  </si>
  <si>
    <t>Back to contents</t>
  </si>
  <si>
    <t>Year-end</t>
  </si>
  <si>
    <t xml:space="preserve">Number of people awarded LPA </t>
  </si>
  <si>
    <t>Net amount of LPA awarded</t>
  </si>
  <si>
    <t>Source: Land &amp; Property Services</t>
  </si>
  <si>
    <t xml:space="preserve">Notes: </t>
  </si>
  <si>
    <t xml:space="preserve">1.  The number of people are those that have a current award for Lone Pensioner Allowance at year end. </t>
  </si>
  <si>
    <t>2.  Nil awards have been included in the number of people awarded Lone Pensioner Allowance.</t>
  </si>
  <si>
    <t xml:space="preserve">3.  The Net Amount of Lone Pensioner Allowance is the amount payable for all persons that have an entitlement to </t>
  </si>
  <si>
    <t>Net Amount of LPA awarded (Private Rented Sector)</t>
  </si>
  <si>
    <t>Net Amount of LPA awarded (NIHE)</t>
  </si>
  <si>
    <t>Net Amount of LPA awarded (Housing Association)</t>
  </si>
  <si>
    <t xml:space="preserve">1.  The Net Amount of Lone Pensioner Allowance is the amount payable for all persons that have an entitlement to </t>
  </si>
  <si>
    <t>2.  The Net Amount of LPA Awarded by NIHE are for invoiced amounts that have been posted to the LPS system during the financial year.</t>
  </si>
  <si>
    <t>Net amount of LPA awarded (owner occupier)</t>
  </si>
  <si>
    <t>Total Net amount of LPA awarded in Northern Ireland</t>
  </si>
  <si>
    <t>Lone Pensioner Allowance Statistics</t>
  </si>
  <si>
    <t>Land and Property Services</t>
  </si>
  <si>
    <t>Contains public sector information licensed under the Open Government Licence v3.0.</t>
  </si>
  <si>
    <t>Contents</t>
  </si>
  <si>
    <t xml:space="preserve"> </t>
  </si>
  <si>
    <t>Lone Pensioner Allowance (LPA)</t>
  </si>
  <si>
    <t>Ratepayers aged 70 or over and living alone may be entitled to a 20% reduction in their rates.</t>
  </si>
  <si>
    <t xml:space="preserve">LPS is responsible for processing applications from ratepayers who own their own home whilst NIHE is responsible for processing applications from ratepayers who rent their homes. Ratepayers who rent their homes can fall within the Private Rented Sector, NIHE, or Housing Association. </t>
  </si>
  <si>
    <r>
      <t>LPS holds details on individual awards of LPA made by LPS. LPS also holds information on the total amount of LPA awarded by NIHE at Northern Ireland</t>
    </r>
    <r>
      <rPr>
        <sz val="12"/>
        <color rgb="FFFF0000"/>
        <rFont val="Arial"/>
        <family val="2"/>
      </rPr>
      <t xml:space="preserve"> </t>
    </r>
    <r>
      <rPr>
        <sz val="12"/>
        <rFont val="Arial"/>
        <family val="2"/>
      </rPr>
      <t>level.</t>
    </r>
  </si>
  <si>
    <t>Data</t>
  </si>
  <si>
    <t>The names and the alphabetical order of the District Councils relate to names as detailed currently in legislation.</t>
  </si>
  <si>
    <t>Information is provided on the number of people awarded LPA, which is based on individual National Insurance Numbers awarded LPA.</t>
  </si>
  <si>
    <t>As LPA is awarded through the rates bill, most of the allowance is awarded at the start of the financial year. As a result there is little change in the Net Amount of LPA awarded through the course of the year.</t>
  </si>
  <si>
    <t>The figures for the number of people awarded LPA include Nil awards. LPA is awarded where there is entitlement even if the applicant is in receipt of full Housing Benefit. If Housing Benefit circumstances change and they become liable for all or part of the rates, the LPA will then be applied automatically to the account.</t>
  </si>
  <si>
    <t>The number of people awarded LPA can go down, whilst the overall Net Amount of LPA awarded increases. This could be as a result of changes in the group of people qualifying for LPA and the associated rates bill.</t>
  </si>
  <si>
    <t xml:space="preserve">Figures for the Total Net Amount of LPA Awarded by NIHE at Northern Ireland level relate to invoiced amounts posted to the LPS system during the financial year. Due to the timing of invoices from NIHE, some of these may not be posted until the following financial year. </t>
  </si>
  <si>
    <t xml:space="preserve">Earliest data available: </t>
  </si>
  <si>
    <t xml:space="preserve">Latest data available: </t>
  </si>
  <si>
    <t>Contact:</t>
  </si>
  <si>
    <t>Email:</t>
  </si>
  <si>
    <t>LPS.StatisticsBranch@finance-ni.gov.uk</t>
  </si>
  <si>
    <t xml:space="preserve">Telephone: </t>
  </si>
  <si>
    <t xml:space="preserve">To access data tables, select the table headings or tabs. </t>
  </si>
  <si>
    <t>To access graphs, select the figure headings or tabs.</t>
  </si>
  <si>
    <t>Cover sheet</t>
  </si>
  <si>
    <t>Notes</t>
  </si>
  <si>
    <t>Next Scheduled Update</t>
  </si>
  <si>
    <t>Yearly</t>
  </si>
  <si>
    <t>Reference Table</t>
  </si>
  <si>
    <t>Frequency</t>
  </si>
  <si>
    <t>Table 1.1</t>
  </si>
  <si>
    <t>Table 1.2</t>
  </si>
  <si>
    <t>Table 1.3</t>
  </si>
  <si>
    <t>Figure 1</t>
  </si>
  <si>
    <t>Figure 2</t>
  </si>
  <si>
    <t>Table 1.4</t>
  </si>
  <si>
    <t>Figure 3</t>
  </si>
  <si>
    <t>Figure 4</t>
  </si>
  <si>
    <t>Figure 5</t>
  </si>
  <si>
    <t>Table 1.5</t>
  </si>
  <si>
    <t>Figure 6</t>
  </si>
  <si>
    <t>Back to Contents</t>
  </si>
  <si>
    <t>Reference tables - Yearly tables 1.1 to 1.5 and associated graphs</t>
  </si>
  <si>
    <t>Louise McVitty</t>
  </si>
  <si>
    <t>028 904 16784</t>
  </si>
  <si>
    <t>Lone Pensioner Allowance Statistics:  31 March 2010 - 31 March 2024</t>
  </si>
  <si>
    <t>Number of people (owner occupier) in Northern Ireland awarded Lone Pensioner Allowance by District Council at year-end 31 March 2010 to 31 March 2024</t>
  </si>
  <si>
    <t>Net Amount of Lone Pensioner Allowance (owner occupier) awarded in Northern Ireland by District Council at year-end 31 March 2010 to 31 March 2024</t>
  </si>
  <si>
    <t>Number of people (owner occupier) awarded Lone Pensioner Allowance, and Net Amount of Lone Pensioner Allowance awarded in Northern Ireland at year-end 31 March 2010 to 31 March 2024</t>
  </si>
  <si>
    <t>Number of people (owner occupier) awarded Lone Pensioner Allowance at year-end 31 March 2010 to 31 March 2024</t>
  </si>
  <si>
    <t>Net amount of Lone Pensioner Allowance (owner occupier) awarded at year-end 31 March 2010 to 31 March 2024</t>
  </si>
  <si>
    <t>Net Amount of Lone Pensioner Allowance (Private Rented Sector, NIHE &amp; Housing Association) awarded by NIHE in Northern Ireland at year-end 31 March 2010 to 31 March 2024</t>
  </si>
  <si>
    <t>Net Amount of Lone Pensioner Allowance (Private Rented Sector) awarded in Northern Ireland at year-end 31 March 2010 to 31 March 2024</t>
  </si>
  <si>
    <t>Net amount of Lone Pensioner Allowance (NIHE) awarded in Northern Ireland at year-end 31 March 2010 to 31 March 2024</t>
  </si>
  <si>
    <t>Net Amount of Lone Pensioner Allowance (Housing Association) awarded in Northern Ireland at year-end 31 March 2010 to 31 March 2024</t>
  </si>
  <si>
    <t>Total Net Amount of Lone Pensioner Allowance awarded in Northern Ireland at year-end 31 March 2010 to 31 March 2024</t>
  </si>
  <si>
    <r>
      <t>Table 1.1  Number of people</t>
    </r>
    <r>
      <rPr>
        <b/>
        <vertAlign val="superscript"/>
        <sz val="12"/>
        <rFont val="Arial"/>
        <family val="2"/>
      </rPr>
      <t>1,2</t>
    </r>
    <r>
      <rPr>
        <b/>
        <sz val="12"/>
        <rFont val="Arial"/>
        <family val="2"/>
      </rPr>
      <t xml:space="preserve"> (owner occupier) in Northern Ireland awarded Lone Pensioner Allowance by District Council at year-end 31 March 2010 to 31 March 2024</t>
    </r>
  </si>
  <si>
    <r>
      <t>Table 1.3  Number of people</t>
    </r>
    <r>
      <rPr>
        <b/>
        <vertAlign val="superscript"/>
        <sz val="12"/>
        <rFont val="Arial"/>
        <family val="2"/>
      </rPr>
      <t>1,2</t>
    </r>
    <r>
      <rPr>
        <b/>
        <sz val="12"/>
        <rFont val="Arial"/>
        <family val="2"/>
      </rPr>
      <t xml:space="preserve"> (owner occupier) awarded Lone Pensioner Allowance, and Net Amount</t>
    </r>
    <r>
      <rPr>
        <b/>
        <vertAlign val="superscript"/>
        <sz val="12"/>
        <rFont val="Arial"/>
        <family val="2"/>
      </rPr>
      <t>3</t>
    </r>
    <r>
      <rPr>
        <b/>
        <sz val="12"/>
        <rFont val="Arial"/>
        <family val="2"/>
      </rPr>
      <t xml:space="preserve"> of Lone Pensioner Allowance awarded in Northern Ireland at year-end 31 March 2010 to 31 March 2024</t>
    </r>
  </si>
  <si>
    <r>
      <t>Table 1.4  Net Amount</t>
    </r>
    <r>
      <rPr>
        <b/>
        <vertAlign val="superscript"/>
        <sz val="12"/>
        <rFont val="Arial"/>
        <family val="2"/>
      </rPr>
      <t>1,2</t>
    </r>
    <r>
      <rPr>
        <b/>
        <sz val="12"/>
        <rFont val="Arial"/>
        <family val="2"/>
      </rPr>
      <t xml:space="preserve"> of Lone Pensioner Allowance (Private Rented Sector, NIHE &amp; Housing Association) awarded by NIHE in Northern Ireland at year-end 31 March 2010 to 31 March 2024</t>
    </r>
  </si>
  <si>
    <r>
      <t>Table 1.5  Total Net Amount</t>
    </r>
    <r>
      <rPr>
        <b/>
        <vertAlign val="superscript"/>
        <sz val="12"/>
        <rFont val="Arial"/>
        <family val="2"/>
      </rPr>
      <t>1,2</t>
    </r>
    <r>
      <rPr>
        <b/>
        <sz val="12"/>
        <rFont val="Arial"/>
        <family val="2"/>
      </rPr>
      <t xml:space="preserve"> of Lone Pensioner Allowance awarded in Northern Ireland at year-end 31 March 2010 to 31 March 2024</t>
    </r>
  </si>
  <si>
    <t>Published: 29 May 2024</t>
  </si>
  <si>
    <t>Publication Date: 29 May 2024</t>
  </si>
  <si>
    <t>3.  At year-end 31st March 2024 there were a total of 1,826 Nil awards of Lone Pensioner Allowance.</t>
  </si>
  <si>
    <r>
      <t>Table 1.2  Net Amount</t>
    </r>
    <r>
      <rPr>
        <b/>
        <vertAlign val="superscript"/>
        <sz val="12"/>
        <rFont val="Arial"/>
        <family val="2"/>
      </rPr>
      <t>1</t>
    </r>
    <r>
      <rPr>
        <b/>
        <sz val="12"/>
        <rFont val="Arial"/>
        <family val="2"/>
      </rPr>
      <t xml:space="preserve"> of Lone Pensioner Allowance (owner occupier) awarded in Northern Ireland by District Council at year-end 31 March 2010 to 31 March 2024</t>
    </r>
  </si>
  <si>
    <t>Lone Pensioner Allowance (LPA) was introduced on 1st April 2008 and is administered jointly by Land &amp; Property Services (LPS) and the Northern Ireland Housing Executive (NIHE).</t>
  </si>
  <si>
    <t>The information published in these tables is based on data held by LPS.  The information provided is at a point in time. The tables are updated on a yearly basis.</t>
  </si>
  <si>
    <t>May 2025</t>
  </si>
  <si>
    <t>1.  The Net Amount of Lone Pensioner Allowance is the amount payable for all persons that have an entitlement to Lone Pensioner Allowance over the course of the financial year.</t>
  </si>
  <si>
    <t>Lone Pensioner Allowance over the course of the financial year.</t>
  </si>
  <si>
    <t xml:space="preserve">1.  The Net Amount of Lone Pensioner Allowance is the amount payable for all persons that have an entitlement to Lone Pensioner Allowance over the course of the financial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</si>
</sst>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0"/>
    <numFmt numFmtId="166" formatCode="[$-809]dd\ mmmm\ yyyy;@"/>
  </numFmts>
  <fonts count="39" x14ac:knownFonts="1">
    <font>
      <sz val="11"/>
      <color theme="1"/>
      <name val="Calibri"/>
      <family val="2"/>
      <scheme val="minor"/>
    </font>
    <font>
      <b/>
      <sz val="11"/>
      <color theme="1"/>
      <name val="Calibri"/>
      <family val="2"/>
      <scheme val="minor"/>
    </font>
    <font>
      <b/>
      <sz val="12"/>
      <color theme="1"/>
      <name val="Arial"/>
      <family val="2"/>
    </font>
    <font>
      <sz val="10"/>
      <name val="Arial"/>
      <family val="2"/>
    </font>
    <font>
      <b/>
      <sz val="12"/>
      <name val="Arial"/>
      <family val="2"/>
    </font>
    <font>
      <sz val="12"/>
      <color theme="1"/>
      <name val="Arial"/>
      <family val="2"/>
    </font>
    <font>
      <sz val="12"/>
      <color indexed="8"/>
      <name val="Arial"/>
      <family val="2"/>
    </font>
    <font>
      <sz val="12"/>
      <name val="Arial"/>
      <family val="2"/>
    </font>
    <font>
      <b/>
      <sz val="12"/>
      <color indexed="8"/>
      <name val="Arial"/>
      <family val="2"/>
    </font>
    <font>
      <b/>
      <vertAlign val="superscript"/>
      <sz val="12"/>
      <name val="Arial"/>
      <family val="2"/>
    </font>
    <font>
      <u/>
      <sz val="10"/>
      <color indexed="12"/>
      <name val="Arial"/>
      <family val="2"/>
    </font>
    <font>
      <u/>
      <sz val="12"/>
      <color indexed="12"/>
      <name val="Arial"/>
      <family val="2"/>
    </font>
    <font>
      <i/>
      <sz val="10"/>
      <color theme="1"/>
      <name val="Arial"/>
      <family val="2"/>
    </font>
    <font>
      <sz val="10"/>
      <color theme="1"/>
      <name val="Arial"/>
      <family val="2"/>
    </font>
    <font>
      <i/>
      <sz val="10"/>
      <name val="Arial"/>
      <family val="2"/>
    </font>
    <font>
      <i/>
      <sz val="10"/>
      <color rgb="FFFF0000"/>
      <name val="Arial"/>
      <family val="2"/>
    </font>
    <font>
      <b/>
      <sz val="12"/>
      <color rgb="FFFF0000"/>
      <name val="Arial"/>
      <family val="2"/>
    </font>
    <font>
      <sz val="12"/>
      <color rgb="FFFF0000"/>
      <name val="Arial"/>
      <family val="2"/>
    </font>
    <font>
      <sz val="10"/>
      <color rgb="FFFF0000"/>
      <name val="Arial"/>
      <family val="2"/>
    </font>
    <font>
      <sz val="11"/>
      <name val="Calibri"/>
      <family val="2"/>
      <scheme val="minor"/>
    </font>
    <font>
      <u/>
      <sz val="10"/>
      <color rgb="FFFF0000"/>
      <name val="Arial"/>
      <family val="2"/>
    </font>
    <font>
      <sz val="36"/>
      <color rgb="FF0893A2"/>
      <name val="Arial"/>
      <family val="2"/>
    </font>
    <font>
      <sz val="30"/>
      <color rgb="FF0893A2"/>
      <name val="Arial"/>
      <family val="2"/>
    </font>
    <font>
      <sz val="18"/>
      <name val="Arial"/>
      <family val="2"/>
    </font>
    <font>
      <b/>
      <sz val="18"/>
      <color rgb="FF31859C"/>
      <name val="Arial"/>
      <family val="2"/>
    </font>
    <font>
      <b/>
      <sz val="16"/>
      <color rgb="FF31859C"/>
      <name val="Arial"/>
      <family val="2"/>
    </font>
    <font>
      <sz val="11"/>
      <color rgb="FF1F497D"/>
      <name val="Calibri"/>
      <family val="2"/>
      <scheme val="minor"/>
    </font>
    <font>
      <sz val="8"/>
      <name val="Arial"/>
      <family val="2"/>
    </font>
    <font>
      <i/>
      <sz val="12"/>
      <name val="Arial"/>
      <family val="2"/>
    </font>
    <font>
      <sz val="12"/>
      <color indexed="48"/>
      <name val="Arial"/>
      <family val="2"/>
    </font>
    <font>
      <b/>
      <sz val="16"/>
      <color rgb="FF008080"/>
      <name val="Arial"/>
      <family val="2"/>
    </font>
    <font>
      <b/>
      <sz val="16"/>
      <name val="Arial"/>
      <family val="2"/>
    </font>
    <font>
      <sz val="16"/>
      <name val="Arial"/>
      <family val="2"/>
    </font>
    <font>
      <b/>
      <sz val="16"/>
      <color rgb="FFFF0000"/>
      <name val="Arial"/>
      <family val="2"/>
    </font>
    <font>
      <sz val="16"/>
      <color indexed="48"/>
      <name val="Arial"/>
      <family val="2"/>
    </font>
    <font>
      <b/>
      <sz val="16"/>
      <color theme="0"/>
      <name val="Arial"/>
      <family val="2"/>
    </font>
    <font>
      <sz val="16"/>
      <color theme="0"/>
      <name val="Arial"/>
      <family val="2"/>
    </font>
    <font>
      <sz val="14"/>
      <color theme="0"/>
      <name val="Arial"/>
      <family val="2"/>
    </font>
    <font>
      <u/>
      <sz val="14"/>
      <color indexed="12"/>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893A2"/>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3" fillId="0" borderId="0"/>
    <xf numFmtId="0" fontId="3" fillId="0" borderId="0"/>
    <xf numFmtId="164" fontId="10" fillId="0" borderId="0" applyNumberFormat="0" applyFill="0" applyBorder="0" applyAlignment="0" applyProtection="0">
      <alignment vertical="top"/>
      <protection locked="0"/>
    </xf>
    <xf numFmtId="0" fontId="27" fillId="0" borderId="0"/>
  </cellStyleXfs>
  <cellXfs count="145">
    <xf numFmtId="0" fontId="0" fillId="0" borderId="0" xfId="0"/>
    <xf numFmtId="0" fontId="2" fillId="0" borderId="1" xfId="0" applyFont="1" applyBorder="1"/>
    <xf numFmtId="164" fontId="4" fillId="0" borderId="0" xfId="1" applyFont="1" applyAlignment="1">
      <alignment horizontal="right"/>
    </xf>
    <xf numFmtId="164" fontId="4" fillId="0" borderId="2" xfId="1" applyFont="1" applyBorder="1" applyAlignment="1">
      <alignment horizontal="right"/>
    </xf>
    <xf numFmtId="0" fontId="5" fillId="0" borderId="3" xfId="0" applyFont="1" applyBorder="1"/>
    <xf numFmtId="0" fontId="5" fillId="0" borderId="3" xfId="0" applyFont="1" applyBorder="1" applyAlignment="1">
      <alignment horizontal="right" wrapText="1"/>
    </xf>
    <xf numFmtId="0" fontId="5" fillId="0" borderId="0" xfId="0" applyFont="1"/>
    <xf numFmtId="0" fontId="5" fillId="0" borderId="0" xfId="0" applyFont="1" applyAlignment="1">
      <alignment horizontal="right" wrapText="1"/>
    </xf>
    <xf numFmtId="0" fontId="6" fillId="0" borderId="0" xfId="2" applyFont="1" applyAlignment="1">
      <alignment horizontal="left"/>
    </xf>
    <xf numFmtId="165" fontId="7" fillId="0" borderId="0" xfId="0" applyNumberFormat="1" applyFont="1"/>
    <xf numFmtId="165" fontId="5" fillId="0" borderId="0" xfId="0" applyNumberFormat="1" applyFont="1"/>
    <xf numFmtId="0" fontId="8" fillId="0" borderId="1" xfId="2" applyFont="1" applyBorder="1" applyAlignment="1">
      <alignment horizontal="left" vertical="top" wrapText="1"/>
    </xf>
    <xf numFmtId="165" fontId="4" fillId="0" borderId="1" xfId="0" applyNumberFormat="1" applyFont="1" applyBorder="1"/>
    <xf numFmtId="165" fontId="2" fillId="0" borderId="1" xfId="0" applyNumberFormat="1" applyFont="1" applyBorder="1"/>
    <xf numFmtId="165" fontId="0" fillId="0" borderId="0" xfId="0" applyNumberFormat="1"/>
    <xf numFmtId="164" fontId="11" fillId="0" borderId="0" xfId="3" applyFont="1" applyFill="1" applyAlignment="1" applyProtection="1"/>
    <xf numFmtId="0" fontId="4" fillId="0" borderId="0" xfId="0" applyFont="1" applyAlignment="1">
      <alignment wrapText="1"/>
    </xf>
    <xf numFmtId="0" fontId="4" fillId="0" borderId="0" xfId="0" applyFont="1" applyAlignment="1">
      <alignment horizontal="left" wrapText="1"/>
    </xf>
    <xf numFmtId="0" fontId="4" fillId="0" borderId="1" xfId="0" applyFont="1" applyBorder="1"/>
    <xf numFmtId="0" fontId="4" fillId="0" borderId="0" xfId="0" applyFont="1"/>
    <xf numFmtId="0" fontId="2" fillId="0" borderId="2" xfId="0" applyFont="1" applyBorder="1" applyAlignment="1">
      <alignment horizontal="center"/>
    </xf>
    <xf numFmtId="0" fontId="4" fillId="0" borderId="2" xfId="0" applyFont="1" applyBorder="1" applyAlignment="1">
      <alignment horizontal="center" wrapText="1"/>
    </xf>
    <xf numFmtId="0" fontId="2" fillId="0" borderId="2" xfId="0" applyFont="1" applyBorder="1" applyAlignment="1">
      <alignment horizontal="center" wrapText="1"/>
    </xf>
    <xf numFmtId="166" fontId="7" fillId="0" borderId="3" xfId="0" applyNumberFormat="1" applyFont="1" applyBorder="1" applyAlignment="1">
      <alignment horizontal="center"/>
    </xf>
    <xf numFmtId="3" fontId="4" fillId="0" borderId="0" xfId="0" applyNumberFormat="1" applyFont="1" applyAlignment="1">
      <alignment horizontal="center"/>
    </xf>
    <xf numFmtId="165" fontId="2" fillId="0" borderId="0" xfId="0" applyNumberFormat="1" applyFont="1" applyAlignment="1">
      <alignment horizontal="center"/>
    </xf>
    <xf numFmtId="166" fontId="7" fillId="0" borderId="0" xfId="0" applyNumberFormat="1" applyFont="1" applyAlignment="1">
      <alignment horizontal="center"/>
    </xf>
    <xf numFmtId="166" fontId="6" fillId="0" borderId="0" xfId="2" applyNumberFormat="1" applyFont="1" applyAlignment="1">
      <alignment horizontal="center" wrapText="1"/>
    </xf>
    <xf numFmtId="3" fontId="5" fillId="0" borderId="0" xfId="0" applyNumberFormat="1" applyFont="1"/>
    <xf numFmtId="3" fontId="2" fillId="0" borderId="0" xfId="0" applyNumberFormat="1" applyFont="1"/>
    <xf numFmtId="165" fontId="4" fillId="0" borderId="0" xfId="0" applyNumberFormat="1" applyFont="1" applyAlignment="1">
      <alignment horizontal="center"/>
    </xf>
    <xf numFmtId="0" fontId="12" fillId="0" borderId="0" xfId="0" applyFont="1"/>
    <xf numFmtId="0" fontId="13" fillId="0" borderId="0" xfId="0" applyFont="1"/>
    <xf numFmtId="0" fontId="14" fillId="0" borderId="0" xfId="0" applyFont="1"/>
    <xf numFmtId="0" fontId="15" fillId="0" borderId="0" xfId="0" applyFont="1"/>
    <xf numFmtId="0" fontId="1" fillId="0" borderId="0" xfId="0" applyFont="1" applyAlignment="1">
      <alignment horizontal="center" wrapText="1"/>
    </xf>
    <xf numFmtId="3" fontId="0" fillId="0" borderId="0" xfId="0" applyNumberFormat="1"/>
    <xf numFmtId="0" fontId="12" fillId="0" borderId="0" xfId="0" applyFont="1" applyAlignment="1">
      <alignment horizontal="left" indent="2"/>
    </xf>
    <xf numFmtId="0" fontId="16" fillId="0" borderId="0" xfId="0" applyFont="1"/>
    <xf numFmtId="0" fontId="2" fillId="0" borderId="0" xfId="0" applyFont="1"/>
    <xf numFmtId="164" fontId="11" fillId="0" borderId="0" xfId="3" applyFont="1" applyFill="1" applyBorder="1" applyAlignment="1" applyProtection="1">
      <alignment horizontal="center"/>
    </xf>
    <xf numFmtId="0" fontId="7" fillId="0" borderId="0" xfId="0" applyFont="1"/>
    <xf numFmtId="0" fontId="5" fillId="0" borderId="1" xfId="0" applyFont="1" applyBorder="1"/>
    <xf numFmtId="0" fontId="16" fillId="0" borderId="1" xfId="0" applyFont="1" applyBorder="1"/>
    <xf numFmtId="0" fontId="2" fillId="0" borderId="1" xfId="0" applyFont="1" applyBorder="1" applyAlignment="1">
      <alignment horizontal="center" vertical="center"/>
    </xf>
    <xf numFmtId="0" fontId="5" fillId="0" borderId="0" xfId="0" applyFont="1" applyAlignment="1">
      <alignment horizontal="center"/>
    </xf>
    <xf numFmtId="3" fontId="7" fillId="0" borderId="0" xfId="0" applyNumberFormat="1" applyFont="1"/>
    <xf numFmtId="3" fontId="17" fillId="0" borderId="0" xfId="0" applyNumberFormat="1" applyFont="1"/>
    <xf numFmtId="3" fontId="4" fillId="0" borderId="1" xfId="0" applyNumberFormat="1" applyFont="1" applyBorder="1"/>
    <xf numFmtId="0" fontId="1" fillId="0" borderId="0" xfId="0" applyFont="1"/>
    <xf numFmtId="0" fontId="14" fillId="0" borderId="0" xfId="0" applyFont="1" applyAlignment="1">
      <alignment horizontal="left"/>
    </xf>
    <xf numFmtId="0" fontId="18" fillId="0" borderId="0" xfId="0" applyFont="1" applyAlignment="1">
      <alignment wrapText="1"/>
    </xf>
    <xf numFmtId="0" fontId="13"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165" fontId="19" fillId="0" borderId="0" xfId="0" applyNumberFormat="1" applyFont="1"/>
    <xf numFmtId="0" fontId="3" fillId="0" borderId="0" xfId="0" applyFont="1"/>
    <xf numFmtId="0" fontId="19" fillId="0" borderId="0" xfId="0" applyFont="1"/>
    <xf numFmtId="164" fontId="18" fillId="0" borderId="0" xfId="1" applyFont="1"/>
    <xf numFmtId="164" fontId="3" fillId="0" borderId="0" xfId="1"/>
    <xf numFmtId="164" fontId="20" fillId="0" borderId="0" xfId="3" applyNumberFormat="1" applyFont="1" applyAlignment="1" applyProtection="1"/>
    <xf numFmtId="164" fontId="10" fillId="0" borderId="0" xfId="3" applyNumberFormat="1" applyAlignment="1" applyProtection="1"/>
    <xf numFmtId="0" fontId="6" fillId="0" borderId="0" xfId="2" applyFont="1" applyAlignment="1">
      <alignment horizontal="left" vertical="top" wrapText="1"/>
    </xf>
    <xf numFmtId="165" fontId="1" fillId="0" borderId="0" xfId="0" applyNumberFormat="1" applyFont="1"/>
    <xf numFmtId="0" fontId="0" fillId="0" borderId="0" xfId="0" applyAlignment="1">
      <alignment wrapText="1"/>
    </xf>
    <xf numFmtId="3" fontId="13" fillId="0" borderId="0" xfId="0" applyNumberFormat="1" applyFont="1"/>
    <xf numFmtId="165" fontId="4" fillId="0" borderId="0" xfId="0" applyNumberFormat="1" applyFont="1"/>
    <xf numFmtId="166" fontId="7" fillId="0" borderId="0" xfId="2" applyNumberFormat="1" applyFont="1" applyAlignment="1">
      <alignment horizontal="center" wrapText="1"/>
    </xf>
    <xf numFmtId="165" fontId="2" fillId="0" borderId="0" xfId="0" applyNumberFormat="1" applyFont="1"/>
    <xf numFmtId="165" fontId="5" fillId="0" borderId="0" xfId="0" applyNumberFormat="1" applyFont="1" applyAlignment="1">
      <alignment horizontal="center"/>
    </xf>
    <xf numFmtId="165" fontId="7" fillId="0" borderId="0" xfId="0" applyNumberFormat="1" applyFont="1" applyAlignment="1">
      <alignment horizontal="center"/>
    </xf>
    <xf numFmtId="166" fontId="6" fillId="0" borderId="1" xfId="2" applyNumberFormat="1" applyFont="1" applyBorder="1" applyAlignment="1">
      <alignment horizontal="center" wrapText="1"/>
    </xf>
    <xf numFmtId="165" fontId="4" fillId="0" borderId="1" xfId="0" applyNumberFormat="1" applyFont="1" applyBorder="1" applyAlignment="1">
      <alignment horizontal="center"/>
    </xf>
    <xf numFmtId="165" fontId="7" fillId="0" borderId="1" xfId="0" applyNumberFormat="1" applyFont="1" applyBorder="1" applyAlignment="1">
      <alignment horizontal="center"/>
    </xf>
    <xf numFmtId="165" fontId="7" fillId="0" borderId="1" xfId="0" applyNumberFormat="1" applyFont="1" applyBorder="1"/>
    <xf numFmtId="164" fontId="3" fillId="2" borderId="0" xfId="1" applyFill="1"/>
    <xf numFmtId="164" fontId="22" fillId="2" borderId="0" xfId="1" applyFont="1" applyFill="1" applyAlignment="1">
      <alignment horizontal="center" wrapText="1"/>
    </xf>
    <xf numFmtId="164" fontId="7" fillId="2" borderId="0" xfId="1" applyFont="1" applyFill="1"/>
    <xf numFmtId="164" fontId="7" fillId="2" borderId="0" xfId="1" applyFont="1" applyFill="1" applyAlignment="1">
      <alignment vertical="center"/>
    </xf>
    <xf numFmtId="0" fontId="5" fillId="0" borderId="0" xfId="0" applyFont="1" applyAlignment="1">
      <alignment vertical="center"/>
    </xf>
    <xf numFmtId="164" fontId="11" fillId="0" borderId="0" xfId="3" applyFont="1" applyAlignment="1" applyProtection="1"/>
    <xf numFmtId="164" fontId="7" fillId="0" borderId="0" xfId="1" applyFont="1"/>
    <xf numFmtId="164" fontId="17" fillId="0" borderId="0" xfId="1" applyFont="1"/>
    <xf numFmtId="164" fontId="11" fillId="0" borderId="0" xfId="3" applyFont="1" applyFill="1" applyBorder="1" applyAlignment="1" applyProtection="1"/>
    <xf numFmtId="164" fontId="24" fillId="0" borderId="0" xfId="1" applyFont="1" applyAlignment="1">
      <alignment horizontal="left"/>
    </xf>
    <xf numFmtId="164" fontId="17" fillId="0" borderId="0" xfId="1" applyFont="1" applyAlignment="1">
      <alignment horizontal="left"/>
    </xf>
    <xf numFmtId="164" fontId="7" fillId="0" borderId="0" xfId="1" applyFont="1" applyAlignment="1">
      <alignment horizontal="left" wrapText="1"/>
    </xf>
    <xf numFmtId="164" fontId="25" fillId="0" borderId="0" xfId="1" applyFont="1" applyAlignment="1">
      <alignment horizontal="left"/>
    </xf>
    <xf numFmtId="164" fontId="7" fillId="0" borderId="0" xfId="1" applyFont="1" applyAlignment="1">
      <alignment horizontal="left"/>
    </xf>
    <xf numFmtId="164" fontId="16" fillId="0" borderId="0" xfId="1" applyFont="1" applyAlignment="1">
      <alignment horizontal="left" wrapText="1"/>
    </xf>
    <xf numFmtId="164" fontId="7" fillId="0" borderId="0" xfId="1" applyFont="1" applyAlignment="1">
      <alignment wrapText="1"/>
    </xf>
    <xf numFmtId="164" fontId="7" fillId="0" borderId="0" xfId="1" applyFont="1" applyAlignment="1">
      <alignment horizontal="left" vertical="top" wrapText="1"/>
    </xf>
    <xf numFmtId="0" fontId="26" fillId="0" borderId="0" xfId="0" applyFont="1"/>
    <xf numFmtId="0" fontId="0" fillId="0" borderId="0" xfId="0" applyAlignment="1">
      <alignment vertical="justify" wrapText="1"/>
    </xf>
    <xf numFmtId="164" fontId="17" fillId="0" borderId="0" xfId="1" applyFont="1" applyAlignment="1">
      <alignment wrapText="1"/>
    </xf>
    <xf numFmtId="0" fontId="7" fillId="3" borderId="0" xfId="4" applyFont="1" applyFill="1" applyAlignment="1">
      <alignment horizontal="left" vertical="top" wrapText="1"/>
    </xf>
    <xf numFmtId="164" fontId="5" fillId="0" borderId="0" xfId="1" applyFont="1" applyAlignment="1">
      <alignment horizontal="left"/>
    </xf>
    <xf numFmtId="164" fontId="28" fillId="0" borderId="0" xfId="1" applyFont="1"/>
    <xf numFmtId="164" fontId="11" fillId="0" borderId="0" xfId="3" applyFont="1" applyBorder="1" applyAlignment="1" applyProtection="1"/>
    <xf numFmtId="164" fontId="29" fillId="0" borderId="0" xfId="1" applyFont="1"/>
    <xf numFmtId="164" fontId="30" fillId="0" borderId="0" xfId="1" applyFont="1" applyAlignment="1">
      <alignment vertical="center"/>
    </xf>
    <xf numFmtId="164" fontId="31" fillId="0" borderId="0" xfId="1" applyFont="1"/>
    <xf numFmtId="164" fontId="32" fillId="0" borderId="0" xfId="1" applyFont="1" applyAlignment="1">
      <alignment wrapText="1"/>
    </xf>
    <xf numFmtId="164" fontId="33" fillId="0" borderId="0" xfId="1" applyFont="1"/>
    <xf numFmtId="164" fontId="32" fillId="0" borderId="0" xfId="1" applyFont="1" applyAlignment="1">
      <alignment vertical="center"/>
    </xf>
    <xf numFmtId="164" fontId="32" fillId="0" borderId="0" xfId="1" applyFont="1" applyAlignment="1">
      <alignment vertical="top"/>
    </xf>
    <xf numFmtId="164" fontId="32" fillId="0" borderId="0" xfId="1" applyFont="1" applyAlignment="1">
      <alignment vertical="top" wrapText="1"/>
    </xf>
    <xf numFmtId="164" fontId="7" fillId="0" borderId="0" xfId="1" applyFont="1" applyAlignment="1">
      <alignment vertical="top" wrapText="1"/>
    </xf>
    <xf numFmtId="164" fontId="34" fillId="0" borderId="0" xfId="1" applyFont="1"/>
    <xf numFmtId="164" fontId="35" fillId="4" borderId="6" xfId="1" applyFont="1" applyFill="1" applyBorder="1" applyAlignment="1">
      <alignment horizontal="center"/>
    </xf>
    <xf numFmtId="49" fontId="35" fillId="4" borderId="6" xfId="1" applyNumberFormat="1" applyFont="1" applyFill="1" applyBorder="1" applyAlignment="1">
      <alignment horizontal="center" vertical="center"/>
    </xf>
    <xf numFmtId="164" fontId="35" fillId="4" borderId="6" xfId="3" applyFont="1" applyFill="1" applyBorder="1" applyAlignment="1" applyProtection="1">
      <alignment horizontal="center" vertical="top"/>
    </xf>
    <xf numFmtId="164" fontId="35" fillId="4" borderId="6" xfId="3" applyFont="1" applyFill="1" applyBorder="1" applyAlignment="1" applyProtection="1">
      <alignment horizontal="center" vertical="center"/>
    </xf>
    <xf numFmtId="164" fontId="31" fillId="0" borderId="6" xfId="1" applyFont="1" applyBorder="1" applyAlignment="1">
      <alignment horizontal="left" wrapText="1"/>
    </xf>
    <xf numFmtId="164" fontId="37" fillId="4" borderId="6" xfId="1" applyFont="1" applyFill="1" applyBorder="1" applyAlignment="1">
      <alignment horizontal="center" vertical="center"/>
    </xf>
    <xf numFmtId="164" fontId="29" fillId="0" borderId="0" xfId="1" applyFont="1" applyAlignment="1">
      <alignment vertical="center"/>
    </xf>
    <xf numFmtId="0" fontId="11" fillId="0" borderId="6" xfId="3" applyNumberFormat="1" applyFont="1" applyBorder="1" applyAlignment="1" applyProtection="1">
      <alignment vertical="center" wrapText="1"/>
    </xf>
    <xf numFmtId="164" fontId="38" fillId="0" borderId="0" xfId="3" applyFont="1" applyAlignment="1" applyProtection="1"/>
    <xf numFmtId="0" fontId="0" fillId="0" borderId="0" xfId="0" applyAlignment="1">
      <alignment horizontal="right"/>
    </xf>
    <xf numFmtId="164" fontId="11" fillId="0" borderId="0" xfId="3" applyFont="1" applyFill="1" applyBorder="1" applyAlignment="1" applyProtection="1">
      <alignment horizontal="right"/>
    </xf>
    <xf numFmtId="0" fontId="0" fillId="0" borderId="0" xfId="0" applyAlignment="1">
      <alignment horizontal="left"/>
    </xf>
    <xf numFmtId="164" fontId="11" fillId="0" borderId="0" xfId="3" applyFont="1" applyFill="1" applyBorder="1" applyAlignment="1" applyProtection="1">
      <alignment horizontal="left"/>
    </xf>
    <xf numFmtId="164" fontId="7" fillId="0" borderId="0" xfId="1" applyFont="1" applyAlignment="1">
      <alignment vertical="center"/>
    </xf>
    <xf numFmtId="0" fontId="2" fillId="0" borderId="2" xfId="0" applyFont="1" applyBorder="1"/>
    <xf numFmtId="3" fontId="2" fillId="0" borderId="1" xfId="0" applyNumberFormat="1" applyFont="1" applyBorder="1"/>
    <xf numFmtId="166" fontId="7" fillId="0" borderId="1" xfId="2" applyNumberFormat="1" applyFont="1" applyBorder="1" applyAlignment="1">
      <alignment horizontal="center" wrapText="1"/>
    </xf>
    <xf numFmtId="3" fontId="4" fillId="0" borderId="1" xfId="0" applyNumberFormat="1" applyFont="1" applyBorder="1" applyAlignment="1">
      <alignment horizontal="center"/>
    </xf>
    <xf numFmtId="3" fontId="2" fillId="0" borderId="1" xfId="0" applyNumberFormat="1" applyFont="1" applyBorder="1" applyAlignment="1">
      <alignment horizontal="center"/>
    </xf>
    <xf numFmtId="164" fontId="21" fillId="2" borderId="0" xfId="1" applyFont="1" applyFill="1" applyAlignment="1">
      <alignment horizontal="center" vertical="center" wrapText="1"/>
    </xf>
    <xf numFmtId="164" fontId="23" fillId="0" borderId="0" xfId="1" applyFont="1" applyAlignment="1">
      <alignment horizontal="center" vertical="center" wrapText="1"/>
    </xf>
    <xf numFmtId="164" fontId="7" fillId="0" borderId="0" xfId="1" applyFont="1" applyAlignment="1">
      <alignment horizontal="left" wrapText="1"/>
    </xf>
    <xf numFmtId="164" fontId="24" fillId="0" borderId="0" xfId="1" applyFont="1"/>
    <xf numFmtId="164" fontId="7" fillId="0" borderId="0" xfId="1" applyFont="1" applyAlignment="1">
      <alignment wrapText="1"/>
    </xf>
    <xf numFmtId="0" fontId="0" fillId="0" borderId="0" xfId="0"/>
    <xf numFmtId="164" fontId="7" fillId="0" borderId="0" xfId="1" applyFont="1" applyAlignment="1">
      <alignment horizontal="left" vertical="top" wrapText="1"/>
    </xf>
    <xf numFmtId="0" fontId="0" fillId="0" borderId="0" xfId="0" applyAlignment="1">
      <alignment wrapText="1"/>
    </xf>
    <xf numFmtId="164" fontId="7" fillId="0" borderId="0" xfId="1" applyFont="1" applyAlignment="1">
      <alignment vertical="top" wrapText="1"/>
    </xf>
    <xf numFmtId="0" fontId="0" fillId="0" borderId="0" xfId="0" applyAlignment="1">
      <alignment vertical="top" wrapText="1"/>
    </xf>
    <xf numFmtId="164" fontId="35" fillId="4" borderId="4" xfId="1" applyFont="1" applyFill="1" applyBorder="1" applyAlignment="1">
      <alignment horizontal="center"/>
    </xf>
    <xf numFmtId="164" fontId="36" fillId="4" borderId="5" xfId="1" applyFont="1" applyFill="1" applyBorder="1" applyAlignment="1">
      <alignment horizontal="center"/>
    </xf>
    <xf numFmtId="0" fontId="4" fillId="0" borderId="0" xfId="0" applyFont="1" applyAlignment="1">
      <alignment wrapText="1"/>
    </xf>
    <xf numFmtId="0" fontId="19" fillId="0" borderId="0" xfId="0" applyFont="1" applyAlignment="1">
      <alignment wrapText="1"/>
    </xf>
    <xf numFmtId="0" fontId="4" fillId="0" borderId="0" xfId="0" applyFont="1" applyAlignment="1">
      <alignment horizontal="left" wrapText="1"/>
    </xf>
    <xf numFmtId="0" fontId="5" fillId="0" borderId="1" xfId="0" applyFont="1" applyBorder="1" applyAlignment="1">
      <alignment horizontal="center"/>
    </xf>
    <xf numFmtId="0" fontId="5" fillId="0" borderId="0" xfId="0" applyFont="1" applyAlignment="1">
      <alignment horizontal="center"/>
    </xf>
  </cellXfs>
  <cellStyles count="5">
    <cellStyle name="Hyperlink" xfId="3" builtinId="8"/>
    <cellStyle name="Normal" xfId="0" builtinId="0"/>
    <cellStyle name="Normal 2" xfId="1" xr:uid="{00000000-0005-0000-0000-000002000000}"/>
    <cellStyle name="Normal_Housing lists dataset" xfId="4" xr:uid="{00000000-0005-0000-0000-000003000000}"/>
    <cellStyle name="Normal_Sheet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700">
                <a:solidFill>
                  <a:sysClr val="windowText" lastClr="000000"/>
                </a:solidFill>
              </a:defRPr>
            </a:pPr>
            <a:r>
              <a:rPr lang="en-US" sz="1600">
                <a:solidFill>
                  <a:sysClr val="windowText" lastClr="000000"/>
                </a:solidFill>
              </a:rPr>
              <a:t>Figure 1:</a:t>
            </a:r>
            <a:r>
              <a:rPr lang="en-US" sz="1600" baseline="0">
                <a:solidFill>
                  <a:sysClr val="windowText" lastClr="000000"/>
                </a:solidFill>
              </a:rPr>
              <a:t> Number of people</a:t>
            </a:r>
            <a:r>
              <a:rPr lang="en-US" sz="1600">
                <a:solidFill>
                  <a:sysClr val="windowText" lastClr="000000"/>
                </a:solidFill>
              </a:rPr>
              <a:t> (owner occupier) awarded</a:t>
            </a:r>
            <a:r>
              <a:rPr lang="en-US" sz="1600" baseline="0">
                <a:solidFill>
                  <a:sysClr val="windowText" lastClr="000000"/>
                </a:solidFill>
              </a:rPr>
              <a:t> Lone Pensioner Allowance in Northern Ireland at year-end 31 March 2010 to 31 March 2024</a:t>
            </a:r>
          </a:p>
        </c:rich>
      </c:tx>
      <c:layout>
        <c:manualLayout>
          <c:xMode val="edge"/>
          <c:yMode val="edge"/>
          <c:x val="0.12350475545395567"/>
          <c:y val="2.4427418748035931E-2"/>
        </c:manualLayout>
      </c:layout>
      <c:overlay val="0"/>
    </c:title>
    <c:autoTitleDeleted val="0"/>
    <c:plotArea>
      <c:layout>
        <c:manualLayout>
          <c:layoutTarget val="inner"/>
          <c:xMode val="edge"/>
          <c:yMode val="edge"/>
          <c:x val="7.9954421241592508E-2"/>
          <c:y val="0.14751063368343711"/>
          <c:w val="0.8947275138994738"/>
          <c:h val="0.70485480208734452"/>
        </c:manualLayout>
      </c:layout>
      <c:barChart>
        <c:barDir val="col"/>
        <c:grouping val="clustered"/>
        <c:varyColors val="0"/>
        <c:ser>
          <c:idx val="0"/>
          <c:order val="0"/>
          <c:tx>
            <c:strRef>
              <c:f>'Table 1.3'!$B$5</c:f>
              <c:strCache>
                <c:ptCount val="1"/>
                <c:pt idx="0">
                  <c:v>Number of people awarded LPA </c:v>
                </c:pt>
              </c:strCache>
            </c:strRef>
          </c:tx>
          <c:spPr>
            <a:solidFill>
              <a:srgbClr val="31859C"/>
            </a:solidFill>
            <a:ln w="15875"/>
          </c:spPr>
          <c:invertIfNegative val="0"/>
          <c:cat>
            <c:numRef>
              <c:f>'Table 1.3'!$A$6:$A$20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1.3'!$B$6:$B$20</c:f>
              <c:numCache>
                <c:formatCode>#,##0</c:formatCode>
                <c:ptCount val="15"/>
                <c:pt idx="0">
                  <c:v>20110</c:v>
                </c:pt>
                <c:pt idx="1">
                  <c:v>21700</c:v>
                </c:pt>
                <c:pt idx="2">
                  <c:v>22582</c:v>
                </c:pt>
                <c:pt idx="3">
                  <c:v>23894</c:v>
                </c:pt>
                <c:pt idx="4">
                  <c:v>24699</c:v>
                </c:pt>
                <c:pt idx="5">
                  <c:v>25253</c:v>
                </c:pt>
                <c:pt idx="6">
                  <c:v>26268</c:v>
                </c:pt>
                <c:pt idx="7">
                  <c:v>27262</c:v>
                </c:pt>
                <c:pt idx="8">
                  <c:v>28208</c:v>
                </c:pt>
                <c:pt idx="9">
                  <c:v>29841</c:v>
                </c:pt>
                <c:pt idx="10">
                  <c:v>31020</c:v>
                </c:pt>
                <c:pt idx="11">
                  <c:v>31834</c:v>
                </c:pt>
                <c:pt idx="12">
                  <c:v>32193</c:v>
                </c:pt>
                <c:pt idx="13">
                  <c:v>33710</c:v>
                </c:pt>
                <c:pt idx="14">
                  <c:v>35020</c:v>
                </c:pt>
              </c:numCache>
            </c:numRef>
          </c:val>
          <c:extLst>
            <c:ext xmlns:c16="http://schemas.microsoft.com/office/drawing/2014/chart" uri="{C3380CC4-5D6E-409C-BE32-E72D297353CC}">
              <c16:uniqueId val="{00000000-6A40-41B4-977B-1D935A6802D6}"/>
            </c:ext>
          </c:extLst>
        </c:ser>
        <c:dLbls>
          <c:showLegendKey val="0"/>
          <c:showVal val="0"/>
          <c:showCatName val="0"/>
          <c:showSerName val="0"/>
          <c:showPercent val="0"/>
          <c:showBubbleSize val="0"/>
        </c:dLbls>
        <c:gapWidth val="150"/>
        <c:axId val="796332280"/>
        <c:axId val="796333064"/>
      </c:barChart>
      <c:catAx>
        <c:axId val="796332280"/>
        <c:scaling>
          <c:orientation val="minMax"/>
        </c:scaling>
        <c:delete val="0"/>
        <c:axPos val="b"/>
        <c:numFmt formatCode="[$-809]dd\ mmmm\ yyyy;@" sourceLinked="1"/>
        <c:majorTickMark val="out"/>
        <c:minorTickMark val="none"/>
        <c:tickLblPos val="nextTo"/>
        <c:crossAx val="796333064"/>
        <c:crosses val="autoZero"/>
        <c:auto val="0"/>
        <c:lblAlgn val="ctr"/>
        <c:lblOffset val="100"/>
        <c:noMultiLvlLbl val="0"/>
      </c:catAx>
      <c:valAx>
        <c:axId val="796333064"/>
        <c:scaling>
          <c:orientation val="minMax"/>
          <c:max val="36000"/>
          <c:min val="0"/>
        </c:scaling>
        <c:delete val="0"/>
        <c:axPos val="l"/>
        <c:majorGridlines/>
        <c:numFmt formatCode="#,##0" sourceLinked="1"/>
        <c:majorTickMark val="out"/>
        <c:minorTickMark val="none"/>
        <c:tickLblPos val="nextTo"/>
        <c:crossAx val="796332280"/>
        <c:crosses val="autoZero"/>
        <c:crossBetween val="between"/>
        <c:majorUnit val="4000"/>
      </c:valAx>
    </c:plotArea>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600">
                <a:solidFill>
                  <a:sysClr val="windowText" lastClr="000000"/>
                </a:solidFill>
              </a:defRPr>
            </a:pPr>
            <a:r>
              <a:rPr lang="en-US" sz="1600">
                <a:solidFill>
                  <a:sysClr val="windowText" lastClr="000000"/>
                </a:solidFill>
              </a:rPr>
              <a:t>Figure 2: Net Amount of Lone </a:t>
            </a:r>
            <a:r>
              <a:rPr lang="en-US" sz="1600" baseline="0">
                <a:solidFill>
                  <a:sysClr val="windowText" lastClr="000000"/>
                </a:solidFill>
              </a:rPr>
              <a:t>Pensioner Allowance (owner occupier) awarded in Northern Ireland at year-end 31 March 2010 to 31 March 2024</a:t>
            </a:r>
          </a:p>
        </c:rich>
      </c:tx>
      <c:layout>
        <c:manualLayout>
          <c:xMode val="edge"/>
          <c:yMode val="edge"/>
          <c:x val="0.12274844293665922"/>
          <c:y val="1.4990634626139599E-2"/>
        </c:manualLayout>
      </c:layout>
      <c:overlay val="0"/>
    </c:title>
    <c:autoTitleDeleted val="0"/>
    <c:plotArea>
      <c:layout>
        <c:manualLayout>
          <c:layoutTarget val="inner"/>
          <c:xMode val="edge"/>
          <c:yMode val="edge"/>
          <c:x val="0.10661412559241309"/>
          <c:y val="0.19482338946639596"/>
          <c:w val="0.87646191518851579"/>
          <c:h val="0.63038748679526657"/>
        </c:manualLayout>
      </c:layout>
      <c:barChart>
        <c:barDir val="col"/>
        <c:grouping val="clustered"/>
        <c:varyColors val="0"/>
        <c:ser>
          <c:idx val="0"/>
          <c:order val="1"/>
          <c:tx>
            <c:strRef>
              <c:f>'Table 1.3'!$C$5</c:f>
              <c:strCache>
                <c:ptCount val="1"/>
                <c:pt idx="0">
                  <c:v>Net amount of LPA awarded</c:v>
                </c:pt>
              </c:strCache>
            </c:strRef>
          </c:tx>
          <c:spPr>
            <a:solidFill>
              <a:srgbClr val="31859C"/>
            </a:solidFill>
          </c:spPr>
          <c:invertIfNegative val="0"/>
          <c:cat>
            <c:numRef>
              <c:f>'Table 1.3'!$A$6:$A$20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1.3'!$C$6:$C$20</c:f>
              <c:numCache>
                <c:formatCode>"£"#,##0</c:formatCode>
                <c:ptCount val="15"/>
                <c:pt idx="0">
                  <c:v>3489964.3100000084</c:v>
                </c:pt>
                <c:pt idx="1">
                  <c:v>3666343.3100000038</c:v>
                </c:pt>
                <c:pt idx="2">
                  <c:v>3887744.8700000094</c:v>
                </c:pt>
                <c:pt idx="3">
                  <c:v>4001381.6999999755</c:v>
                </c:pt>
                <c:pt idx="4">
                  <c:v>4231716.1399999978</c:v>
                </c:pt>
                <c:pt idx="5">
                  <c:v>4642019.7399999974</c:v>
                </c:pt>
                <c:pt idx="6">
                  <c:v>4953054.4900000077</c:v>
                </c:pt>
                <c:pt idx="7">
                  <c:v>5290059.6400000416</c:v>
                </c:pt>
                <c:pt idx="8">
                  <c:v>5591395.6699999999</c:v>
                </c:pt>
                <c:pt idx="9">
                  <c:v>6229891.1500000004</c:v>
                </c:pt>
                <c:pt idx="10">
                  <c:v>6583451.8300000001</c:v>
                </c:pt>
                <c:pt idx="11">
                  <c:v>6891505.9299999997</c:v>
                </c:pt>
                <c:pt idx="12">
                  <c:v>7050025.2199999997</c:v>
                </c:pt>
                <c:pt idx="13">
                  <c:v>7699506.5700000003</c:v>
                </c:pt>
                <c:pt idx="14">
                  <c:v>8464649.3500000015</c:v>
                </c:pt>
              </c:numCache>
            </c:numRef>
          </c:val>
          <c:extLst>
            <c:ext xmlns:c16="http://schemas.microsoft.com/office/drawing/2014/chart" uri="{C3380CC4-5D6E-409C-BE32-E72D297353CC}">
              <c16:uniqueId val="{00000001-212C-40CB-89E8-5A8910AC1BEB}"/>
            </c:ext>
          </c:extLst>
        </c:ser>
        <c:dLbls>
          <c:showLegendKey val="0"/>
          <c:showVal val="0"/>
          <c:showCatName val="0"/>
          <c:showSerName val="0"/>
          <c:showPercent val="0"/>
          <c:showBubbleSize val="0"/>
        </c:dLbls>
        <c:gapWidth val="150"/>
        <c:axId val="368052776"/>
        <c:axId val="368053168"/>
        <c:extLst>
          <c:ext xmlns:c15="http://schemas.microsoft.com/office/drawing/2012/chart" uri="{02D57815-91ED-43cb-92C2-25804820EDAC}">
            <c15:filteredBarSeries>
              <c15:ser>
                <c:idx val="2"/>
                <c:order val="0"/>
                <c:tx>
                  <c:strRef>
                    <c:extLst>
                      <c:ext uri="{02D57815-91ED-43cb-92C2-25804820EDAC}">
                        <c15:formulaRef>
                          <c15:sqref>'Table 1.3'!$B$5</c15:sqref>
                        </c15:formulaRef>
                      </c:ext>
                    </c:extLst>
                    <c:strCache>
                      <c:ptCount val="1"/>
                      <c:pt idx="0">
                        <c:v>Number of people awarded LPA </c:v>
                      </c:pt>
                    </c:strCache>
                  </c:strRef>
                </c:tx>
                <c:invertIfNegative val="0"/>
                <c:cat>
                  <c:numRef>
                    <c:extLst>
                      <c:ext uri="{02D57815-91ED-43cb-92C2-25804820EDAC}">
                        <c15:formulaRef>
                          <c15:sqref>'Table 1.3'!$A$6:$A$20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c:ext uri="{02D57815-91ED-43cb-92C2-25804820EDAC}">
                        <c15:formulaRef>
                          <c15:sqref>'Table 1.3'!$B$6:$B$20</c15:sqref>
                        </c15:formulaRef>
                      </c:ext>
                    </c:extLst>
                    <c:numCache>
                      <c:formatCode>#,##0</c:formatCode>
                      <c:ptCount val="15"/>
                      <c:pt idx="0">
                        <c:v>20110</c:v>
                      </c:pt>
                      <c:pt idx="1">
                        <c:v>21700</c:v>
                      </c:pt>
                      <c:pt idx="2">
                        <c:v>22582</c:v>
                      </c:pt>
                      <c:pt idx="3">
                        <c:v>23894</c:v>
                      </c:pt>
                      <c:pt idx="4">
                        <c:v>24699</c:v>
                      </c:pt>
                      <c:pt idx="5">
                        <c:v>25253</c:v>
                      </c:pt>
                      <c:pt idx="6">
                        <c:v>26268</c:v>
                      </c:pt>
                      <c:pt idx="7">
                        <c:v>27262</c:v>
                      </c:pt>
                      <c:pt idx="8">
                        <c:v>28208</c:v>
                      </c:pt>
                      <c:pt idx="9">
                        <c:v>29841</c:v>
                      </c:pt>
                      <c:pt idx="10">
                        <c:v>31020</c:v>
                      </c:pt>
                      <c:pt idx="11">
                        <c:v>31834</c:v>
                      </c:pt>
                      <c:pt idx="12">
                        <c:v>32193</c:v>
                      </c:pt>
                      <c:pt idx="13">
                        <c:v>33710</c:v>
                      </c:pt>
                      <c:pt idx="14">
                        <c:v>35020</c:v>
                      </c:pt>
                    </c:numCache>
                  </c:numRef>
                </c:val>
                <c:extLst>
                  <c:ext xmlns:c16="http://schemas.microsoft.com/office/drawing/2014/chart" uri="{C3380CC4-5D6E-409C-BE32-E72D297353CC}">
                    <c16:uniqueId val="{00000000-212C-40CB-89E8-5A8910AC1BEB}"/>
                  </c:ext>
                </c:extLst>
              </c15:ser>
            </c15:filteredBarSeries>
          </c:ext>
        </c:extLst>
      </c:barChart>
      <c:catAx>
        <c:axId val="368052776"/>
        <c:scaling>
          <c:orientation val="minMax"/>
        </c:scaling>
        <c:delete val="0"/>
        <c:axPos val="b"/>
        <c:numFmt formatCode="[$-809]dd\ mmmm\ yyyy;@" sourceLinked="1"/>
        <c:majorTickMark val="out"/>
        <c:minorTickMark val="none"/>
        <c:tickLblPos val="nextTo"/>
        <c:crossAx val="368053168"/>
        <c:crossesAt val="0"/>
        <c:auto val="0"/>
        <c:lblAlgn val="ctr"/>
        <c:lblOffset val="100"/>
        <c:noMultiLvlLbl val="0"/>
      </c:catAx>
      <c:valAx>
        <c:axId val="368053168"/>
        <c:scaling>
          <c:orientation val="minMax"/>
          <c:max val="8500000"/>
          <c:min val="0"/>
        </c:scaling>
        <c:delete val="0"/>
        <c:axPos val="l"/>
        <c:majorGridlines/>
        <c:numFmt formatCode="&quot;£&quot;#,##0" sourceLinked="0"/>
        <c:majorTickMark val="out"/>
        <c:minorTickMark val="none"/>
        <c:tickLblPos val="nextTo"/>
        <c:crossAx val="368052776"/>
        <c:crosses val="autoZero"/>
        <c:crossBetween val="between"/>
        <c:majorUnit val="500000"/>
      </c:valAx>
    </c:plotArea>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700">
                <a:solidFill>
                  <a:sysClr val="windowText" lastClr="000000"/>
                </a:solidFill>
              </a:defRPr>
            </a:pPr>
            <a:r>
              <a:rPr lang="en-US" sz="1600">
                <a:solidFill>
                  <a:sysClr val="windowText" lastClr="000000"/>
                </a:solidFill>
              </a:rPr>
              <a:t>Figure 3: Net</a:t>
            </a:r>
            <a:r>
              <a:rPr lang="en-US" sz="1600" baseline="0">
                <a:solidFill>
                  <a:sysClr val="windowText" lastClr="000000"/>
                </a:solidFill>
              </a:rPr>
              <a:t> Amount of</a:t>
            </a:r>
            <a:r>
              <a:rPr lang="en-US" sz="1600">
                <a:solidFill>
                  <a:sysClr val="windowText" lastClr="000000"/>
                </a:solidFill>
              </a:rPr>
              <a:t> Lone </a:t>
            </a:r>
            <a:r>
              <a:rPr lang="en-US" sz="1600" baseline="0">
                <a:solidFill>
                  <a:sysClr val="windowText" lastClr="000000"/>
                </a:solidFill>
              </a:rPr>
              <a:t>Pensioner Allowance (Private Rented Sector) awarded in Northern Ireland at year-end 31 March 2010 to 31 March 2024</a:t>
            </a:r>
          </a:p>
        </c:rich>
      </c:tx>
      <c:layout>
        <c:manualLayout>
          <c:xMode val="edge"/>
          <c:yMode val="edge"/>
          <c:x val="0.11799496421304972"/>
          <c:y val="2.5065884295285987E-2"/>
        </c:manualLayout>
      </c:layout>
      <c:overlay val="0"/>
    </c:title>
    <c:autoTitleDeleted val="0"/>
    <c:plotArea>
      <c:layout>
        <c:manualLayout>
          <c:layoutTarget val="inner"/>
          <c:xMode val="edge"/>
          <c:yMode val="edge"/>
          <c:x val="8.6774051682059247E-2"/>
          <c:y val="0.16935672618498387"/>
          <c:w val="0.898222761348907"/>
          <c:h val="0.65585412576396251"/>
        </c:manualLayout>
      </c:layout>
      <c:barChart>
        <c:barDir val="col"/>
        <c:grouping val="clustered"/>
        <c:varyColors val="0"/>
        <c:ser>
          <c:idx val="1"/>
          <c:order val="0"/>
          <c:tx>
            <c:strRef>
              <c:f>'Table 1.4'!$B$5</c:f>
              <c:strCache>
                <c:ptCount val="1"/>
                <c:pt idx="0">
                  <c:v>Net Amount of LPA awarded (Private Rented Sector)</c:v>
                </c:pt>
              </c:strCache>
            </c:strRef>
          </c:tx>
          <c:spPr>
            <a:solidFill>
              <a:srgbClr val="31859C"/>
            </a:solidFill>
          </c:spPr>
          <c:invertIfNegative val="0"/>
          <c:cat>
            <c:numRef>
              <c:f>'Table 1.4'!$A$6:$A$20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1.4'!$B$6:$B$20</c:f>
              <c:numCache>
                <c:formatCode>"£"#,##0</c:formatCode>
                <c:ptCount val="15"/>
                <c:pt idx="0">
                  <c:v>351002.23</c:v>
                </c:pt>
                <c:pt idx="1">
                  <c:v>387322.52999999997</c:v>
                </c:pt>
                <c:pt idx="2">
                  <c:v>417638.85</c:v>
                </c:pt>
                <c:pt idx="3">
                  <c:v>384165.13000000006</c:v>
                </c:pt>
                <c:pt idx="4">
                  <c:v>421789.75000000017</c:v>
                </c:pt>
                <c:pt idx="5">
                  <c:v>467498.66000000009</c:v>
                </c:pt>
                <c:pt idx="6">
                  <c:v>509368.74</c:v>
                </c:pt>
                <c:pt idx="7">
                  <c:v>523777.52000000008</c:v>
                </c:pt>
                <c:pt idx="8">
                  <c:v>546273.77</c:v>
                </c:pt>
                <c:pt idx="9">
                  <c:v>591267.56000000006</c:v>
                </c:pt>
                <c:pt idx="10">
                  <c:v>649020.6</c:v>
                </c:pt>
                <c:pt idx="11">
                  <c:v>659802.96</c:v>
                </c:pt>
                <c:pt idx="12">
                  <c:v>639229.21</c:v>
                </c:pt>
                <c:pt idx="13">
                  <c:v>613548.37</c:v>
                </c:pt>
                <c:pt idx="14">
                  <c:v>646073.56999999995</c:v>
                </c:pt>
              </c:numCache>
            </c:numRef>
          </c:val>
          <c:extLst>
            <c:ext xmlns:c16="http://schemas.microsoft.com/office/drawing/2014/chart" uri="{C3380CC4-5D6E-409C-BE32-E72D297353CC}">
              <c16:uniqueId val="{00000000-9578-4495-AE1D-D0B3032D2323}"/>
            </c:ext>
          </c:extLst>
        </c:ser>
        <c:dLbls>
          <c:showLegendKey val="0"/>
          <c:showVal val="0"/>
          <c:showCatName val="0"/>
          <c:showSerName val="0"/>
          <c:showPercent val="0"/>
          <c:showBubbleSize val="0"/>
        </c:dLbls>
        <c:gapWidth val="150"/>
        <c:axId val="368053952"/>
        <c:axId val="368054736"/>
      </c:barChart>
      <c:catAx>
        <c:axId val="368053952"/>
        <c:scaling>
          <c:orientation val="minMax"/>
        </c:scaling>
        <c:delete val="0"/>
        <c:axPos val="b"/>
        <c:numFmt formatCode="[$-F800]dddd\,\ mmmm\ dd\,\ yyyy" sourceLinked="0"/>
        <c:majorTickMark val="out"/>
        <c:minorTickMark val="none"/>
        <c:tickLblPos val="nextTo"/>
        <c:crossAx val="368054736"/>
        <c:crossesAt val="0"/>
        <c:auto val="0"/>
        <c:lblAlgn val="ctr"/>
        <c:lblOffset val="100"/>
        <c:noMultiLvlLbl val="0"/>
      </c:catAx>
      <c:valAx>
        <c:axId val="368054736"/>
        <c:scaling>
          <c:orientation val="minMax"/>
          <c:max val="700000"/>
          <c:min val="0"/>
        </c:scaling>
        <c:delete val="0"/>
        <c:axPos val="l"/>
        <c:majorGridlines/>
        <c:numFmt formatCode="&quot;£&quot;#,##0" sourceLinked="0"/>
        <c:majorTickMark val="out"/>
        <c:minorTickMark val="none"/>
        <c:tickLblPos val="nextTo"/>
        <c:spPr>
          <a:noFill/>
        </c:spPr>
        <c:crossAx val="368053952"/>
        <c:crosses val="autoZero"/>
        <c:crossBetween val="between"/>
        <c:majorUnit val="100000"/>
      </c:valAx>
    </c:plotArea>
    <c:plotVisOnly val="1"/>
    <c:dispBlanksAs val="gap"/>
    <c:showDLblsOverMax val="0"/>
  </c:chart>
  <c:spPr>
    <a:solidFill>
      <a:schemeClr val="bg1"/>
    </a:solidFill>
  </c:spPr>
  <c:printSettings>
    <c:headerFooter/>
    <c:pageMargins b="0.75000000000000133" l="0.70000000000000062" r="0.70000000000000062" t="0.75000000000000133" header="0.30000000000000032" footer="0.3000000000000003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700"/>
            </a:pPr>
            <a:r>
              <a:rPr lang="en-US" sz="1600"/>
              <a:t>Figure 4: Net Amount of L</a:t>
            </a:r>
            <a:r>
              <a:rPr lang="en-US" sz="1600" baseline="0"/>
              <a:t>one Pensioner Allowance (NIHE) awarded in </a:t>
            </a:r>
          </a:p>
          <a:p>
            <a:pPr algn="l">
              <a:defRPr sz="1700"/>
            </a:pPr>
            <a:r>
              <a:rPr lang="en-US" sz="1600" baseline="0"/>
              <a:t>                 Northern </a:t>
            </a:r>
            <a:r>
              <a:rPr lang="en-US" sz="1600" baseline="0">
                <a:solidFill>
                  <a:sysClr val="windowText" lastClr="000000"/>
                </a:solidFill>
              </a:rPr>
              <a:t>Ireland at year-end 31 March 2010 to 31 March 2024</a:t>
            </a:r>
            <a:endParaRPr lang="en-US" sz="1600">
              <a:solidFill>
                <a:sysClr val="windowText" lastClr="000000"/>
              </a:solidFill>
            </a:endParaRPr>
          </a:p>
        </c:rich>
      </c:tx>
      <c:layout>
        <c:manualLayout>
          <c:xMode val="edge"/>
          <c:yMode val="edge"/>
          <c:x val="0.16736565193787586"/>
          <c:y val="3.3421179060381313E-2"/>
        </c:manualLayout>
      </c:layout>
      <c:overlay val="0"/>
    </c:title>
    <c:autoTitleDeleted val="0"/>
    <c:plotArea>
      <c:layout>
        <c:manualLayout>
          <c:layoutTarget val="inner"/>
          <c:xMode val="edge"/>
          <c:yMode val="edge"/>
          <c:x val="9.3593682122526764E-2"/>
          <c:y val="0.16935672618498387"/>
          <c:w val="0.89140313090844447"/>
          <c:h val="0.65585412576396251"/>
        </c:manualLayout>
      </c:layout>
      <c:barChart>
        <c:barDir val="col"/>
        <c:grouping val="clustered"/>
        <c:varyColors val="0"/>
        <c:ser>
          <c:idx val="1"/>
          <c:order val="1"/>
          <c:tx>
            <c:strRef>
              <c:f>'Table 1.4'!$C$5</c:f>
              <c:strCache>
                <c:ptCount val="1"/>
                <c:pt idx="0">
                  <c:v>Net Amount of LPA awarded (NIHE)</c:v>
                </c:pt>
              </c:strCache>
            </c:strRef>
          </c:tx>
          <c:spPr>
            <a:solidFill>
              <a:srgbClr val="31859C"/>
            </a:solidFill>
            <a:ln w="15875"/>
          </c:spPr>
          <c:invertIfNegative val="0"/>
          <c:cat>
            <c:numRef>
              <c:f>'Table 1.4'!$A$6:$A$20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1.4'!$C$6:$C$20</c:f>
              <c:numCache>
                <c:formatCode>"£"#,##0</c:formatCode>
                <c:ptCount val="15"/>
                <c:pt idx="0">
                  <c:v>74703.539999999994</c:v>
                </c:pt>
                <c:pt idx="1">
                  <c:v>65242.889999999992</c:v>
                </c:pt>
                <c:pt idx="2">
                  <c:v>62289.780000000013</c:v>
                </c:pt>
                <c:pt idx="3">
                  <c:v>71638.12</c:v>
                </c:pt>
                <c:pt idx="4">
                  <c:v>69608.56</c:v>
                </c:pt>
                <c:pt idx="5">
                  <c:v>77217.039999999979</c:v>
                </c:pt>
                <c:pt idx="6">
                  <c:v>76397.11</c:v>
                </c:pt>
                <c:pt idx="7">
                  <c:v>75806.290000000008</c:v>
                </c:pt>
                <c:pt idx="8">
                  <c:v>63685.47</c:v>
                </c:pt>
                <c:pt idx="9">
                  <c:v>76793.200000000012</c:v>
                </c:pt>
                <c:pt idx="10">
                  <c:v>75568.460000000006</c:v>
                </c:pt>
                <c:pt idx="11">
                  <c:v>67642.210000000006</c:v>
                </c:pt>
                <c:pt idx="12">
                  <c:v>73224.55</c:v>
                </c:pt>
                <c:pt idx="13">
                  <c:v>69348.350000000006</c:v>
                </c:pt>
                <c:pt idx="14">
                  <c:v>61520.99</c:v>
                </c:pt>
              </c:numCache>
            </c:numRef>
          </c:val>
          <c:extLst>
            <c:ext xmlns:c16="http://schemas.microsoft.com/office/drawing/2014/chart" uri="{C3380CC4-5D6E-409C-BE32-E72D297353CC}">
              <c16:uniqueId val="{00000000-675A-4FE4-8214-A490E4D7F2DC}"/>
            </c:ext>
          </c:extLst>
        </c:ser>
        <c:dLbls>
          <c:showLegendKey val="0"/>
          <c:showVal val="0"/>
          <c:showCatName val="0"/>
          <c:showSerName val="0"/>
          <c:showPercent val="0"/>
          <c:showBubbleSize val="0"/>
        </c:dLbls>
        <c:gapWidth val="150"/>
        <c:axId val="368051600"/>
        <c:axId val="368051992"/>
        <c:extLst>
          <c:ext xmlns:c15="http://schemas.microsoft.com/office/drawing/2012/chart" uri="{02D57815-91ED-43cb-92C2-25804820EDAC}">
            <c15:filteredBarSeries>
              <c15:ser>
                <c:idx val="0"/>
                <c:order val="0"/>
                <c:tx>
                  <c:strRef>
                    <c:extLst>
                      <c:ext uri="{02D57815-91ED-43cb-92C2-25804820EDAC}">
                        <c15:formulaRef>
                          <c15:sqref>'Table 1.4'!$B$5</c15:sqref>
                        </c15:formulaRef>
                      </c:ext>
                    </c:extLst>
                    <c:strCache>
                      <c:ptCount val="1"/>
                      <c:pt idx="0">
                        <c:v>Net Amount of LPA awarded (Private Rented Sector)</c:v>
                      </c:pt>
                    </c:strCache>
                  </c:strRef>
                </c:tx>
                <c:invertIfNegative val="0"/>
                <c:cat>
                  <c:numRef>
                    <c:extLst>
                      <c:ext uri="{02D57815-91ED-43cb-92C2-25804820EDAC}">
                        <c15:formulaRef>
                          <c15:sqref>'Table 1.4'!$A$6:$A$20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c:ext uri="{02D57815-91ED-43cb-92C2-25804820EDAC}">
                        <c15:formulaRef>
                          <c15:sqref>'Table 1.4'!$B$6:$B$20</c15:sqref>
                        </c15:formulaRef>
                      </c:ext>
                    </c:extLst>
                    <c:numCache>
                      <c:formatCode>"£"#,##0</c:formatCode>
                      <c:ptCount val="15"/>
                      <c:pt idx="0">
                        <c:v>351002.23</c:v>
                      </c:pt>
                      <c:pt idx="1">
                        <c:v>387322.52999999997</c:v>
                      </c:pt>
                      <c:pt idx="2">
                        <c:v>417638.85</c:v>
                      </c:pt>
                      <c:pt idx="3">
                        <c:v>384165.13000000006</c:v>
                      </c:pt>
                      <c:pt idx="4">
                        <c:v>421789.75000000017</c:v>
                      </c:pt>
                      <c:pt idx="5">
                        <c:v>467498.66000000009</c:v>
                      </c:pt>
                      <c:pt idx="6">
                        <c:v>509368.74</c:v>
                      </c:pt>
                      <c:pt idx="7">
                        <c:v>523777.52000000008</c:v>
                      </c:pt>
                      <c:pt idx="8">
                        <c:v>546273.77</c:v>
                      </c:pt>
                      <c:pt idx="9">
                        <c:v>591267.56000000006</c:v>
                      </c:pt>
                      <c:pt idx="10">
                        <c:v>649020.6</c:v>
                      </c:pt>
                      <c:pt idx="11">
                        <c:v>659802.96</c:v>
                      </c:pt>
                      <c:pt idx="12">
                        <c:v>639229.21</c:v>
                      </c:pt>
                      <c:pt idx="13">
                        <c:v>613548.37</c:v>
                      </c:pt>
                      <c:pt idx="14">
                        <c:v>646073.56999999995</c:v>
                      </c:pt>
                    </c:numCache>
                  </c:numRef>
                </c:val>
                <c:extLst>
                  <c:ext xmlns:c16="http://schemas.microsoft.com/office/drawing/2014/chart" uri="{C3380CC4-5D6E-409C-BE32-E72D297353CC}">
                    <c16:uniqueId val="{00000001-675A-4FE4-8214-A490E4D7F2DC}"/>
                  </c:ext>
                </c:extLst>
              </c15:ser>
            </c15:filteredBarSeries>
          </c:ext>
        </c:extLst>
      </c:barChart>
      <c:catAx>
        <c:axId val="368051600"/>
        <c:scaling>
          <c:orientation val="minMax"/>
        </c:scaling>
        <c:delete val="0"/>
        <c:axPos val="b"/>
        <c:numFmt formatCode="[$-809]dd\ mmmm\ yyyy;@" sourceLinked="1"/>
        <c:majorTickMark val="out"/>
        <c:minorTickMark val="none"/>
        <c:tickLblPos val="nextTo"/>
        <c:crossAx val="368051992"/>
        <c:crossesAt val="0"/>
        <c:auto val="0"/>
        <c:lblAlgn val="ctr"/>
        <c:lblOffset val="100"/>
        <c:noMultiLvlLbl val="0"/>
      </c:catAx>
      <c:valAx>
        <c:axId val="368051992"/>
        <c:scaling>
          <c:orientation val="minMax"/>
          <c:max val="80000"/>
          <c:min val="0"/>
        </c:scaling>
        <c:delete val="0"/>
        <c:axPos val="l"/>
        <c:majorGridlines/>
        <c:numFmt formatCode="&quot;£&quot;#,##0" sourceLinked="1"/>
        <c:majorTickMark val="out"/>
        <c:minorTickMark val="none"/>
        <c:tickLblPos val="nextTo"/>
        <c:crossAx val="368051600"/>
        <c:crosses val="autoZero"/>
        <c:crossBetween val="between"/>
        <c:majorUnit val="10000"/>
      </c:valAx>
    </c:plotArea>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600"/>
            </a:pPr>
            <a:r>
              <a:rPr lang="en-US" sz="1600">
                <a:solidFill>
                  <a:sysClr val="windowText" lastClr="000000"/>
                </a:solidFill>
              </a:rPr>
              <a:t>Figure 5: Net Amount</a:t>
            </a:r>
            <a:r>
              <a:rPr lang="en-US" sz="1600" baseline="0">
                <a:solidFill>
                  <a:sysClr val="windowText" lastClr="000000"/>
                </a:solidFill>
              </a:rPr>
              <a:t> of </a:t>
            </a:r>
            <a:r>
              <a:rPr lang="en-US" sz="1600">
                <a:solidFill>
                  <a:sysClr val="windowText" lastClr="000000"/>
                </a:solidFill>
              </a:rPr>
              <a:t>Lone </a:t>
            </a:r>
            <a:r>
              <a:rPr lang="en-US" sz="1600" baseline="0">
                <a:solidFill>
                  <a:sysClr val="windowText" lastClr="000000"/>
                </a:solidFill>
              </a:rPr>
              <a:t>Pensioner Allowance (Housing Association) awarded in Northern Ireland at year-end 31 March 2010 to 31 March 2024</a:t>
            </a:r>
            <a:endParaRPr lang="en-US" sz="1600">
              <a:solidFill>
                <a:sysClr val="windowText" lastClr="000000"/>
              </a:solidFill>
            </a:endParaRPr>
          </a:p>
        </c:rich>
      </c:tx>
      <c:layout>
        <c:manualLayout>
          <c:xMode val="edge"/>
          <c:yMode val="edge"/>
          <c:x val="0.12519104334302134"/>
          <c:y val="2.9629545781634303E-2"/>
        </c:manualLayout>
      </c:layout>
      <c:overlay val="0"/>
    </c:title>
    <c:autoTitleDeleted val="0"/>
    <c:plotArea>
      <c:layout>
        <c:manualLayout>
          <c:layoutTarget val="inner"/>
          <c:xMode val="edge"/>
          <c:yMode val="edge"/>
          <c:x val="8.4721419680152246E-2"/>
          <c:y val="0.17867726313674992"/>
          <c:w val="0.89754752726007825"/>
          <c:h val="0.64235601846836021"/>
        </c:manualLayout>
      </c:layout>
      <c:barChart>
        <c:barDir val="col"/>
        <c:grouping val="clustered"/>
        <c:varyColors val="0"/>
        <c:ser>
          <c:idx val="1"/>
          <c:order val="2"/>
          <c:tx>
            <c:strRef>
              <c:f>'Table 1.4'!$D$5</c:f>
              <c:strCache>
                <c:ptCount val="1"/>
                <c:pt idx="0">
                  <c:v>Net Amount of LPA awarded (Housing Association)</c:v>
                </c:pt>
              </c:strCache>
            </c:strRef>
          </c:tx>
          <c:spPr>
            <a:solidFill>
              <a:srgbClr val="31859C"/>
            </a:solidFill>
          </c:spPr>
          <c:invertIfNegative val="0"/>
          <c:cat>
            <c:numRef>
              <c:f>'Table 1.4'!$A$6:$A$20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1.4'!$D$6:$D$20</c:f>
              <c:numCache>
                <c:formatCode>"£"#,##0</c:formatCode>
                <c:ptCount val="15"/>
                <c:pt idx="0">
                  <c:v>59055.009999999995</c:v>
                </c:pt>
                <c:pt idx="1">
                  <c:v>76017.659999999989</c:v>
                </c:pt>
                <c:pt idx="2">
                  <c:v>79237.679999999993</c:v>
                </c:pt>
                <c:pt idx="3">
                  <c:v>70460.960000000021</c:v>
                </c:pt>
                <c:pt idx="4">
                  <c:v>75897.320000000007</c:v>
                </c:pt>
                <c:pt idx="5">
                  <c:v>80497.790000000008</c:v>
                </c:pt>
                <c:pt idx="6">
                  <c:v>82908</c:v>
                </c:pt>
                <c:pt idx="7">
                  <c:v>98000.07</c:v>
                </c:pt>
                <c:pt idx="8">
                  <c:v>79435.55</c:v>
                </c:pt>
                <c:pt idx="9">
                  <c:v>101570.09</c:v>
                </c:pt>
                <c:pt idx="10">
                  <c:v>88129.13</c:v>
                </c:pt>
                <c:pt idx="11">
                  <c:v>93928.19</c:v>
                </c:pt>
                <c:pt idx="12">
                  <c:v>83529.490000000005</c:v>
                </c:pt>
                <c:pt idx="13">
                  <c:v>81698.69</c:v>
                </c:pt>
                <c:pt idx="14">
                  <c:v>69375.55</c:v>
                </c:pt>
              </c:numCache>
            </c:numRef>
          </c:val>
          <c:extLst>
            <c:ext xmlns:c16="http://schemas.microsoft.com/office/drawing/2014/chart" uri="{C3380CC4-5D6E-409C-BE32-E72D297353CC}">
              <c16:uniqueId val="{00000000-7C9E-4B3F-9677-7ABEE061308A}"/>
            </c:ext>
          </c:extLst>
        </c:ser>
        <c:dLbls>
          <c:showLegendKey val="0"/>
          <c:showVal val="0"/>
          <c:showCatName val="0"/>
          <c:showSerName val="0"/>
          <c:showPercent val="0"/>
          <c:showBubbleSize val="0"/>
        </c:dLbls>
        <c:gapWidth val="150"/>
        <c:axId val="803362360"/>
        <c:axId val="803361576"/>
        <c:extLst>
          <c:ext xmlns:c15="http://schemas.microsoft.com/office/drawing/2012/chart" uri="{02D57815-91ED-43cb-92C2-25804820EDAC}">
            <c15:filteredBarSeries>
              <c15:ser>
                <c:idx val="2"/>
                <c:order val="0"/>
                <c:tx>
                  <c:strRef>
                    <c:extLst>
                      <c:ext uri="{02D57815-91ED-43cb-92C2-25804820EDAC}">
                        <c15:formulaRef>
                          <c15:sqref>'Table 1.4'!$B$5</c15:sqref>
                        </c15:formulaRef>
                      </c:ext>
                    </c:extLst>
                    <c:strCache>
                      <c:ptCount val="1"/>
                      <c:pt idx="0">
                        <c:v>Net Amount of LPA awarded (Private Rented Sector)</c:v>
                      </c:pt>
                    </c:strCache>
                  </c:strRef>
                </c:tx>
                <c:invertIfNegative val="0"/>
                <c:cat>
                  <c:numRef>
                    <c:extLst>
                      <c:ext uri="{02D57815-91ED-43cb-92C2-25804820EDAC}">
                        <c15:formulaRef>
                          <c15:sqref>'Table 1.4'!$A$6:$A$20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c:ext uri="{02D57815-91ED-43cb-92C2-25804820EDAC}">
                        <c15:formulaRef>
                          <c15:sqref>'Table 1.4'!$B$6:$B$20</c15:sqref>
                        </c15:formulaRef>
                      </c:ext>
                    </c:extLst>
                    <c:numCache>
                      <c:formatCode>"£"#,##0</c:formatCode>
                      <c:ptCount val="15"/>
                      <c:pt idx="0">
                        <c:v>351002.23</c:v>
                      </c:pt>
                      <c:pt idx="1">
                        <c:v>387322.52999999997</c:v>
                      </c:pt>
                      <c:pt idx="2">
                        <c:v>417638.85</c:v>
                      </c:pt>
                      <c:pt idx="3">
                        <c:v>384165.13000000006</c:v>
                      </c:pt>
                      <c:pt idx="4">
                        <c:v>421789.75000000017</c:v>
                      </c:pt>
                      <c:pt idx="5">
                        <c:v>467498.66000000009</c:v>
                      </c:pt>
                      <c:pt idx="6">
                        <c:v>509368.74</c:v>
                      </c:pt>
                      <c:pt idx="7">
                        <c:v>523777.52000000008</c:v>
                      </c:pt>
                      <c:pt idx="8">
                        <c:v>546273.77</c:v>
                      </c:pt>
                      <c:pt idx="9">
                        <c:v>591267.56000000006</c:v>
                      </c:pt>
                      <c:pt idx="10">
                        <c:v>649020.6</c:v>
                      </c:pt>
                      <c:pt idx="11">
                        <c:v>659802.96</c:v>
                      </c:pt>
                      <c:pt idx="12">
                        <c:v>639229.21</c:v>
                      </c:pt>
                      <c:pt idx="13">
                        <c:v>613548.37</c:v>
                      </c:pt>
                      <c:pt idx="14">
                        <c:v>646073.56999999995</c:v>
                      </c:pt>
                    </c:numCache>
                  </c:numRef>
                </c:val>
                <c:extLst>
                  <c:ext xmlns:c16="http://schemas.microsoft.com/office/drawing/2014/chart" uri="{C3380CC4-5D6E-409C-BE32-E72D297353CC}">
                    <c16:uniqueId val="{00000001-7C9E-4B3F-9677-7ABEE061308A}"/>
                  </c:ext>
                </c:extLst>
              </c15:ser>
            </c15:filteredBarSeries>
            <c15:filteredBarSeries>
              <c15:ser>
                <c:idx val="0"/>
                <c:order val="1"/>
                <c:tx>
                  <c:strRef>
                    <c:extLst xmlns:c15="http://schemas.microsoft.com/office/drawing/2012/chart">
                      <c:ext xmlns:c15="http://schemas.microsoft.com/office/drawing/2012/chart" uri="{02D57815-91ED-43cb-92C2-25804820EDAC}">
                        <c15:formulaRef>
                          <c15:sqref>'Table 1.4'!$C$5</c15:sqref>
                        </c15:formulaRef>
                      </c:ext>
                    </c:extLst>
                    <c:strCache>
                      <c:ptCount val="1"/>
                      <c:pt idx="0">
                        <c:v>Net Amount of LPA awarded (NIHE)</c:v>
                      </c:pt>
                    </c:strCache>
                  </c:strRef>
                </c:tx>
                <c:invertIfNegative val="0"/>
                <c:cat>
                  <c:numRef>
                    <c:extLst xmlns:c15="http://schemas.microsoft.com/office/drawing/2012/chart">
                      <c:ext xmlns:c15="http://schemas.microsoft.com/office/drawing/2012/chart" uri="{02D57815-91ED-43cb-92C2-25804820EDAC}">
                        <c15:formulaRef>
                          <c15:sqref>'Table 1.4'!$A$6:$A$20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xmlns:c15="http://schemas.microsoft.com/office/drawing/2012/chart">
                      <c:ext xmlns:c15="http://schemas.microsoft.com/office/drawing/2012/chart" uri="{02D57815-91ED-43cb-92C2-25804820EDAC}">
                        <c15:formulaRef>
                          <c15:sqref>'Table 1.4'!$C$6:$C$20</c15:sqref>
                        </c15:formulaRef>
                      </c:ext>
                    </c:extLst>
                    <c:numCache>
                      <c:formatCode>"£"#,##0</c:formatCode>
                      <c:ptCount val="15"/>
                      <c:pt idx="0">
                        <c:v>74703.539999999994</c:v>
                      </c:pt>
                      <c:pt idx="1">
                        <c:v>65242.889999999992</c:v>
                      </c:pt>
                      <c:pt idx="2">
                        <c:v>62289.780000000013</c:v>
                      </c:pt>
                      <c:pt idx="3">
                        <c:v>71638.12</c:v>
                      </c:pt>
                      <c:pt idx="4">
                        <c:v>69608.56</c:v>
                      </c:pt>
                      <c:pt idx="5">
                        <c:v>77217.039999999979</c:v>
                      </c:pt>
                      <c:pt idx="6">
                        <c:v>76397.11</c:v>
                      </c:pt>
                      <c:pt idx="7">
                        <c:v>75806.290000000008</c:v>
                      </c:pt>
                      <c:pt idx="8">
                        <c:v>63685.47</c:v>
                      </c:pt>
                      <c:pt idx="9">
                        <c:v>76793.200000000012</c:v>
                      </c:pt>
                      <c:pt idx="10">
                        <c:v>75568.460000000006</c:v>
                      </c:pt>
                      <c:pt idx="11">
                        <c:v>67642.210000000006</c:v>
                      </c:pt>
                      <c:pt idx="12">
                        <c:v>73224.55</c:v>
                      </c:pt>
                      <c:pt idx="13">
                        <c:v>69348.350000000006</c:v>
                      </c:pt>
                      <c:pt idx="14">
                        <c:v>61520.99</c:v>
                      </c:pt>
                    </c:numCache>
                  </c:numRef>
                </c:val>
                <c:extLst xmlns:c15="http://schemas.microsoft.com/office/drawing/2012/chart">
                  <c:ext xmlns:c16="http://schemas.microsoft.com/office/drawing/2014/chart" uri="{C3380CC4-5D6E-409C-BE32-E72D297353CC}">
                    <c16:uniqueId val="{00000002-7C9E-4B3F-9677-7ABEE061308A}"/>
                  </c:ext>
                </c:extLst>
              </c15:ser>
            </c15:filteredBarSeries>
          </c:ext>
        </c:extLst>
      </c:barChart>
      <c:catAx>
        <c:axId val="803362360"/>
        <c:scaling>
          <c:orientation val="minMax"/>
        </c:scaling>
        <c:delete val="0"/>
        <c:axPos val="b"/>
        <c:numFmt formatCode="[$-809]dd\ mmmm\ yyyy;@" sourceLinked="1"/>
        <c:majorTickMark val="out"/>
        <c:minorTickMark val="none"/>
        <c:tickLblPos val="nextTo"/>
        <c:crossAx val="803361576"/>
        <c:crossesAt val="0"/>
        <c:auto val="0"/>
        <c:lblAlgn val="ctr"/>
        <c:lblOffset val="100"/>
        <c:noMultiLvlLbl val="0"/>
      </c:catAx>
      <c:valAx>
        <c:axId val="803361576"/>
        <c:scaling>
          <c:orientation val="minMax"/>
          <c:min val="0"/>
        </c:scaling>
        <c:delete val="0"/>
        <c:axPos val="l"/>
        <c:majorGridlines/>
        <c:numFmt formatCode="&quot;£&quot;#,##0" sourceLinked="0"/>
        <c:majorTickMark val="out"/>
        <c:minorTickMark val="none"/>
        <c:tickLblPos val="nextTo"/>
        <c:spPr>
          <a:noFill/>
        </c:spPr>
        <c:crossAx val="803362360"/>
        <c:crosses val="autoZero"/>
        <c:crossBetween val="between"/>
        <c:majorUnit val="20000"/>
      </c:valAx>
    </c:plotArea>
    <c:plotVisOnly val="1"/>
    <c:dispBlanksAs val="gap"/>
    <c:showDLblsOverMax val="0"/>
  </c:chart>
  <c:spPr>
    <a:solidFill>
      <a:sysClr val="window" lastClr="FFFFFF"/>
    </a:solidFill>
  </c:spPr>
  <c:printSettings>
    <c:headerFooter/>
    <c:pageMargins b="0.75000000000000133" l="0.70000000000000062" r="0.70000000000000062" t="0.75000000000000133" header="0.30000000000000032" footer="0.30000000000000032"/>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600"/>
            </a:pPr>
            <a:r>
              <a:rPr lang="en-US" sz="1600">
                <a:solidFill>
                  <a:sysClr val="windowText" lastClr="000000"/>
                </a:solidFill>
              </a:rPr>
              <a:t>Figure 6: Total Net Amount</a:t>
            </a:r>
            <a:r>
              <a:rPr lang="en-US" sz="1600" baseline="0">
                <a:solidFill>
                  <a:sysClr val="windowText" lastClr="000000"/>
                </a:solidFill>
              </a:rPr>
              <a:t> of </a:t>
            </a:r>
            <a:r>
              <a:rPr lang="en-US" sz="1600">
                <a:solidFill>
                  <a:sysClr val="windowText" lastClr="000000"/>
                </a:solidFill>
              </a:rPr>
              <a:t>Lone </a:t>
            </a:r>
            <a:r>
              <a:rPr lang="en-US" sz="1600" baseline="0">
                <a:solidFill>
                  <a:sysClr val="windowText" lastClr="000000"/>
                </a:solidFill>
              </a:rPr>
              <a:t>Pensioner Allowance awarded in Northern Ireland at year-end 31 March 2010 to 31 March 2024</a:t>
            </a:r>
          </a:p>
        </c:rich>
      </c:tx>
      <c:layout>
        <c:manualLayout>
          <c:xMode val="edge"/>
          <c:yMode val="edge"/>
          <c:x val="0.12811185912254447"/>
          <c:y val="2.5065884295285987E-2"/>
        </c:manualLayout>
      </c:layout>
      <c:overlay val="0"/>
    </c:title>
    <c:autoTitleDeleted val="0"/>
    <c:plotArea>
      <c:layout>
        <c:manualLayout>
          <c:layoutTarget val="inner"/>
          <c:xMode val="edge"/>
          <c:yMode val="edge"/>
          <c:x val="0.10270292336130506"/>
          <c:y val="0.18552285304063676"/>
          <c:w val="0.86980017421152156"/>
          <c:h val="0.63551042856447393"/>
        </c:manualLayout>
      </c:layout>
      <c:barChart>
        <c:barDir val="col"/>
        <c:grouping val="clustered"/>
        <c:varyColors val="0"/>
        <c:ser>
          <c:idx val="4"/>
          <c:order val="4"/>
          <c:tx>
            <c:strRef>
              <c:f>'Table 1.5'!$F$5</c:f>
              <c:strCache>
                <c:ptCount val="1"/>
                <c:pt idx="0">
                  <c:v>Total Net amount of LPA awarded in Northern Ireland</c:v>
                </c:pt>
              </c:strCache>
            </c:strRef>
          </c:tx>
          <c:spPr>
            <a:solidFill>
              <a:srgbClr val="31859C"/>
            </a:solidFill>
          </c:spPr>
          <c:invertIfNegative val="0"/>
          <c:cat>
            <c:numRef>
              <c:f>'Table 1.5'!$A$6:$A$20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1.5'!$F$6:$F$20</c:f>
              <c:numCache>
                <c:formatCode>"£"#,##0</c:formatCode>
                <c:ptCount val="15"/>
                <c:pt idx="0">
                  <c:v>3974725.0900000082</c:v>
                </c:pt>
                <c:pt idx="1">
                  <c:v>4194926.3900000034</c:v>
                </c:pt>
                <c:pt idx="2">
                  <c:v>4446911.180000009</c:v>
                </c:pt>
                <c:pt idx="3">
                  <c:v>4527645.9099999759</c:v>
                </c:pt>
                <c:pt idx="4">
                  <c:v>4799011.7699999977</c:v>
                </c:pt>
                <c:pt idx="5">
                  <c:v>5267233.2299999977</c:v>
                </c:pt>
                <c:pt idx="6">
                  <c:v>5621728.3400000082</c:v>
                </c:pt>
                <c:pt idx="7">
                  <c:v>5987643.5200000424</c:v>
                </c:pt>
                <c:pt idx="8">
                  <c:v>6280790.459999999</c:v>
                </c:pt>
                <c:pt idx="9">
                  <c:v>6999522.0000000009</c:v>
                </c:pt>
                <c:pt idx="10">
                  <c:v>7396170.0199999996</c:v>
                </c:pt>
                <c:pt idx="11">
                  <c:v>7712879.29</c:v>
                </c:pt>
                <c:pt idx="12">
                  <c:v>7846008.4699999997</c:v>
                </c:pt>
                <c:pt idx="13">
                  <c:v>8464101.9800000004</c:v>
                </c:pt>
                <c:pt idx="14">
                  <c:v>9241619.4600000028</c:v>
                </c:pt>
              </c:numCache>
            </c:numRef>
          </c:val>
          <c:extLst>
            <c:ext xmlns:c16="http://schemas.microsoft.com/office/drawing/2014/chart" uri="{C3380CC4-5D6E-409C-BE32-E72D297353CC}">
              <c16:uniqueId val="{00000000-8E94-40DB-875C-ACBA5889571D}"/>
            </c:ext>
          </c:extLst>
        </c:ser>
        <c:dLbls>
          <c:showLegendKey val="0"/>
          <c:showVal val="0"/>
          <c:showCatName val="0"/>
          <c:showSerName val="0"/>
          <c:showPercent val="0"/>
          <c:showBubbleSize val="0"/>
        </c:dLbls>
        <c:gapWidth val="150"/>
        <c:axId val="803360400"/>
        <c:axId val="803358832"/>
        <c:extLst>
          <c:ext xmlns:c15="http://schemas.microsoft.com/office/drawing/2012/chart" uri="{02D57815-91ED-43cb-92C2-25804820EDAC}">
            <c15:filteredBarSeries>
              <c15:ser>
                <c:idx val="2"/>
                <c:order val="0"/>
                <c:tx>
                  <c:strRef>
                    <c:extLst>
                      <c:ext uri="{02D57815-91ED-43cb-92C2-25804820EDAC}">
                        <c15:formulaRef>
                          <c15:sqref>'Table 1.5'!$B$5</c15:sqref>
                        </c15:formulaRef>
                      </c:ext>
                    </c:extLst>
                    <c:strCache>
                      <c:ptCount val="1"/>
                      <c:pt idx="0">
                        <c:v>Net amount of LPA awarded (owner occupier)</c:v>
                      </c:pt>
                    </c:strCache>
                  </c:strRef>
                </c:tx>
                <c:invertIfNegative val="0"/>
                <c:cat>
                  <c:numRef>
                    <c:extLst>
                      <c:ext uri="{02D57815-91ED-43cb-92C2-25804820EDAC}">
                        <c15:formulaRef>
                          <c15:sqref>'Table 1.5'!$A$6:$A$20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c:ext uri="{02D57815-91ED-43cb-92C2-25804820EDAC}">
                        <c15:formulaRef>
                          <c15:sqref>'Table 1.5'!$B$6:$B$20</c15:sqref>
                        </c15:formulaRef>
                      </c:ext>
                    </c:extLst>
                    <c:numCache>
                      <c:formatCode>"£"#,##0</c:formatCode>
                      <c:ptCount val="15"/>
                      <c:pt idx="0">
                        <c:v>3489964.3100000084</c:v>
                      </c:pt>
                      <c:pt idx="1">
                        <c:v>3666343.3100000038</c:v>
                      </c:pt>
                      <c:pt idx="2">
                        <c:v>3887744.8700000094</c:v>
                      </c:pt>
                      <c:pt idx="3">
                        <c:v>4001381.6999999755</c:v>
                      </c:pt>
                      <c:pt idx="4">
                        <c:v>4231716.1399999978</c:v>
                      </c:pt>
                      <c:pt idx="5">
                        <c:v>4642019.7399999974</c:v>
                      </c:pt>
                      <c:pt idx="6">
                        <c:v>4953054.4900000077</c:v>
                      </c:pt>
                      <c:pt idx="7">
                        <c:v>5290059.6400000416</c:v>
                      </c:pt>
                      <c:pt idx="8">
                        <c:v>5591395.6699999999</c:v>
                      </c:pt>
                      <c:pt idx="9">
                        <c:v>6229891.1500000004</c:v>
                      </c:pt>
                      <c:pt idx="10">
                        <c:v>6583451.8300000001</c:v>
                      </c:pt>
                      <c:pt idx="11">
                        <c:v>6891505.9299999997</c:v>
                      </c:pt>
                      <c:pt idx="12">
                        <c:v>7050025.2199999997</c:v>
                      </c:pt>
                      <c:pt idx="13">
                        <c:v>7699506.5700000003</c:v>
                      </c:pt>
                      <c:pt idx="14">
                        <c:v>8464649.3500000015</c:v>
                      </c:pt>
                    </c:numCache>
                  </c:numRef>
                </c:val>
                <c:extLst>
                  <c:ext xmlns:c16="http://schemas.microsoft.com/office/drawing/2014/chart" uri="{C3380CC4-5D6E-409C-BE32-E72D297353CC}">
                    <c16:uniqueId val="{00000001-8E94-40DB-875C-ACBA5889571D}"/>
                  </c:ext>
                </c:extLst>
              </c15:ser>
            </c15:filteredBarSeries>
            <c15:filteredBarSeries>
              <c15:ser>
                <c:idx val="0"/>
                <c:order val="1"/>
                <c:tx>
                  <c:strRef>
                    <c:extLst xmlns:c15="http://schemas.microsoft.com/office/drawing/2012/chart">
                      <c:ext xmlns:c15="http://schemas.microsoft.com/office/drawing/2012/chart" uri="{02D57815-91ED-43cb-92C2-25804820EDAC}">
                        <c15:formulaRef>
                          <c15:sqref>'Table 1.5'!$C$5</c15:sqref>
                        </c15:formulaRef>
                      </c:ext>
                    </c:extLst>
                    <c:strCache>
                      <c:ptCount val="1"/>
                      <c:pt idx="0">
                        <c:v>Net Amount of LPA awarded (Private Rented Sector)</c:v>
                      </c:pt>
                    </c:strCache>
                  </c:strRef>
                </c:tx>
                <c:invertIfNegative val="0"/>
                <c:cat>
                  <c:numRef>
                    <c:extLst xmlns:c15="http://schemas.microsoft.com/office/drawing/2012/chart">
                      <c:ext xmlns:c15="http://schemas.microsoft.com/office/drawing/2012/chart" uri="{02D57815-91ED-43cb-92C2-25804820EDAC}">
                        <c15:formulaRef>
                          <c15:sqref>'Table 1.5'!$A$6:$A$20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xmlns:c15="http://schemas.microsoft.com/office/drawing/2012/chart">
                      <c:ext xmlns:c15="http://schemas.microsoft.com/office/drawing/2012/chart" uri="{02D57815-91ED-43cb-92C2-25804820EDAC}">
                        <c15:formulaRef>
                          <c15:sqref>'Table 1.5'!$C$6:$C$20</c15:sqref>
                        </c15:formulaRef>
                      </c:ext>
                    </c:extLst>
                    <c:numCache>
                      <c:formatCode>"£"#,##0</c:formatCode>
                      <c:ptCount val="15"/>
                      <c:pt idx="0">
                        <c:v>351002.23</c:v>
                      </c:pt>
                      <c:pt idx="1">
                        <c:v>387322.52999999997</c:v>
                      </c:pt>
                      <c:pt idx="2">
                        <c:v>417638.85</c:v>
                      </c:pt>
                      <c:pt idx="3">
                        <c:v>384165.13000000006</c:v>
                      </c:pt>
                      <c:pt idx="4">
                        <c:v>421789.75000000017</c:v>
                      </c:pt>
                      <c:pt idx="5">
                        <c:v>467498.66000000009</c:v>
                      </c:pt>
                      <c:pt idx="6">
                        <c:v>509368.74</c:v>
                      </c:pt>
                      <c:pt idx="7">
                        <c:v>523777.52000000008</c:v>
                      </c:pt>
                      <c:pt idx="8">
                        <c:v>546273.77</c:v>
                      </c:pt>
                      <c:pt idx="9">
                        <c:v>591267.56000000006</c:v>
                      </c:pt>
                      <c:pt idx="10">
                        <c:v>649020.6</c:v>
                      </c:pt>
                      <c:pt idx="11">
                        <c:v>659802.96</c:v>
                      </c:pt>
                      <c:pt idx="12">
                        <c:v>639229.21</c:v>
                      </c:pt>
                      <c:pt idx="13">
                        <c:v>613548.37</c:v>
                      </c:pt>
                      <c:pt idx="14">
                        <c:v>646073.56999999995</c:v>
                      </c:pt>
                    </c:numCache>
                  </c:numRef>
                </c:val>
                <c:extLst xmlns:c15="http://schemas.microsoft.com/office/drawing/2012/chart">
                  <c:ext xmlns:c16="http://schemas.microsoft.com/office/drawing/2014/chart" uri="{C3380CC4-5D6E-409C-BE32-E72D297353CC}">
                    <c16:uniqueId val="{00000002-8E94-40DB-875C-ACBA5889571D}"/>
                  </c:ext>
                </c:extLst>
              </c15:ser>
            </c15:filteredBarSeries>
            <c15:filteredBarSeries>
              <c15:ser>
                <c:idx val="1"/>
                <c:order val="2"/>
                <c:tx>
                  <c:strRef>
                    <c:extLst xmlns:c15="http://schemas.microsoft.com/office/drawing/2012/chart">
                      <c:ext xmlns:c15="http://schemas.microsoft.com/office/drawing/2012/chart" uri="{02D57815-91ED-43cb-92C2-25804820EDAC}">
                        <c15:formulaRef>
                          <c15:sqref>'Table 1.5'!$D$5</c15:sqref>
                        </c15:formulaRef>
                      </c:ext>
                    </c:extLst>
                    <c:strCache>
                      <c:ptCount val="1"/>
                      <c:pt idx="0">
                        <c:v>Net Amount of LPA awarded (NIHE)</c:v>
                      </c:pt>
                    </c:strCache>
                  </c:strRef>
                </c:tx>
                <c:invertIfNegative val="0"/>
                <c:cat>
                  <c:numRef>
                    <c:extLst xmlns:c15="http://schemas.microsoft.com/office/drawing/2012/chart">
                      <c:ext xmlns:c15="http://schemas.microsoft.com/office/drawing/2012/chart" uri="{02D57815-91ED-43cb-92C2-25804820EDAC}">
                        <c15:formulaRef>
                          <c15:sqref>'Table 1.5'!$A$6:$A$20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xmlns:c15="http://schemas.microsoft.com/office/drawing/2012/chart">
                      <c:ext xmlns:c15="http://schemas.microsoft.com/office/drawing/2012/chart" uri="{02D57815-91ED-43cb-92C2-25804820EDAC}">
                        <c15:formulaRef>
                          <c15:sqref>'Table 1.5'!$D$6:$D$20</c15:sqref>
                        </c15:formulaRef>
                      </c:ext>
                    </c:extLst>
                    <c:numCache>
                      <c:formatCode>"£"#,##0</c:formatCode>
                      <c:ptCount val="15"/>
                      <c:pt idx="0">
                        <c:v>74703.539999999994</c:v>
                      </c:pt>
                      <c:pt idx="1">
                        <c:v>65242.889999999992</c:v>
                      </c:pt>
                      <c:pt idx="2">
                        <c:v>62289.780000000013</c:v>
                      </c:pt>
                      <c:pt idx="3">
                        <c:v>71638.12</c:v>
                      </c:pt>
                      <c:pt idx="4">
                        <c:v>69608.56</c:v>
                      </c:pt>
                      <c:pt idx="5">
                        <c:v>77217.039999999979</c:v>
                      </c:pt>
                      <c:pt idx="6">
                        <c:v>76397.11</c:v>
                      </c:pt>
                      <c:pt idx="7">
                        <c:v>75806.290000000008</c:v>
                      </c:pt>
                      <c:pt idx="8">
                        <c:v>63685.47</c:v>
                      </c:pt>
                      <c:pt idx="9">
                        <c:v>76793.200000000012</c:v>
                      </c:pt>
                      <c:pt idx="10">
                        <c:v>75568.460000000006</c:v>
                      </c:pt>
                      <c:pt idx="11">
                        <c:v>67642.210000000006</c:v>
                      </c:pt>
                      <c:pt idx="12">
                        <c:v>73224.55</c:v>
                      </c:pt>
                      <c:pt idx="13">
                        <c:v>69348.350000000006</c:v>
                      </c:pt>
                      <c:pt idx="14">
                        <c:v>61520.99</c:v>
                      </c:pt>
                    </c:numCache>
                  </c:numRef>
                </c:val>
                <c:extLst xmlns:c15="http://schemas.microsoft.com/office/drawing/2012/chart">
                  <c:ext xmlns:c16="http://schemas.microsoft.com/office/drawing/2014/chart" uri="{C3380CC4-5D6E-409C-BE32-E72D297353CC}">
                    <c16:uniqueId val="{00000003-8E94-40DB-875C-ACBA5889571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'Table 1.5'!$E$5</c15:sqref>
                        </c15:formulaRef>
                      </c:ext>
                    </c:extLst>
                    <c:strCache>
                      <c:ptCount val="1"/>
                      <c:pt idx="0">
                        <c:v>Net Amount of LPA awarded (Housing Association)</c:v>
                      </c:pt>
                    </c:strCache>
                  </c:strRef>
                </c:tx>
                <c:invertIfNegative val="0"/>
                <c:cat>
                  <c:numRef>
                    <c:extLst xmlns:c15="http://schemas.microsoft.com/office/drawing/2012/chart">
                      <c:ext xmlns:c15="http://schemas.microsoft.com/office/drawing/2012/chart" uri="{02D57815-91ED-43cb-92C2-25804820EDAC}">
                        <c15:formulaRef>
                          <c15:sqref>'Table 1.5'!$A$6:$A$20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xmlns:c15="http://schemas.microsoft.com/office/drawing/2012/chart">
                      <c:ext xmlns:c15="http://schemas.microsoft.com/office/drawing/2012/chart" uri="{02D57815-91ED-43cb-92C2-25804820EDAC}">
                        <c15:formulaRef>
                          <c15:sqref>'Table 1.5'!$E$6:$E$20</c15:sqref>
                        </c15:formulaRef>
                      </c:ext>
                    </c:extLst>
                    <c:numCache>
                      <c:formatCode>"£"#,##0</c:formatCode>
                      <c:ptCount val="15"/>
                      <c:pt idx="0">
                        <c:v>59055.009999999995</c:v>
                      </c:pt>
                      <c:pt idx="1">
                        <c:v>76017.659999999989</c:v>
                      </c:pt>
                      <c:pt idx="2">
                        <c:v>79237.679999999993</c:v>
                      </c:pt>
                      <c:pt idx="3">
                        <c:v>70460.960000000021</c:v>
                      </c:pt>
                      <c:pt idx="4">
                        <c:v>75897.320000000007</c:v>
                      </c:pt>
                      <c:pt idx="5">
                        <c:v>80497.790000000008</c:v>
                      </c:pt>
                      <c:pt idx="6">
                        <c:v>82908</c:v>
                      </c:pt>
                      <c:pt idx="7">
                        <c:v>98000.07</c:v>
                      </c:pt>
                      <c:pt idx="8">
                        <c:v>79435.55</c:v>
                      </c:pt>
                      <c:pt idx="9">
                        <c:v>101570.09</c:v>
                      </c:pt>
                      <c:pt idx="10">
                        <c:v>88129.13</c:v>
                      </c:pt>
                      <c:pt idx="11">
                        <c:v>93928.19</c:v>
                      </c:pt>
                      <c:pt idx="12">
                        <c:v>83529.490000000005</c:v>
                      </c:pt>
                      <c:pt idx="13">
                        <c:v>81698.69</c:v>
                      </c:pt>
                      <c:pt idx="14">
                        <c:v>69375.55</c:v>
                      </c:pt>
                    </c:numCache>
                  </c:numRef>
                </c:val>
                <c:extLst xmlns:c15="http://schemas.microsoft.com/office/drawing/2012/chart">
                  <c:ext xmlns:c16="http://schemas.microsoft.com/office/drawing/2014/chart" uri="{C3380CC4-5D6E-409C-BE32-E72D297353CC}">
                    <c16:uniqueId val="{00000004-8E94-40DB-875C-ACBA5889571D}"/>
                  </c:ext>
                </c:extLst>
              </c15:ser>
            </c15:filteredBarSeries>
          </c:ext>
        </c:extLst>
      </c:barChart>
      <c:catAx>
        <c:axId val="803360400"/>
        <c:scaling>
          <c:orientation val="minMax"/>
        </c:scaling>
        <c:delete val="0"/>
        <c:axPos val="b"/>
        <c:numFmt formatCode="[$-809]dd\ mmmm\ yyyy;@" sourceLinked="1"/>
        <c:majorTickMark val="out"/>
        <c:minorTickMark val="none"/>
        <c:tickLblPos val="nextTo"/>
        <c:crossAx val="803358832"/>
        <c:crossesAt val="0"/>
        <c:auto val="0"/>
        <c:lblAlgn val="ctr"/>
        <c:lblOffset val="100"/>
        <c:noMultiLvlLbl val="0"/>
      </c:catAx>
      <c:valAx>
        <c:axId val="803358832"/>
        <c:scaling>
          <c:orientation val="minMax"/>
          <c:max val="10000000"/>
          <c:min val="0"/>
        </c:scaling>
        <c:delete val="0"/>
        <c:axPos val="l"/>
        <c:majorGridlines/>
        <c:numFmt formatCode="&quot;£&quot;#,##0" sourceLinked="0"/>
        <c:majorTickMark val="out"/>
        <c:minorTickMark val="none"/>
        <c:tickLblPos val="nextTo"/>
        <c:spPr>
          <a:noFill/>
        </c:spPr>
        <c:crossAx val="803360400"/>
        <c:crosses val="autoZero"/>
        <c:crossBetween val="between"/>
        <c:majorUnit val="1000000"/>
        <c:minorUnit val="4000"/>
      </c:valAx>
    </c:plotArea>
    <c:plotVisOnly val="1"/>
    <c:dispBlanksAs val="gap"/>
    <c:showDLblsOverMax val="0"/>
  </c:chart>
  <c:spPr>
    <a:solidFill>
      <a:sysClr val="window" lastClr="FFFFFF"/>
    </a:solidFill>
  </c:spPr>
  <c:printSettings>
    <c:headerFooter/>
    <c:pageMargins b="0.75000000000000155" l="0.70000000000000062" r="0.70000000000000062" t="0.75000000000000155"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371475</xdr:colOff>
      <xdr:row>1</xdr:row>
      <xdr:rowOff>47625</xdr:rowOff>
    </xdr:from>
    <xdr:to>
      <xdr:col>6</xdr:col>
      <xdr:colOff>57150</xdr:colOff>
      <xdr:row>6</xdr:row>
      <xdr:rowOff>57150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371475" y="215265"/>
          <a:ext cx="3434715" cy="847725"/>
        </a:xfrm>
        <a:prstGeom prst="rect">
          <a:avLst/>
        </a:prstGeom>
        <a:noFill/>
        <a:ln w="9525">
          <a:noFill/>
          <a:miter lim="800000"/>
          <a:headEnd/>
          <a:tailEnd/>
        </a:ln>
      </xdr:spPr>
    </xdr:pic>
    <xdr:clientData/>
  </xdr:twoCellAnchor>
  <xdr:twoCellAnchor editAs="oneCell">
    <xdr:from>
      <xdr:col>7</xdr:col>
      <xdr:colOff>47624</xdr:colOff>
      <xdr:row>0</xdr:row>
      <xdr:rowOff>142875</xdr:rowOff>
    </xdr:from>
    <xdr:to>
      <xdr:col>11</xdr:col>
      <xdr:colOff>419099</xdr:colOff>
      <xdr:row>6</xdr:row>
      <xdr:rowOff>45720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4551044" y="142875"/>
          <a:ext cx="3046095" cy="908685"/>
        </a:xfrm>
        <a:prstGeom prst="rect">
          <a:avLst/>
        </a:prstGeom>
        <a:noFill/>
        <a:ln w="9525">
          <a:noFill/>
          <a:miter lim="800000"/>
          <a:headEnd/>
          <a:tailEnd/>
        </a:ln>
      </xdr:spPr>
    </xdr:pic>
    <xdr:clientData/>
  </xdr:twoCellAnchor>
  <xdr:twoCellAnchor editAs="oneCell">
    <xdr:from>
      <xdr:col>10</xdr:col>
      <xdr:colOff>514350</xdr:colOff>
      <xdr:row>17</xdr:row>
      <xdr:rowOff>171450</xdr:rowOff>
    </xdr:from>
    <xdr:to>
      <xdr:col>11</xdr:col>
      <xdr:colOff>539115</xdr:colOff>
      <xdr:row>19</xdr:row>
      <xdr:rowOff>5715</xdr:rowOff>
    </xdr:to>
    <xdr:pic>
      <xdr:nvPicPr>
        <xdr:cNvPr id="4" name="Picture 3" descr="http://www.nationalarchives.gov.uk/images/infoman/ogl-symbol-41px-black.png">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74230" y="5581650"/>
          <a:ext cx="603885" cy="215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607695" y="579120"/>
    <xdr:ext cx="8498205" cy="570738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619124" y="386715"/>
    <xdr:ext cx="8467725" cy="5909310"/>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609600" y="394335"/>
    <xdr:ext cx="8505825" cy="5711190"/>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619125" y="403860"/>
    <xdr:ext cx="8467725" cy="5901690"/>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619125" y="386715"/>
    <xdr:ext cx="8477250" cy="5718810"/>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609600" y="394335"/>
    <xdr:ext cx="8505825" cy="572071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LPS.StatisticsBranch@finance-ni.gov.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K21"/>
  <sheetViews>
    <sheetView workbookViewId="0"/>
  </sheetViews>
  <sheetFormatPr defaultColWidth="9.140625" defaultRowHeight="12.75" x14ac:dyDescent="0.2"/>
  <cols>
    <col min="1" max="2" width="8.7109375" style="75" customWidth="1"/>
    <col min="3" max="9" width="9.7109375" style="75" customWidth="1"/>
    <col min="10" max="10" width="12.140625" style="75" bestFit="1" customWidth="1"/>
    <col min="11" max="12" width="8.7109375" style="75" customWidth="1"/>
    <col min="13" max="16384" width="9.140625" style="75"/>
  </cols>
  <sheetData>
    <row r="10" spans="2:11" x14ac:dyDescent="0.2">
      <c r="B10" s="128" t="s">
        <v>29</v>
      </c>
      <c r="C10" s="128"/>
      <c r="D10" s="128"/>
      <c r="E10" s="128"/>
      <c r="F10" s="128"/>
      <c r="G10" s="128"/>
      <c r="H10" s="128"/>
      <c r="I10" s="128"/>
      <c r="J10" s="128"/>
      <c r="K10" s="128"/>
    </row>
    <row r="11" spans="2:11" ht="25.9" customHeight="1" x14ac:dyDescent="0.2">
      <c r="B11" s="128"/>
      <c r="C11" s="128"/>
      <c r="D11" s="128"/>
      <c r="E11" s="128"/>
      <c r="F11" s="128"/>
      <c r="G11" s="128"/>
      <c r="H11" s="128"/>
      <c r="I11" s="128"/>
      <c r="J11" s="128"/>
      <c r="K11" s="128"/>
    </row>
    <row r="12" spans="2:11" ht="37.5" x14ac:dyDescent="0.5">
      <c r="B12" s="76"/>
      <c r="C12" s="76"/>
      <c r="D12" s="76"/>
      <c r="E12" s="76"/>
      <c r="F12" s="76"/>
      <c r="G12" s="76"/>
      <c r="H12" s="76"/>
      <c r="I12" s="76"/>
      <c r="J12" s="76"/>
      <c r="K12" s="76"/>
    </row>
    <row r="13" spans="2:11" ht="23.25" customHeight="1" x14ac:dyDescent="0.2">
      <c r="C13" s="129" t="s">
        <v>71</v>
      </c>
      <c r="D13" s="129"/>
      <c r="E13" s="129"/>
      <c r="F13" s="129"/>
      <c r="G13" s="129"/>
      <c r="H13" s="129"/>
      <c r="I13" s="129"/>
      <c r="J13" s="129"/>
    </row>
    <row r="14" spans="2:11" x14ac:dyDescent="0.2">
      <c r="C14" s="129"/>
      <c r="D14" s="129"/>
      <c r="E14" s="129"/>
      <c r="F14" s="129"/>
      <c r="G14" s="129"/>
      <c r="H14" s="129"/>
      <c r="I14" s="129"/>
      <c r="J14" s="129"/>
    </row>
    <row r="15" spans="2:11" x14ac:dyDescent="0.2">
      <c r="C15" s="129"/>
      <c r="D15" s="129"/>
      <c r="E15" s="129"/>
      <c r="F15" s="129"/>
      <c r="G15" s="129"/>
      <c r="H15" s="129"/>
      <c r="I15" s="129"/>
      <c r="J15" s="129"/>
    </row>
    <row r="16" spans="2:11" ht="15" x14ac:dyDescent="0.2">
      <c r="B16" s="77"/>
    </row>
    <row r="17" spans="3:11" ht="15" x14ac:dyDescent="0.2">
      <c r="C17" s="78" t="s">
        <v>30</v>
      </c>
    </row>
    <row r="18" spans="3:11" ht="15" x14ac:dyDescent="0.2">
      <c r="C18" s="122" t="s">
        <v>89</v>
      </c>
      <c r="D18" s="59"/>
      <c r="E18" s="59"/>
    </row>
    <row r="19" spans="3:11" ht="15" x14ac:dyDescent="0.2">
      <c r="C19" s="79" t="s">
        <v>31</v>
      </c>
      <c r="D19" s="59"/>
      <c r="E19" s="59"/>
      <c r="F19" s="59"/>
      <c r="G19" s="59"/>
      <c r="H19" s="59"/>
      <c r="I19" s="59"/>
      <c r="J19" s="59"/>
      <c r="K19" s="59"/>
    </row>
    <row r="21" spans="3:11" ht="15" x14ac:dyDescent="0.2">
      <c r="J21" s="80" t="s">
        <v>32</v>
      </c>
    </row>
  </sheetData>
  <mergeCells count="2">
    <mergeCell ref="B10:K11"/>
    <mergeCell ref="C13:J15"/>
  </mergeCells>
  <hyperlinks>
    <hyperlink ref="J21" location="Contents!A1" display="Contents" xr:uid="{00000000-0004-0000-0000-000000000000}"/>
  </hyperlink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8"/>
  <sheetViews>
    <sheetView showGridLines="0" topLeftCell="A11" workbookViewId="0"/>
  </sheetViews>
  <sheetFormatPr defaultRowHeight="15" x14ac:dyDescent="0.2"/>
  <cols>
    <col min="1" max="1" width="2.7109375" style="81" customWidth="1"/>
    <col min="2" max="3" width="27.7109375" style="81" customWidth="1"/>
    <col min="4" max="10" width="9.7109375" style="81" customWidth="1"/>
    <col min="11" max="11" width="11" style="81" customWidth="1"/>
    <col min="12" max="12" width="2.7109375" style="81" customWidth="1"/>
    <col min="13" max="256" width="8.85546875" style="81"/>
    <col min="257" max="257" width="3.42578125" style="81" customWidth="1"/>
    <col min="258" max="258" width="117" style="81" bestFit="1" customWidth="1"/>
    <col min="259" max="512" width="8.85546875" style="81"/>
    <col min="513" max="513" width="3.42578125" style="81" customWidth="1"/>
    <col min="514" max="514" width="117" style="81" bestFit="1" customWidth="1"/>
    <col min="515" max="768" width="8.85546875" style="81"/>
    <col min="769" max="769" width="3.42578125" style="81" customWidth="1"/>
    <col min="770" max="770" width="117" style="81" bestFit="1" customWidth="1"/>
    <col min="771" max="1024" width="8.85546875" style="81"/>
    <col min="1025" max="1025" width="3.42578125" style="81" customWidth="1"/>
    <col min="1026" max="1026" width="117" style="81" bestFit="1" customWidth="1"/>
    <col min="1027" max="1280" width="8.85546875" style="81"/>
    <col min="1281" max="1281" width="3.42578125" style="81" customWidth="1"/>
    <col min="1282" max="1282" width="117" style="81" bestFit="1" customWidth="1"/>
    <col min="1283" max="1536" width="8.85546875" style="81"/>
    <col min="1537" max="1537" width="3.42578125" style="81" customWidth="1"/>
    <col min="1538" max="1538" width="117" style="81" bestFit="1" customWidth="1"/>
    <col min="1539" max="1792" width="8.85546875" style="81"/>
    <col min="1793" max="1793" width="3.42578125" style="81" customWidth="1"/>
    <col min="1794" max="1794" width="117" style="81" bestFit="1" customWidth="1"/>
    <col min="1795" max="2048" width="8.85546875" style="81"/>
    <col min="2049" max="2049" width="3.42578125" style="81" customWidth="1"/>
    <col min="2050" max="2050" width="117" style="81" bestFit="1" customWidth="1"/>
    <col min="2051" max="2304" width="8.85546875" style="81"/>
    <col min="2305" max="2305" width="3.42578125" style="81" customWidth="1"/>
    <col min="2306" max="2306" width="117" style="81" bestFit="1" customWidth="1"/>
    <col min="2307" max="2560" width="8.85546875" style="81"/>
    <col min="2561" max="2561" width="3.42578125" style="81" customWidth="1"/>
    <col min="2562" max="2562" width="117" style="81" bestFit="1" customWidth="1"/>
    <col min="2563" max="2816" width="8.85546875" style="81"/>
    <col min="2817" max="2817" width="3.42578125" style="81" customWidth="1"/>
    <col min="2818" max="2818" width="117" style="81" bestFit="1" customWidth="1"/>
    <col min="2819" max="3072" width="8.85546875" style="81"/>
    <col min="3073" max="3073" width="3.42578125" style="81" customWidth="1"/>
    <col min="3074" max="3074" width="117" style="81" bestFit="1" customWidth="1"/>
    <col min="3075" max="3328" width="8.85546875" style="81"/>
    <col min="3329" max="3329" width="3.42578125" style="81" customWidth="1"/>
    <col min="3330" max="3330" width="117" style="81" bestFit="1" customWidth="1"/>
    <col min="3331" max="3584" width="8.85546875" style="81"/>
    <col min="3585" max="3585" width="3.42578125" style="81" customWidth="1"/>
    <col min="3586" max="3586" width="117" style="81" bestFit="1" customWidth="1"/>
    <col min="3587" max="3840" width="8.85546875" style="81"/>
    <col min="3841" max="3841" width="3.42578125" style="81" customWidth="1"/>
    <col min="3842" max="3842" width="117" style="81" bestFit="1" customWidth="1"/>
    <col min="3843" max="4096" width="8.85546875" style="81"/>
    <col min="4097" max="4097" width="3.42578125" style="81" customWidth="1"/>
    <col min="4098" max="4098" width="117" style="81" bestFit="1" customWidth="1"/>
    <col min="4099" max="4352" width="8.85546875" style="81"/>
    <col min="4353" max="4353" width="3.42578125" style="81" customWidth="1"/>
    <col min="4354" max="4354" width="117" style="81" bestFit="1" customWidth="1"/>
    <col min="4355" max="4608" width="8.85546875" style="81"/>
    <col min="4609" max="4609" width="3.42578125" style="81" customWidth="1"/>
    <col min="4610" max="4610" width="117" style="81" bestFit="1" customWidth="1"/>
    <col min="4611" max="4864" width="8.85546875" style="81"/>
    <col min="4865" max="4865" width="3.42578125" style="81" customWidth="1"/>
    <col min="4866" max="4866" width="117" style="81" bestFit="1" customWidth="1"/>
    <col min="4867" max="5120" width="8.85546875" style="81"/>
    <col min="5121" max="5121" width="3.42578125" style="81" customWidth="1"/>
    <col min="5122" max="5122" width="117" style="81" bestFit="1" customWidth="1"/>
    <col min="5123" max="5376" width="8.85546875" style="81"/>
    <col min="5377" max="5377" width="3.42578125" style="81" customWidth="1"/>
    <col min="5378" max="5378" width="117" style="81" bestFit="1" customWidth="1"/>
    <col min="5379" max="5632" width="8.85546875" style="81"/>
    <col min="5633" max="5633" width="3.42578125" style="81" customWidth="1"/>
    <col min="5634" max="5634" width="117" style="81" bestFit="1" customWidth="1"/>
    <col min="5635" max="5888" width="8.85546875" style="81"/>
    <col min="5889" max="5889" width="3.42578125" style="81" customWidth="1"/>
    <col min="5890" max="5890" width="117" style="81" bestFit="1" customWidth="1"/>
    <col min="5891" max="6144" width="8.85546875" style="81"/>
    <col min="6145" max="6145" width="3.42578125" style="81" customWidth="1"/>
    <col min="6146" max="6146" width="117" style="81" bestFit="1" customWidth="1"/>
    <col min="6147" max="6400" width="8.85546875" style="81"/>
    <col min="6401" max="6401" width="3.42578125" style="81" customWidth="1"/>
    <col min="6402" max="6402" width="117" style="81" bestFit="1" customWidth="1"/>
    <col min="6403" max="6656" width="8.85546875" style="81"/>
    <col min="6657" max="6657" width="3.42578125" style="81" customWidth="1"/>
    <col min="6658" max="6658" width="117" style="81" bestFit="1" customWidth="1"/>
    <col min="6659" max="6912" width="8.85546875" style="81"/>
    <col min="6913" max="6913" width="3.42578125" style="81" customWidth="1"/>
    <col min="6914" max="6914" width="117" style="81" bestFit="1" customWidth="1"/>
    <col min="6915" max="7168" width="8.85546875" style="81"/>
    <col min="7169" max="7169" width="3.42578125" style="81" customWidth="1"/>
    <col min="7170" max="7170" width="117" style="81" bestFit="1" customWidth="1"/>
    <col min="7171" max="7424" width="8.85546875" style="81"/>
    <col min="7425" max="7425" width="3.42578125" style="81" customWidth="1"/>
    <col min="7426" max="7426" width="117" style="81" bestFit="1" customWidth="1"/>
    <col min="7427" max="7680" width="8.85546875" style="81"/>
    <col min="7681" max="7681" width="3.42578125" style="81" customWidth="1"/>
    <col min="7682" max="7682" width="117" style="81" bestFit="1" customWidth="1"/>
    <col min="7683" max="7936" width="8.85546875" style="81"/>
    <col min="7937" max="7937" width="3.42578125" style="81" customWidth="1"/>
    <col min="7938" max="7938" width="117" style="81" bestFit="1" customWidth="1"/>
    <col min="7939" max="8192" width="8.85546875" style="81"/>
    <col min="8193" max="8193" width="3.42578125" style="81" customWidth="1"/>
    <col min="8194" max="8194" width="117" style="81" bestFit="1" customWidth="1"/>
    <col min="8195" max="8448" width="8.85546875" style="81"/>
    <col min="8449" max="8449" width="3.42578125" style="81" customWidth="1"/>
    <col min="8450" max="8450" width="117" style="81" bestFit="1" customWidth="1"/>
    <col min="8451" max="8704" width="8.85546875" style="81"/>
    <col min="8705" max="8705" width="3.42578125" style="81" customWidth="1"/>
    <col min="8706" max="8706" width="117" style="81" bestFit="1" customWidth="1"/>
    <col min="8707" max="8960" width="8.85546875" style="81"/>
    <col min="8961" max="8961" width="3.42578125" style="81" customWidth="1"/>
    <col min="8962" max="8962" width="117" style="81" bestFit="1" customWidth="1"/>
    <col min="8963" max="9216" width="8.85546875" style="81"/>
    <col min="9217" max="9217" width="3.42578125" style="81" customWidth="1"/>
    <col min="9218" max="9218" width="117" style="81" bestFit="1" customWidth="1"/>
    <col min="9219" max="9472" width="8.85546875" style="81"/>
    <col min="9473" max="9473" width="3.42578125" style="81" customWidth="1"/>
    <col min="9474" max="9474" width="117" style="81" bestFit="1" customWidth="1"/>
    <col min="9475" max="9728" width="8.85546875" style="81"/>
    <col min="9729" max="9729" width="3.42578125" style="81" customWidth="1"/>
    <col min="9730" max="9730" width="117" style="81" bestFit="1" customWidth="1"/>
    <col min="9731" max="9984" width="8.85546875" style="81"/>
    <col min="9985" max="9985" width="3.42578125" style="81" customWidth="1"/>
    <col min="9986" max="9986" width="117" style="81" bestFit="1" customWidth="1"/>
    <col min="9987" max="10240" width="8.85546875" style="81"/>
    <col min="10241" max="10241" width="3.42578125" style="81" customWidth="1"/>
    <col min="10242" max="10242" width="117" style="81" bestFit="1" customWidth="1"/>
    <col min="10243" max="10496" width="8.85546875" style="81"/>
    <col min="10497" max="10497" width="3.42578125" style="81" customWidth="1"/>
    <col min="10498" max="10498" width="117" style="81" bestFit="1" customWidth="1"/>
    <col min="10499" max="10752" width="8.85546875" style="81"/>
    <col min="10753" max="10753" width="3.42578125" style="81" customWidth="1"/>
    <col min="10754" max="10754" width="117" style="81" bestFit="1" customWidth="1"/>
    <col min="10755" max="11008" width="8.85546875" style="81"/>
    <col min="11009" max="11009" width="3.42578125" style="81" customWidth="1"/>
    <col min="11010" max="11010" width="117" style="81" bestFit="1" customWidth="1"/>
    <col min="11011" max="11264" width="8.85546875" style="81"/>
    <col min="11265" max="11265" width="3.42578125" style="81" customWidth="1"/>
    <col min="11266" max="11266" width="117" style="81" bestFit="1" customWidth="1"/>
    <col min="11267" max="11520" width="8.85546875" style="81"/>
    <col min="11521" max="11521" width="3.42578125" style="81" customWidth="1"/>
    <col min="11522" max="11522" width="117" style="81" bestFit="1" customWidth="1"/>
    <col min="11523" max="11776" width="8.85546875" style="81"/>
    <col min="11777" max="11777" width="3.42578125" style="81" customWidth="1"/>
    <col min="11778" max="11778" width="117" style="81" bestFit="1" customWidth="1"/>
    <col min="11779" max="12032" width="8.85546875" style="81"/>
    <col min="12033" max="12033" width="3.42578125" style="81" customWidth="1"/>
    <col min="12034" max="12034" width="117" style="81" bestFit="1" customWidth="1"/>
    <col min="12035" max="12288" width="8.85546875" style="81"/>
    <col min="12289" max="12289" width="3.42578125" style="81" customWidth="1"/>
    <col min="12290" max="12290" width="117" style="81" bestFit="1" customWidth="1"/>
    <col min="12291" max="12544" width="8.85546875" style="81"/>
    <col min="12545" max="12545" width="3.42578125" style="81" customWidth="1"/>
    <col min="12546" max="12546" width="117" style="81" bestFit="1" customWidth="1"/>
    <col min="12547" max="12800" width="8.85546875" style="81"/>
    <col min="12801" max="12801" width="3.42578125" style="81" customWidth="1"/>
    <col min="12802" max="12802" width="117" style="81" bestFit="1" customWidth="1"/>
    <col min="12803" max="13056" width="8.85546875" style="81"/>
    <col min="13057" max="13057" width="3.42578125" style="81" customWidth="1"/>
    <col min="13058" max="13058" width="117" style="81" bestFit="1" customWidth="1"/>
    <col min="13059" max="13312" width="8.85546875" style="81"/>
    <col min="13313" max="13313" width="3.42578125" style="81" customWidth="1"/>
    <col min="13314" max="13314" width="117" style="81" bestFit="1" customWidth="1"/>
    <col min="13315" max="13568" width="8.85546875" style="81"/>
    <col min="13569" max="13569" width="3.42578125" style="81" customWidth="1"/>
    <col min="13570" max="13570" width="117" style="81" bestFit="1" customWidth="1"/>
    <col min="13571" max="13824" width="8.85546875" style="81"/>
    <col min="13825" max="13825" width="3.42578125" style="81" customWidth="1"/>
    <col min="13826" max="13826" width="117" style="81" bestFit="1" customWidth="1"/>
    <col min="13827" max="14080" width="8.85546875" style="81"/>
    <col min="14081" max="14081" width="3.42578125" style="81" customWidth="1"/>
    <col min="14082" max="14082" width="117" style="81" bestFit="1" customWidth="1"/>
    <col min="14083" max="14336" width="8.85546875" style="81"/>
    <col min="14337" max="14337" width="3.42578125" style="81" customWidth="1"/>
    <col min="14338" max="14338" width="117" style="81" bestFit="1" customWidth="1"/>
    <col min="14339" max="14592" width="8.85546875" style="81"/>
    <col min="14593" max="14593" width="3.42578125" style="81" customWidth="1"/>
    <col min="14594" max="14594" width="117" style="81" bestFit="1" customWidth="1"/>
    <col min="14595" max="14848" width="8.85546875" style="81"/>
    <col min="14849" max="14849" width="3.42578125" style="81" customWidth="1"/>
    <col min="14850" max="14850" width="117" style="81" bestFit="1" customWidth="1"/>
    <col min="14851" max="15104" width="8.85546875" style="81"/>
    <col min="15105" max="15105" width="3.42578125" style="81" customWidth="1"/>
    <col min="15106" max="15106" width="117" style="81" bestFit="1" customWidth="1"/>
    <col min="15107" max="15360" width="8.85546875" style="81"/>
    <col min="15361" max="15361" width="3.42578125" style="81" customWidth="1"/>
    <col min="15362" max="15362" width="117" style="81" bestFit="1" customWidth="1"/>
    <col min="15363" max="15616" width="8.85546875" style="81"/>
    <col min="15617" max="15617" width="3.42578125" style="81" customWidth="1"/>
    <col min="15618" max="15618" width="117" style="81" bestFit="1" customWidth="1"/>
    <col min="15619" max="15872" width="8.85546875" style="81"/>
    <col min="15873" max="15873" width="3.42578125" style="81" customWidth="1"/>
    <col min="15874" max="15874" width="117" style="81" bestFit="1" customWidth="1"/>
    <col min="15875" max="16128" width="8.85546875" style="81"/>
    <col min="16129" max="16129" width="3.42578125" style="81" customWidth="1"/>
    <col min="16130" max="16130" width="117" style="81" bestFit="1" customWidth="1"/>
    <col min="16131" max="16384" width="8.85546875" style="81"/>
  </cols>
  <sheetData>
    <row r="1" spans="1:15" x14ac:dyDescent="0.2">
      <c r="A1" s="81" t="s">
        <v>33</v>
      </c>
      <c r="J1" s="83" t="s">
        <v>32</v>
      </c>
    </row>
    <row r="2" spans="1:15" ht="23.25" x14ac:dyDescent="0.35">
      <c r="B2" s="131" t="s">
        <v>34</v>
      </c>
      <c r="C2" s="131"/>
      <c r="D2" s="82"/>
      <c r="E2" s="82"/>
      <c r="F2" s="82"/>
    </row>
    <row r="3" spans="1:15" ht="23.25" x14ac:dyDescent="0.35">
      <c r="B3" s="84"/>
      <c r="C3" s="84"/>
      <c r="D3" s="82"/>
      <c r="E3" s="82"/>
      <c r="F3" s="82"/>
    </row>
    <row r="4" spans="1:15" x14ac:dyDescent="0.2">
      <c r="B4" s="132" t="s">
        <v>93</v>
      </c>
      <c r="C4" s="132"/>
      <c r="D4" s="132"/>
      <c r="E4" s="132"/>
      <c r="F4" s="132"/>
      <c r="G4" s="133"/>
      <c r="H4" s="133"/>
      <c r="I4" s="133"/>
      <c r="J4" s="133"/>
      <c r="K4" s="133"/>
    </row>
    <row r="5" spans="1:15" ht="15" customHeight="1" x14ac:dyDescent="0.2">
      <c r="B5" s="132"/>
      <c r="C5" s="132"/>
      <c r="D5" s="132"/>
      <c r="E5" s="132"/>
      <c r="F5" s="132"/>
      <c r="G5" s="133"/>
      <c r="H5" s="133"/>
      <c r="I5" s="133"/>
      <c r="J5" s="133"/>
      <c r="K5" s="133"/>
    </row>
    <row r="6" spans="1:15" ht="15.75" x14ac:dyDescent="0.25">
      <c r="B6" s="132" t="s">
        <v>35</v>
      </c>
      <c r="C6" s="133"/>
      <c r="D6" s="133"/>
      <c r="E6" s="133"/>
      <c r="F6" s="133"/>
      <c r="G6" s="133"/>
      <c r="H6" s="133"/>
      <c r="I6" s="133"/>
      <c r="J6" s="133"/>
      <c r="K6" s="133"/>
    </row>
    <row r="7" spans="1:15" x14ac:dyDescent="0.2">
      <c r="B7" s="134" t="s">
        <v>36</v>
      </c>
      <c r="C7" s="134"/>
      <c r="D7" s="134"/>
      <c r="E7" s="134"/>
      <c r="F7" s="134"/>
      <c r="G7" s="134"/>
      <c r="H7" s="134"/>
      <c r="I7" s="134"/>
      <c r="J7" s="134"/>
      <c r="K7" s="134"/>
    </row>
    <row r="8" spans="1:15" ht="15" customHeight="1" x14ac:dyDescent="0.2">
      <c r="B8" s="134"/>
      <c r="C8" s="134"/>
      <c r="D8" s="134"/>
      <c r="E8" s="134"/>
      <c r="F8" s="134"/>
      <c r="G8" s="134"/>
      <c r="H8" s="134"/>
      <c r="I8" s="134"/>
      <c r="J8" s="134"/>
      <c r="K8" s="134"/>
    </row>
    <row r="9" spans="1:15" ht="15" customHeight="1" x14ac:dyDescent="0.2">
      <c r="B9" s="134"/>
      <c r="C9" s="134"/>
      <c r="D9" s="134"/>
      <c r="E9" s="134"/>
      <c r="F9" s="134"/>
      <c r="G9" s="134"/>
      <c r="H9" s="134"/>
      <c r="I9" s="134"/>
      <c r="J9" s="134"/>
      <c r="K9" s="134"/>
    </row>
    <row r="10" spans="1:15" x14ac:dyDescent="0.2">
      <c r="B10" s="132" t="s">
        <v>37</v>
      </c>
      <c r="C10" s="132"/>
      <c r="D10" s="132"/>
      <c r="E10" s="132"/>
      <c r="F10" s="132"/>
      <c r="G10" s="133"/>
      <c r="H10" s="133"/>
      <c r="I10" s="133"/>
      <c r="J10" s="133"/>
      <c r="K10" s="133"/>
      <c r="L10" s="85"/>
      <c r="M10" s="85"/>
    </row>
    <row r="11" spans="1:15" ht="15" customHeight="1" x14ac:dyDescent="0.2">
      <c r="B11" s="132"/>
      <c r="C11" s="132"/>
      <c r="D11" s="132"/>
      <c r="E11" s="132"/>
      <c r="F11" s="132"/>
      <c r="G11" s="133"/>
      <c r="H11" s="133"/>
      <c r="I11" s="133"/>
      <c r="J11" s="133"/>
      <c r="K11" s="133"/>
      <c r="L11" s="85"/>
      <c r="M11" s="85"/>
    </row>
    <row r="12" spans="1:15" x14ac:dyDescent="0.2">
      <c r="B12" s="86"/>
      <c r="C12" s="86"/>
      <c r="D12" s="86"/>
      <c r="E12" s="86"/>
      <c r="F12" s="86"/>
      <c r="I12" s="85"/>
      <c r="J12" s="85"/>
      <c r="K12" s="85"/>
      <c r="L12" s="85"/>
      <c r="M12" s="85"/>
    </row>
    <row r="13" spans="1:15" ht="21" customHeight="1" x14ac:dyDescent="0.3">
      <c r="B13" s="87" t="s">
        <v>38</v>
      </c>
      <c r="C13" s="88"/>
      <c r="D13" s="88"/>
      <c r="E13" s="88"/>
      <c r="F13" s="88"/>
      <c r="I13" s="85"/>
      <c r="J13" s="85"/>
      <c r="K13" s="85"/>
      <c r="L13" s="85"/>
      <c r="M13" s="85"/>
    </row>
    <row r="14" spans="1:15" ht="15.75" x14ac:dyDescent="0.25">
      <c r="B14" s="132" t="s">
        <v>94</v>
      </c>
      <c r="C14" s="135"/>
      <c r="D14" s="135"/>
      <c r="E14" s="135"/>
      <c r="F14" s="135"/>
      <c r="G14" s="135"/>
      <c r="H14" s="135"/>
      <c r="I14" s="135"/>
      <c r="J14" s="135"/>
      <c r="K14" s="135"/>
      <c r="L14" s="89"/>
      <c r="M14" s="89"/>
    </row>
    <row r="15" spans="1:15" ht="15" customHeight="1" x14ac:dyDescent="0.2">
      <c r="B15" s="135"/>
      <c r="C15" s="135"/>
      <c r="D15" s="135"/>
      <c r="E15" s="135"/>
      <c r="F15" s="135"/>
      <c r="G15" s="135"/>
      <c r="H15" s="135"/>
      <c r="I15" s="135"/>
      <c r="J15" s="135"/>
      <c r="K15" s="135"/>
      <c r="L15" s="82"/>
      <c r="M15" s="82"/>
      <c r="N15" s="90"/>
      <c r="O15" s="90"/>
    </row>
    <row r="16" spans="1:15" ht="15.75" x14ac:dyDescent="0.25">
      <c r="B16" s="132" t="s">
        <v>39</v>
      </c>
      <c r="C16" s="135"/>
      <c r="D16" s="135"/>
      <c r="E16" s="135"/>
      <c r="F16" s="135"/>
      <c r="G16" s="135"/>
      <c r="H16" s="135"/>
      <c r="I16" s="135"/>
      <c r="J16" s="135"/>
      <c r="K16" s="135"/>
      <c r="L16" s="82"/>
      <c r="M16" s="82"/>
      <c r="N16" s="90"/>
      <c r="O16" s="90"/>
    </row>
    <row r="17" spans="2:11" x14ac:dyDescent="0.2">
      <c r="B17" s="136" t="s">
        <v>40</v>
      </c>
      <c r="C17" s="137"/>
      <c r="D17" s="137"/>
      <c r="E17" s="137"/>
      <c r="F17" s="137"/>
      <c r="G17" s="137"/>
      <c r="H17" s="137"/>
      <c r="I17" s="137"/>
      <c r="J17" s="137"/>
      <c r="K17" s="137"/>
    </row>
    <row r="18" spans="2:11" ht="15" customHeight="1" x14ac:dyDescent="0.2">
      <c r="B18" s="137"/>
      <c r="C18" s="137"/>
      <c r="D18" s="137"/>
      <c r="E18" s="137"/>
      <c r="F18" s="137"/>
      <c r="G18" s="137"/>
      <c r="H18" s="137"/>
      <c r="I18" s="137"/>
      <c r="J18" s="137"/>
      <c r="K18" s="137"/>
    </row>
    <row r="19" spans="2:11" x14ac:dyDescent="0.2">
      <c r="B19" s="132" t="s">
        <v>41</v>
      </c>
      <c r="C19" s="135"/>
      <c r="D19" s="135"/>
      <c r="E19" s="135"/>
      <c r="F19" s="135"/>
      <c r="G19" s="135"/>
      <c r="H19" s="135"/>
      <c r="I19" s="135"/>
      <c r="J19" s="135"/>
      <c r="K19" s="135"/>
    </row>
    <row r="20" spans="2:11" ht="15" customHeight="1" x14ac:dyDescent="0.2">
      <c r="B20" s="135"/>
      <c r="C20" s="135"/>
      <c r="D20" s="135"/>
      <c r="E20" s="135"/>
      <c r="F20" s="135"/>
      <c r="G20" s="135"/>
      <c r="H20" s="135"/>
      <c r="I20" s="135"/>
      <c r="J20" s="135"/>
      <c r="K20" s="135"/>
    </row>
    <row r="22" spans="2:11" x14ac:dyDescent="0.2">
      <c r="B22" s="132" t="s">
        <v>42</v>
      </c>
      <c r="C22" s="135"/>
      <c r="D22" s="135"/>
      <c r="E22" s="135"/>
      <c r="F22" s="135"/>
      <c r="G22" s="135"/>
      <c r="H22" s="135"/>
      <c r="I22" s="135"/>
      <c r="J22" s="135"/>
      <c r="K22" s="135"/>
    </row>
    <row r="23" spans="2:11" ht="15" customHeight="1" x14ac:dyDescent="0.2">
      <c r="B23" s="135"/>
      <c r="C23" s="135"/>
      <c r="D23" s="135"/>
      <c r="E23" s="135"/>
      <c r="F23" s="135"/>
      <c r="G23" s="135"/>
      <c r="H23" s="135"/>
      <c r="I23" s="135"/>
      <c r="J23" s="135"/>
      <c r="K23" s="135"/>
    </row>
    <row r="24" spans="2:11" ht="15" customHeight="1" x14ac:dyDescent="0.2">
      <c r="B24" s="135"/>
      <c r="C24" s="135"/>
      <c r="D24" s="135"/>
      <c r="E24" s="135"/>
      <c r="F24" s="135"/>
      <c r="G24" s="135"/>
      <c r="H24" s="135"/>
      <c r="I24" s="135"/>
      <c r="J24" s="135"/>
      <c r="K24" s="135"/>
    </row>
    <row r="25" spans="2:11" ht="15.75" x14ac:dyDescent="0.25">
      <c r="B25" s="91"/>
      <c r="C25" s="91"/>
      <c r="D25" s="91"/>
      <c r="E25" s="91"/>
      <c r="F25" s="91"/>
      <c r="H25" s="92"/>
    </row>
    <row r="26" spans="2:11" x14ac:dyDescent="0.2">
      <c r="B26" s="132" t="s">
        <v>43</v>
      </c>
      <c r="C26" s="135"/>
      <c r="D26" s="135"/>
      <c r="E26" s="135"/>
      <c r="F26" s="135"/>
      <c r="G26" s="135"/>
      <c r="H26" s="135"/>
      <c r="I26" s="135"/>
      <c r="J26" s="135"/>
      <c r="K26" s="135"/>
    </row>
    <row r="27" spans="2:11" x14ac:dyDescent="0.2">
      <c r="B27" s="135"/>
      <c r="C27" s="135"/>
      <c r="D27" s="135"/>
      <c r="E27" s="135"/>
      <c r="F27" s="135"/>
      <c r="G27" s="135"/>
      <c r="H27" s="135"/>
      <c r="I27" s="135"/>
      <c r="J27" s="135"/>
      <c r="K27" s="135"/>
    </row>
    <row r="28" spans="2:11" x14ac:dyDescent="0.2">
      <c r="B28" s="93"/>
      <c r="C28" s="93"/>
      <c r="D28" s="93"/>
      <c r="E28" s="93"/>
      <c r="F28" s="93"/>
      <c r="G28" s="93"/>
      <c r="H28" s="93"/>
      <c r="I28" s="93"/>
      <c r="J28" s="93"/>
      <c r="K28" s="93"/>
    </row>
    <row r="29" spans="2:11" ht="15" customHeight="1" x14ac:dyDescent="0.2">
      <c r="B29" s="130" t="s">
        <v>44</v>
      </c>
      <c r="C29" s="130"/>
      <c r="D29" s="130"/>
      <c r="E29" s="130"/>
      <c r="F29" s="130"/>
      <c r="G29" s="130"/>
      <c r="H29" s="130"/>
      <c r="I29" s="130"/>
      <c r="J29" s="130"/>
      <c r="K29" s="130"/>
    </row>
    <row r="30" spans="2:11" ht="15" customHeight="1" x14ac:dyDescent="0.2">
      <c r="B30" s="130"/>
      <c r="C30" s="130"/>
      <c r="D30" s="130"/>
      <c r="E30" s="130"/>
      <c r="F30" s="130"/>
      <c r="G30" s="130"/>
      <c r="H30" s="130"/>
      <c r="I30" s="130"/>
      <c r="J30" s="130"/>
      <c r="K30" s="130"/>
    </row>
    <row r="31" spans="2:11" ht="15" customHeight="1" x14ac:dyDescent="0.2">
      <c r="B31" s="94"/>
      <c r="C31" s="94"/>
      <c r="D31" s="94"/>
      <c r="E31" s="94"/>
      <c r="F31" s="94"/>
      <c r="G31" s="94"/>
      <c r="H31" s="94"/>
      <c r="I31" s="94"/>
      <c r="J31" s="94"/>
      <c r="K31" s="94"/>
    </row>
    <row r="33" spans="2:4" x14ac:dyDescent="0.2">
      <c r="B33" s="95" t="s">
        <v>45</v>
      </c>
      <c r="C33" s="96">
        <v>40268</v>
      </c>
      <c r="D33" s="97"/>
    </row>
    <row r="34" spans="2:4" x14ac:dyDescent="0.2">
      <c r="B34" s="95" t="s">
        <v>46</v>
      </c>
      <c r="C34" s="88">
        <v>45382</v>
      </c>
    </row>
    <row r="36" spans="2:4" x14ac:dyDescent="0.2">
      <c r="B36" s="81" t="s">
        <v>47</v>
      </c>
      <c r="C36" s="81" t="s">
        <v>72</v>
      </c>
    </row>
    <row r="37" spans="2:4" x14ac:dyDescent="0.2">
      <c r="B37" s="81" t="s">
        <v>48</v>
      </c>
      <c r="C37" s="98" t="s">
        <v>49</v>
      </c>
    </row>
    <row r="38" spans="2:4" x14ac:dyDescent="0.2">
      <c r="B38" s="81" t="s">
        <v>50</v>
      </c>
      <c r="C38" s="81" t="s">
        <v>73</v>
      </c>
    </row>
  </sheetData>
  <mergeCells count="12">
    <mergeCell ref="B29:K30"/>
    <mergeCell ref="B2:C2"/>
    <mergeCell ref="B4:K5"/>
    <mergeCell ref="B6:K6"/>
    <mergeCell ref="B7:K9"/>
    <mergeCell ref="B10:K11"/>
    <mergeCell ref="B14:K15"/>
    <mergeCell ref="B16:K16"/>
    <mergeCell ref="B17:K18"/>
    <mergeCell ref="B19:K20"/>
    <mergeCell ref="B22:K24"/>
    <mergeCell ref="B26:K27"/>
  </mergeCells>
  <hyperlinks>
    <hyperlink ref="J1" location="Contents!A1" display="Back to contents" xr:uid="{00000000-0004-0000-0100-000000000000}"/>
    <hyperlink ref="C37" r:id="rId1"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
  <sheetViews>
    <sheetView showGridLines="0" topLeftCell="A13" workbookViewId="0"/>
  </sheetViews>
  <sheetFormatPr defaultRowHeight="15" x14ac:dyDescent="0.2"/>
  <cols>
    <col min="1" max="1" width="26.7109375" style="99" customWidth="1"/>
    <col min="2" max="2" width="23.140625" style="115" bestFit="1" customWidth="1"/>
    <col min="3" max="3" width="138.42578125" style="90" customWidth="1"/>
    <col min="4" max="255" width="8.85546875" style="81"/>
    <col min="256" max="256" width="2.7109375" style="81" customWidth="1"/>
    <col min="257" max="257" width="20.42578125" style="81" customWidth="1"/>
    <col min="258" max="258" width="13.42578125" style="81" customWidth="1"/>
    <col min="259" max="259" width="81.42578125" style="81" customWidth="1"/>
    <col min="260" max="511" width="8.85546875" style="81"/>
    <col min="512" max="512" width="2.7109375" style="81" customWidth="1"/>
    <col min="513" max="513" width="20.42578125" style="81" customWidth="1"/>
    <col min="514" max="514" width="13.42578125" style="81" customWidth="1"/>
    <col min="515" max="515" width="81.42578125" style="81" customWidth="1"/>
    <col min="516" max="767" width="8.85546875" style="81"/>
    <col min="768" max="768" width="2.7109375" style="81" customWidth="1"/>
    <col min="769" max="769" width="20.42578125" style="81" customWidth="1"/>
    <col min="770" max="770" width="13.42578125" style="81" customWidth="1"/>
    <col min="771" max="771" width="81.42578125" style="81" customWidth="1"/>
    <col min="772" max="1023" width="8.85546875" style="81"/>
    <col min="1024" max="1024" width="2.7109375" style="81" customWidth="1"/>
    <col min="1025" max="1025" width="20.42578125" style="81" customWidth="1"/>
    <col min="1026" max="1026" width="13.42578125" style="81" customWidth="1"/>
    <col min="1027" max="1027" width="81.42578125" style="81" customWidth="1"/>
    <col min="1028" max="1279" width="8.85546875" style="81"/>
    <col min="1280" max="1280" width="2.7109375" style="81" customWidth="1"/>
    <col min="1281" max="1281" width="20.42578125" style="81" customWidth="1"/>
    <col min="1282" max="1282" width="13.42578125" style="81" customWidth="1"/>
    <col min="1283" max="1283" width="81.42578125" style="81" customWidth="1"/>
    <col min="1284" max="1535" width="8.85546875" style="81"/>
    <col min="1536" max="1536" width="2.7109375" style="81" customWidth="1"/>
    <col min="1537" max="1537" width="20.42578125" style="81" customWidth="1"/>
    <col min="1538" max="1538" width="13.42578125" style="81" customWidth="1"/>
    <col min="1539" max="1539" width="81.42578125" style="81" customWidth="1"/>
    <col min="1540" max="1791" width="8.85546875" style="81"/>
    <col min="1792" max="1792" width="2.7109375" style="81" customWidth="1"/>
    <col min="1793" max="1793" width="20.42578125" style="81" customWidth="1"/>
    <col min="1794" max="1794" width="13.42578125" style="81" customWidth="1"/>
    <col min="1795" max="1795" width="81.42578125" style="81" customWidth="1"/>
    <col min="1796" max="2047" width="8.85546875" style="81"/>
    <col min="2048" max="2048" width="2.7109375" style="81" customWidth="1"/>
    <col min="2049" max="2049" width="20.42578125" style="81" customWidth="1"/>
    <col min="2050" max="2050" width="13.42578125" style="81" customWidth="1"/>
    <col min="2051" max="2051" width="81.42578125" style="81" customWidth="1"/>
    <col min="2052" max="2303" width="8.85546875" style="81"/>
    <col min="2304" max="2304" width="2.7109375" style="81" customWidth="1"/>
    <col min="2305" max="2305" width="20.42578125" style="81" customWidth="1"/>
    <col min="2306" max="2306" width="13.42578125" style="81" customWidth="1"/>
    <col min="2307" max="2307" width="81.42578125" style="81" customWidth="1"/>
    <col min="2308" max="2559" width="8.85546875" style="81"/>
    <col min="2560" max="2560" width="2.7109375" style="81" customWidth="1"/>
    <col min="2561" max="2561" width="20.42578125" style="81" customWidth="1"/>
    <col min="2562" max="2562" width="13.42578125" style="81" customWidth="1"/>
    <col min="2563" max="2563" width="81.42578125" style="81" customWidth="1"/>
    <col min="2564" max="2815" width="8.85546875" style="81"/>
    <col min="2816" max="2816" width="2.7109375" style="81" customWidth="1"/>
    <col min="2817" max="2817" width="20.42578125" style="81" customWidth="1"/>
    <col min="2818" max="2818" width="13.42578125" style="81" customWidth="1"/>
    <col min="2819" max="2819" width="81.42578125" style="81" customWidth="1"/>
    <col min="2820" max="3071" width="8.85546875" style="81"/>
    <col min="3072" max="3072" width="2.7109375" style="81" customWidth="1"/>
    <col min="3073" max="3073" width="20.42578125" style="81" customWidth="1"/>
    <col min="3074" max="3074" width="13.42578125" style="81" customWidth="1"/>
    <col min="3075" max="3075" width="81.42578125" style="81" customWidth="1"/>
    <col min="3076" max="3327" width="8.85546875" style="81"/>
    <col min="3328" max="3328" width="2.7109375" style="81" customWidth="1"/>
    <col min="3329" max="3329" width="20.42578125" style="81" customWidth="1"/>
    <col min="3330" max="3330" width="13.42578125" style="81" customWidth="1"/>
    <col min="3331" max="3331" width="81.42578125" style="81" customWidth="1"/>
    <col min="3332" max="3583" width="8.85546875" style="81"/>
    <col min="3584" max="3584" width="2.7109375" style="81" customWidth="1"/>
    <col min="3585" max="3585" width="20.42578125" style="81" customWidth="1"/>
    <col min="3586" max="3586" width="13.42578125" style="81" customWidth="1"/>
    <col min="3587" max="3587" width="81.42578125" style="81" customWidth="1"/>
    <col min="3588" max="3839" width="8.85546875" style="81"/>
    <col min="3840" max="3840" width="2.7109375" style="81" customWidth="1"/>
    <col min="3841" max="3841" width="20.42578125" style="81" customWidth="1"/>
    <col min="3842" max="3842" width="13.42578125" style="81" customWidth="1"/>
    <col min="3843" max="3843" width="81.42578125" style="81" customWidth="1"/>
    <col min="3844" max="4095" width="8.85546875" style="81"/>
    <col min="4096" max="4096" width="2.7109375" style="81" customWidth="1"/>
    <col min="4097" max="4097" width="20.42578125" style="81" customWidth="1"/>
    <col min="4098" max="4098" width="13.42578125" style="81" customWidth="1"/>
    <col min="4099" max="4099" width="81.42578125" style="81" customWidth="1"/>
    <col min="4100" max="4351" width="8.85546875" style="81"/>
    <col min="4352" max="4352" width="2.7109375" style="81" customWidth="1"/>
    <col min="4353" max="4353" width="20.42578125" style="81" customWidth="1"/>
    <col min="4354" max="4354" width="13.42578125" style="81" customWidth="1"/>
    <col min="4355" max="4355" width="81.42578125" style="81" customWidth="1"/>
    <col min="4356" max="4607" width="8.85546875" style="81"/>
    <col min="4608" max="4608" width="2.7109375" style="81" customWidth="1"/>
    <col min="4609" max="4609" width="20.42578125" style="81" customWidth="1"/>
    <col min="4610" max="4610" width="13.42578125" style="81" customWidth="1"/>
    <col min="4611" max="4611" width="81.42578125" style="81" customWidth="1"/>
    <col min="4612" max="4863" width="8.85546875" style="81"/>
    <col min="4864" max="4864" width="2.7109375" style="81" customWidth="1"/>
    <col min="4865" max="4865" width="20.42578125" style="81" customWidth="1"/>
    <col min="4866" max="4866" width="13.42578125" style="81" customWidth="1"/>
    <col min="4867" max="4867" width="81.42578125" style="81" customWidth="1"/>
    <col min="4868" max="5119" width="8.85546875" style="81"/>
    <col min="5120" max="5120" width="2.7109375" style="81" customWidth="1"/>
    <col min="5121" max="5121" width="20.42578125" style="81" customWidth="1"/>
    <col min="5122" max="5122" width="13.42578125" style="81" customWidth="1"/>
    <col min="5123" max="5123" width="81.42578125" style="81" customWidth="1"/>
    <col min="5124" max="5375" width="8.85546875" style="81"/>
    <col min="5376" max="5376" width="2.7109375" style="81" customWidth="1"/>
    <col min="5377" max="5377" width="20.42578125" style="81" customWidth="1"/>
    <col min="5378" max="5378" width="13.42578125" style="81" customWidth="1"/>
    <col min="5379" max="5379" width="81.42578125" style="81" customWidth="1"/>
    <col min="5380" max="5631" width="8.85546875" style="81"/>
    <col min="5632" max="5632" width="2.7109375" style="81" customWidth="1"/>
    <col min="5633" max="5633" width="20.42578125" style="81" customWidth="1"/>
    <col min="5634" max="5634" width="13.42578125" style="81" customWidth="1"/>
    <col min="5635" max="5635" width="81.42578125" style="81" customWidth="1"/>
    <col min="5636" max="5887" width="8.85546875" style="81"/>
    <col min="5888" max="5888" width="2.7109375" style="81" customWidth="1"/>
    <col min="5889" max="5889" width="20.42578125" style="81" customWidth="1"/>
    <col min="5890" max="5890" width="13.42578125" style="81" customWidth="1"/>
    <col min="5891" max="5891" width="81.42578125" style="81" customWidth="1"/>
    <col min="5892" max="6143" width="8.85546875" style="81"/>
    <col min="6144" max="6144" width="2.7109375" style="81" customWidth="1"/>
    <col min="6145" max="6145" width="20.42578125" style="81" customWidth="1"/>
    <col min="6146" max="6146" width="13.42578125" style="81" customWidth="1"/>
    <col min="6147" max="6147" width="81.42578125" style="81" customWidth="1"/>
    <col min="6148" max="6399" width="8.85546875" style="81"/>
    <col min="6400" max="6400" width="2.7109375" style="81" customWidth="1"/>
    <col min="6401" max="6401" width="20.42578125" style="81" customWidth="1"/>
    <col min="6402" max="6402" width="13.42578125" style="81" customWidth="1"/>
    <col min="6403" max="6403" width="81.42578125" style="81" customWidth="1"/>
    <col min="6404" max="6655" width="8.85546875" style="81"/>
    <col min="6656" max="6656" width="2.7109375" style="81" customWidth="1"/>
    <col min="6657" max="6657" width="20.42578125" style="81" customWidth="1"/>
    <col min="6658" max="6658" width="13.42578125" style="81" customWidth="1"/>
    <col min="6659" max="6659" width="81.42578125" style="81" customWidth="1"/>
    <col min="6660" max="6911" width="8.85546875" style="81"/>
    <col min="6912" max="6912" width="2.7109375" style="81" customWidth="1"/>
    <col min="6913" max="6913" width="20.42578125" style="81" customWidth="1"/>
    <col min="6914" max="6914" width="13.42578125" style="81" customWidth="1"/>
    <col min="6915" max="6915" width="81.42578125" style="81" customWidth="1"/>
    <col min="6916" max="7167" width="8.85546875" style="81"/>
    <col min="7168" max="7168" width="2.7109375" style="81" customWidth="1"/>
    <col min="7169" max="7169" width="20.42578125" style="81" customWidth="1"/>
    <col min="7170" max="7170" width="13.42578125" style="81" customWidth="1"/>
    <col min="7171" max="7171" width="81.42578125" style="81" customWidth="1"/>
    <col min="7172" max="7423" width="8.85546875" style="81"/>
    <col min="7424" max="7424" width="2.7109375" style="81" customWidth="1"/>
    <col min="7425" max="7425" width="20.42578125" style="81" customWidth="1"/>
    <col min="7426" max="7426" width="13.42578125" style="81" customWidth="1"/>
    <col min="7427" max="7427" width="81.42578125" style="81" customWidth="1"/>
    <col min="7428" max="7679" width="8.85546875" style="81"/>
    <col min="7680" max="7680" width="2.7109375" style="81" customWidth="1"/>
    <col min="7681" max="7681" width="20.42578125" style="81" customWidth="1"/>
    <col min="7682" max="7682" width="13.42578125" style="81" customWidth="1"/>
    <col min="7683" max="7683" width="81.42578125" style="81" customWidth="1"/>
    <col min="7684" max="7935" width="8.85546875" style="81"/>
    <col min="7936" max="7936" width="2.7109375" style="81" customWidth="1"/>
    <col min="7937" max="7937" width="20.42578125" style="81" customWidth="1"/>
    <col min="7938" max="7938" width="13.42578125" style="81" customWidth="1"/>
    <col min="7939" max="7939" width="81.42578125" style="81" customWidth="1"/>
    <col min="7940" max="8191" width="8.85546875" style="81"/>
    <col min="8192" max="8192" width="2.7109375" style="81" customWidth="1"/>
    <col min="8193" max="8193" width="20.42578125" style="81" customWidth="1"/>
    <col min="8194" max="8194" width="13.42578125" style="81" customWidth="1"/>
    <col min="8195" max="8195" width="81.42578125" style="81" customWidth="1"/>
    <col min="8196" max="8447" width="8.85546875" style="81"/>
    <col min="8448" max="8448" width="2.7109375" style="81" customWidth="1"/>
    <col min="8449" max="8449" width="20.42578125" style="81" customWidth="1"/>
    <col min="8450" max="8450" width="13.42578125" style="81" customWidth="1"/>
    <col min="8451" max="8451" width="81.42578125" style="81" customWidth="1"/>
    <col min="8452" max="8703" width="8.85546875" style="81"/>
    <col min="8704" max="8704" width="2.7109375" style="81" customWidth="1"/>
    <col min="8705" max="8705" width="20.42578125" style="81" customWidth="1"/>
    <col min="8706" max="8706" width="13.42578125" style="81" customWidth="1"/>
    <col min="8707" max="8707" width="81.42578125" style="81" customWidth="1"/>
    <col min="8708" max="8959" width="8.85546875" style="81"/>
    <col min="8960" max="8960" width="2.7109375" style="81" customWidth="1"/>
    <col min="8961" max="8961" width="20.42578125" style="81" customWidth="1"/>
    <col min="8962" max="8962" width="13.42578125" style="81" customWidth="1"/>
    <col min="8963" max="8963" width="81.42578125" style="81" customWidth="1"/>
    <col min="8964" max="9215" width="8.85546875" style="81"/>
    <col min="9216" max="9216" width="2.7109375" style="81" customWidth="1"/>
    <col min="9217" max="9217" width="20.42578125" style="81" customWidth="1"/>
    <col min="9218" max="9218" width="13.42578125" style="81" customWidth="1"/>
    <col min="9219" max="9219" width="81.42578125" style="81" customWidth="1"/>
    <col min="9220" max="9471" width="8.85546875" style="81"/>
    <col min="9472" max="9472" width="2.7109375" style="81" customWidth="1"/>
    <col min="9473" max="9473" width="20.42578125" style="81" customWidth="1"/>
    <col min="9474" max="9474" width="13.42578125" style="81" customWidth="1"/>
    <col min="9475" max="9475" width="81.42578125" style="81" customWidth="1"/>
    <col min="9476" max="9727" width="8.85546875" style="81"/>
    <col min="9728" max="9728" width="2.7109375" style="81" customWidth="1"/>
    <col min="9729" max="9729" width="20.42578125" style="81" customWidth="1"/>
    <col min="9730" max="9730" width="13.42578125" style="81" customWidth="1"/>
    <col min="9731" max="9731" width="81.42578125" style="81" customWidth="1"/>
    <col min="9732" max="9983" width="8.85546875" style="81"/>
    <col min="9984" max="9984" width="2.7109375" style="81" customWidth="1"/>
    <col min="9985" max="9985" width="20.42578125" style="81" customWidth="1"/>
    <col min="9986" max="9986" width="13.42578125" style="81" customWidth="1"/>
    <col min="9987" max="9987" width="81.42578125" style="81" customWidth="1"/>
    <col min="9988" max="10239" width="8.85546875" style="81"/>
    <col min="10240" max="10240" width="2.7109375" style="81" customWidth="1"/>
    <col min="10241" max="10241" width="20.42578125" style="81" customWidth="1"/>
    <col min="10242" max="10242" width="13.42578125" style="81" customWidth="1"/>
    <col min="10243" max="10243" width="81.42578125" style="81" customWidth="1"/>
    <col min="10244" max="10495" width="8.85546875" style="81"/>
    <col min="10496" max="10496" width="2.7109375" style="81" customWidth="1"/>
    <col min="10497" max="10497" width="20.42578125" style="81" customWidth="1"/>
    <col min="10498" max="10498" width="13.42578125" style="81" customWidth="1"/>
    <col min="10499" max="10499" width="81.42578125" style="81" customWidth="1"/>
    <col min="10500" max="10751" width="8.85546875" style="81"/>
    <col min="10752" max="10752" width="2.7109375" style="81" customWidth="1"/>
    <col min="10753" max="10753" width="20.42578125" style="81" customWidth="1"/>
    <col min="10754" max="10754" width="13.42578125" style="81" customWidth="1"/>
    <col min="10755" max="10755" width="81.42578125" style="81" customWidth="1"/>
    <col min="10756" max="11007" width="8.85546875" style="81"/>
    <col min="11008" max="11008" width="2.7109375" style="81" customWidth="1"/>
    <col min="11009" max="11009" width="20.42578125" style="81" customWidth="1"/>
    <col min="11010" max="11010" width="13.42578125" style="81" customWidth="1"/>
    <col min="11011" max="11011" width="81.42578125" style="81" customWidth="1"/>
    <col min="11012" max="11263" width="8.85546875" style="81"/>
    <col min="11264" max="11264" width="2.7109375" style="81" customWidth="1"/>
    <col min="11265" max="11265" width="20.42578125" style="81" customWidth="1"/>
    <col min="11266" max="11266" width="13.42578125" style="81" customWidth="1"/>
    <col min="11267" max="11267" width="81.42578125" style="81" customWidth="1"/>
    <col min="11268" max="11519" width="8.85546875" style="81"/>
    <col min="11520" max="11520" width="2.7109375" style="81" customWidth="1"/>
    <col min="11521" max="11521" width="20.42578125" style="81" customWidth="1"/>
    <col min="11522" max="11522" width="13.42578125" style="81" customWidth="1"/>
    <col min="11523" max="11523" width="81.42578125" style="81" customWidth="1"/>
    <col min="11524" max="11775" width="8.85546875" style="81"/>
    <col min="11776" max="11776" width="2.7109375" style="81" customWidth="1"/>
    <col min="11777" max="11777" width="20.42578125" style="81" customWidth="1"/>
    <col min="11778" max="11778" width="13.42578125" style="81" customWidth="1"/>
    <col min="11779" max="11779" width="81.42578125" style="81" customWidth="1"/>
    <col min="11780" max="12031" width="8.85546875" style="81"/>
    <col min="12032" max="12032" width="2.7109375" style="81" customWidth="1"/>
    <col min="12033" max="12033" width="20.42578125" style="81" customWidth="1"/>
    <col min="12034" max="12034" width="13.42578125" style="81" customWidth="1"/>
    <col min="12035" max="12035" width="81.42578125" style="81" customWidth="1"/>
    <col min="12036" max="12287" width="8.85546875" style="81"/>
    <col min="12288" max="12288" width="2.7109375" style="81" customWidth="1"/>
    <col min="12289" max="12289" width="20.42578125" style="81" customWidth="1"/>
    <col min="12290" max="12290" width="13.42578125" style="81" customWidth="1"/>
    <col min="12291" max="12291" width="81.42578125" style="81" customWidth="1"/>
    <col min="12292" max="12543" width="8.85546875" style="81"/>
    <col min="12544" max="12544" width="2.7109375" style="81" customWidth="1"/>
    <col min="12545" max="12545" width="20.42578125" style="81" customWidth="1"/>
    <col min="12546" max="12546" width="13.42578125" style="81" customWidth="1"/>
    <col min="12547" max="12547" width="81.42578125" style="81" customWidth="1"/>
    <col min="12548" max="12799" width="8.85546875" style="81"/>
    <col min="12800" max="12800" width="2.7109375" style="81" customWidth="1"/>
    <col min="12801" max="12801" width="20.42578125" style="81" customWidth="1"/>
    <col min="12802" max="12802" width="13.42578125" style="81" customWidth="1"/>
    <col min="12803" max="12803" width="81.42578125" style="81" customWidth="1"/>
    <col min="12804" max="13055" width="8.85546875" style="81"/>
    <col min="13056" max="13056" width="2.7109375" style="81" customWidth="1"/>
    <col min="13057" max="13057" width="20.42578125" style="81" customWidth="1"/>
    <col min="13058" max="13058" width="13.42578125" style="81" customWidth="1"/>
    <col min="13059" max="13059" width="81.42578125" style="81" customWidth="1"/>
    <col min="13060" max="13311" width="8.85546875" style="81"/>
    <col min="13312" max="13312" width="2.7109375" style="81" customWidth="1"/>
    <col min="13313" max="13313" width="20.42578125" style="81" customWidth="1"/>
    <col min="13314" max="13314" width="13.42578125" style="81" customWidth="1"/>
    <col min="13315" max="13315" width="81.42578125" style="81" customWidth="1"/>
    <col min="13316" max="13567" width="8.85546875" style="81"/>
    <col min="13568" max="13568" width="2.7109375" style="81" customWidth="1"/>
    <col min="13569" max="13569" width="20.42578125" style="81" customWidth="1"/>
    <col min="13570" max="13570" width="13.42578125" style="81" customWidth="1"/>
    <col min="13571" max="13571" width="81.42578125" style="81" customWidth="1"/>
    <col min="13572" max="13823" width="8.85546875" style="81"/>
    <col min="13824" max="13824" width="2.7109375" style="81" customWidth="1"/>
    <col min="13825" max="13825" width="20.42578125" style="81" customWidth="1"/>
    <col min="13826" max="13826" width="13.42578125" style="81" customWidth="1"/>
    <col min="13827" max="13827" width="81.42578125" style="81" customWidth="1"/>
    <col min="13828" max="14079" width="8.85546875" style="81"/>
    <col min="14080" max="14080" width="2.7109375" style="81" customWidth="1"/>
    <col min="14081" max="14081" width="20.42578125" style="81" customWidth="1"/>
    <col min="14082" max="14082" width="13.42578125" style="81" customWidth="1"/>
    <col min="14083" max="14083" width="81.42578125" style="81" customWidth="1"/>
    <col min="14084" max="14335" width="8.85546875" style="81"/>
    <col min="14336" max="14336" width="2.7109375" style="81" customWidth="1"/>
    <col min="14337" max="14337" width="20.42578125" style="81" customWidth="1"/>
    <col min="14338" max="14338" width="13.42578125" style="81" customWidth="1"/>
    <col min="14339" max="14339" width="81.42578125" style="81" customWidth="1"/>
    <col min="14340" max="14591" width="8.85546875" style="81"/>
    <col min="14592" max="14592" width="2.7109375" style="81" customWidth="1"/>
    <col min="14593" max="14593" width="20.42578125" style="81" customWidth="1"/>
    <col min="14594" max="14594" width="13.42578125" style="81" customWidth="1"/>
    <col min="14595" max="14595" width="81.42578125" style="81" customWidth="1"/>
    <col min="14596" max="14847" width="8.85546875" style="81"/>
    <col min="14848" max="14848" width="2.7109375" style="81" customWidth="1"/>
    <col min="14849" max="14849" width="20.42578125" style="81" customWidth="1"/>
    <col min="14850" max="14850" width="13.42578125" style="81" customWidth="1"/>
    <col min="14851" max="14851" width="81.42578125" style="81" customWidth="1"/>
    <col min="14852" max="15103" width="8.85546875" style="81"/>
    <col min="15104" max="15104" width="2.7109375" style="81" customWidth="1"/>
    <col min="15105" max="15105" width="20.42578125" style="81" customWidth="1"/>
    <col min="15106" max="15106" width="13.42578125" style="81" customWidth="1"/>
    <col min="15107" max="15107" width="81.42578125" style="81" customWidth="1"/>
    <col min="15108" max="15359" width="8.85546875" style="81"/>
    <col min="15360" max="15360" width="2.7109375" style="81" customWidth="1"/>
    <col min="15361" max="15361" width="20.42578125" style="81" customWidth="1"/>
    <col min="15362" max="15362" width="13.42578125" style="81" customWidth="1"/>
    <col min="15363" max="15363" width="81.42578125" style="81" customWidth="1"/>
    <col min="15364" max="15615" width="8.85546875" style="81"/>
    <col min="15616" max="15616" width="2.7109375" style="81" customWidth="1"/>
    <col min="15617" max="15617" width="20.42578125" style="81" customWidth="1"/>
    <col min="15618" max="15618" width="13.42578125" style="81" customWidth="1"/>
    <col min="15619" max="15619" width="81.42578125" style="81" customWidth="1"/>
    <col min="15620" max="15871" width="8.85546875" style="81"/>
    <col min="15872" max="15872" width="2.7109375" style="81" customWidth="1"/>
    <col min="15873" max="15873" width="20.42578125" style="81" customWidth="1"/>
    <col min="15874" max="15874" width="13.42578125" style="81" customWidth="1"/>
    <col min="15875" max="15875" width="81.42578125" style="81" customWidth="1"/>
    <col min="15876" max="16127" width="8.85546875" style="81"/>
    <col min="16128" max="16128" width="2.7109375" style="81" customWidth="1"/>
    <col min="16129" max="16129" width="20.42578125" style="81" customWidth="1"/>
    <col min="16130" max="16130" width="13.42578125" style="81" customWidth="1"/>
    <col min="16131" max="16131" width="81.42578125" style="81" customWidth="1"/>
    <col min="16132" max="16384" width="8.85546875" style="81"/>
  </cols>
  <sheetData>
    <row r="1" spans="1:9" ht="7.15" customHeight="1" x14ac:dyDescent="0.2">
      <c r="A1" s="82"/>
      <c r="B1" s="99"/>
    </row>
    <row r="2" spans="1:9" ht="21" customHeight="1" x14ac:dyDescent="0.3">
      <c r="A2" s="100" t="s">
        <v>29</v>
      </c>
      <c r="B2" s="101"/>
      <c r="C2" s="102"/>
    </row>
    <row r="3" spans="1:9" ht="21" customHeight="1" x14ac:dyDescent="0.3">
      <c r="A3" s="101" t="s">
        <v>90</v>
      </c>
      <c r="B3" s="101"/>
      <c r="C3" s="102"/>
    </row>
    <row r="4" spans="1:9" ht="20.25" x14ac:dyDescent="0.3">
      <c r="A4" s="103"/>
      <c r="B4" s="101"/>
      <c r="C4" s="102"/>
    </row>
    <row r="5" spans="1:9" ht="20.25" x14ac:dyDescent="0.2">
      <c r="A5" s="104" t="s">
        <v>51</v>
      </c>
      <c r="B5" s="105"/>
      <c r="C5" s="106"/>
      <c r="D5" s="107"/>
      <c r="E5" s="107"/>
      <c r="F5" s="107"/>
      <c r="G5" s="107"/>
      <c r="H5" s="107"/>
      <c r="I5" s="107"/>
    </row>
    <row r="6" spans="1:9" ht="20.25" x14ac:dyDescent="0.2">
      <c r="A6" s="104" t="s">
        <v>52</v>
      </c>
      <c r="B6" s="105"/>
      <c r="C6" s="106"/>
      <c r="D6" s="107"/>
      <c r="E6" s="107"/>
      <c r="F6" s="107"/>
      <c r="G6" s="107"/>
      <c r="H6" s="107"/>
      <c r="I6" s="107"/>
    </row>
    <row r="7" spans="1:9" ht="20.25" x14ac:dyDescent="0.3">
      <c r="A7" s="108"/>
      <c r="B7" s="108"/>
      <c r="C7" s="102"/>
    </row>
    <row r="8" spans="1:9" ht="20.25" x14ac:dyDescent="0.3">
      <c r="A8" s="117" t="s">
        <v>53</v>
      </c>
      <c r="B8" s="117" t="s">
        <v>54</v>
      </c>
      <c r="C8" s="102"/>
    </row>
    <row r="9" spans="1:9" x14ac:dyDescent="0.2">
      <c r="A9" s="80"/>
      <c r="B9" s="80"/>
    </row>
    <row r="10" spans="1:9" ht="20.25" x14ac:dyDescent="0.3">
      <c r="A10" s="138" t="s">
        <v>55</v>
      </c>
      <c r="B10" s="139"/>
    </row>
    <row r="11" spans="1:9" ht="20.25" x14ac:dyDescent="0.3">
      <c r="A11" s="109" t="s">
        <v>56</v>
      </c>
      <c r="B11" s="110" t="s">
        <v>95</v>
      </c>
    </row>
    <row r="12" spans="1:9" x14ac:dyDescent="0.2">
      <c r="A12" s="80"/>
      <c r="B12" s="80"/>
    </row>
    <row r="13" spans="1:9" ht="20.25" x14ac:dyDescent="0.3">
      <c r="A13" s="111" t="s">
        <v>57</v>
      </c>
      <c r="B13" s="112" t="s">
        <v>58</v>
      </c>
      <c r="C13" s="113" t="s">
        <v>74</v>
      </c>
    </row>
    <row r="14" spans="1:9" ht="34.9" customHeight="1" x14ac:dyDescent="0.2">
      <c r="A14" s="114" t="s">
        <v>59</v>
      </c>
      <c r="B14" s="114" t="s">
        <v>56</v>
      </c>
      <c r="C14" s="116" t="s">
        <v>75</v>
      </c>
    </row>
    <row r="15" spans="1:9" ht="34.9" customHeight="1" x14ac:dyDescent="0.2">
      <c r="A15" s="114" t="s">
        <v>60</v>
      </c>
      <c r="B15" s="114" t="s">
        <v>56</v>
      </c>
      <c r="C15" s="116" t="s">
        <v>76</v>
      </c>
    </row>
    <row r="16" spans="1:9" ht="34.9" customHeight="1" x14ac:dyDescent="0.2">
      <c r="A16" s="114" t="s">
        <v>61</v>
      </c>
      <c r="B16" s="114" t="s">
        <v>56</v>
      </c>
      <c r="C16" s="116" t="s">
        <v>77</v>
      </c>
    </row>
    <row r="17" spans="1:3" ht="34.9" customHeight="1" x14ac:dyDescent="0.2">
      <c r="A17" s="114" t="s">
        <v>62</v>
      </c>
      <c r="B17" s="114" t="s">
        <v>56</v>
      </c>
      <c r="C17" s="116" t="s">
        <v>78</v>
      </c>
    </row>
    <row r="18" spans="1:3" ht="34.9" customHeight="1" x14ac:dyDescent="0.2">
      <c r="A18" s="114" t="s">
        <v>63</v>
      </c>
      <c r="B18" s="114" t="s">
        <v>56</v>
      </c>
      <c r="C18" s="116" t="s">
        <v>79</v>
      </c>
    </row>
    <row r="19" spans="1:3" ht="34.9" customHeight="1" x14ac:dyDescent="0.2">
      <c r="A19" s="114" t="s">
        <v>64</v>
      </c>
      <c r="B19" s="114" t="s">
        <v>56</v>
      </c>
      <c r="C19" s="116" t="s">
        <v>80</v>
      </c>
    </row>
    <row r="20" spans="1:3" ht="34.9" customHeight="1" x14ac:dyDescent="0.2">
      <c r="A20" s="114" t="s">
        <v>65</v>
      </c>
      <c r="B20" s="114" t="s">
        <v>56</v>
      </c>
      <c r="C20" s="116" t="s">
        <v>81</v>
      </c>
    </row>
    <row r="21" spans="1:3" ht="34.9" customHeight="1" x14ac:dyDescent="0.2">
      <c r="A21" s="114" t="s">
        <v>66</v>
      </c>
      <c r="B21" s="114" t="s">
        <v>56</v>
      </c>
      <c r="C21" s="116" t="s">
        <v>82</v>
      </c>
    </row>
    <row r="22" spans="1:3" ht="34.9" customHeight="1" x14ac:dyDescent="0.2">
      <c r="A22" s="114" t="s">
        <v>67</v>
      </c>
      <c r="B22" s="114" t="s">
        <v>56</v>
      </c>
      <c r="C22" s="116" t="s">
        <v>83</v>
      </c>
    </row>
    <row r="23" spans="1:3" ht="34.9" customHeight="1" x14ac:dyDescent="0.2">
      <c r="A23" s="114" t="s">
        <v>68</v>
      </c>
      <c r="B23" s="114" t="s">
        <v>56</v>
      </c>
      <c r="C23" s="116" t="s">
        <v>84</v>
      </c>
    </row>
    <row r="24" spans="1:3" ht="34.9" customHeight="1" x14ac:dyDescent="0.2">
      <c r="A24" s="114" t="s">
        <v>69</v>
      </c>
      <c r="B24" s="114" t="s">
        <v>56</v>
      </c>
      <c r="C24" s="116" t="s">
        <v>84</v>
      </c>
    </row>
    <row r="25" spans="1:3" x14ac:dyDescent="0.2">
      <c r="A25" s="132"/>
      <c r="B25" s="132"/>
      <c r="C25" s="132"/>
    </row>
  </sheetData>
  <mergeCells count="2">
    <mergeCell ref="A10:B10"/>
    <mergeCell ref="A25:C25"/>
  </mergeCells>
  <hyperlinks>
    <hyperlink ref="A8" location="'Cover Sheet'!A1" display="Cover sheet" xr:uid="{00000000-0004-0000-0200-000000000000}"/>
    <hyperlink ref="B8" location="Notes!A1" display="Notes" xr:uid="{00000000-0004-0000-0200-000001000000}"/>
    <hyperlink ref="C19" location="'Table 1.4'!A1" display="Net Amount of Lone Pensioner Allowance (Private Rented Sector, NIHE &amp; Housing Association) awarded by NIHE in Northern Ireland at year-end 31 March 2010 to 31 March 2022" xr:uid="{00000000-0004-0000-0200-000003000000}"/>
    <hyperlink ref="C16" location="'Table 1.3'!A1" display="Number of people (owner occupier) awarded Lone Pensioner Allowance, and Net Amount of Lone Pensioner Allowance awarded in Northern Ireland at year-end 31 March 2010 to 31 March 2022" xr:uid="{00000000-0004-0000-0200-000004000000}"/>
    <hyperlink ref="C17" location="'Figure 1'!A1" display="Number of people (owner occupier) awarded Lone Pensioner Allowance at year-end 31 March 2010 to 31 March 2022" xr:uid="{00000000-0004-0000-0200-000005000000}"/>
    <hyperlink ref="C18" location="'Figure 2'!A1" display="Net amount of Lone Pensioner Allowance (owner occupier) awarded at year-end 31 March 2010 to 31 March 2022" xr:uid="{00000000-0004-0000-0200-000006000000}"/>
    <hyperlink ref="C20" location="'Figure 3'!B3" display="Net Amount of Lone Pensioner Allowance (Private Rented Sector) awarded in Northern Ireland at year-end 31 March 2010 to 31 March 2022" xr:uid="{00000000-0004-0000-0200-000007000000}"/>
    <hyperlink ref="C21" location="'Figure 4'!B3" display="Net amount of Lone Pensioner Allowance (NIHE) awarded in Northern Ireland at year-end 31 March 2010 to 31 March 2022" xr:uid="{00000000-0004-0000-0200-000008000000}"/>
    <hyperlink ref="C22" location="'Figure 5'!B3" display="Net Amount of Lone Pensioner Allowance (Housing Association) awarded in Northern Ireland at year-end 31 March 2010 to 31 March 2022" xr:uid="{00000000-0004-0000-0200-000009000000}"/>
    <hyperlink ref="C23" location="'Table 1.5'!A1" display="Total Net Amount of Lone Pensioner Allowance awarded in Northern Ireland at year-end 31 March 2010 to 31 March 2022" xr:uid="{00000000-0004-0000-0200-00000A000000}"/>
    <hyperlink ref="C24" location="'Figure 6'!B3" display="Total Net Amount of Lone Pensioner Allowance awarded in Northern Ireland at year-end 31 March 2010 to 31 March 2022" xr:uid="{00000000-0004-0000-0200-00000B000000}"/>
    <hyperlink ref="C14" location="'Table 1.1'!A1" display="Number of people (owner occupier) in Northern Ireland awarded Lone Pensioner Allowance by District Council at year-end 31 March 2010 to 31 March 2022" xr:uid="{00000000-0004-0000-0200-00000C000000}"/>
    <hyperlink ref="C15" location="'Table 1.2 '!A1" display="Net Amount of Lone Pensioner Allowance (owner occupier) awarded in Northern Ireland by District Council at year-end 31 March 2010 to 31 March 2022" xr:uid="{00000000-0004-0000-0200-000002000000}"/>
  </hyperlinks>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5"/>
  <sheetViews>
    <sheetView workbookViewId="0">
      <selection activeCell="A25" sqref="A25"/>
    </sheetView>
  </sheetViews>
  <sheetFormatPr defaultRowHeight="15" x14ac:dyDescent="0.25"/>
  <cols>
    <col min="1" max="1" width="41.7109375" customWidth="1"/>
    <col min="2" max="2" width="17" bestFit="1" customWidth="1"/>
    <col min="3" max="8" width="17" customWidth="1"/>
    <col min="9" max="12" width="17" bestFit="1" customWidth="1"/>
    <col min="13" max="13" width="17" customWidth="1"/>
    <col min="14" max="14" width="18" bestFit="1" customWidth="1"/>
    <col min="15" max="16" width="17" bestFit="1" customWidth="1"/>
  </cols>
  <sheetData>
    <row r="1" spans="1:20" ht="18.75" x14ac:dyDescent="0.25">
      <c r="A1" s="19" t="s">
        <v>85</v>
      </c>
      <c r="B1" s="38"/>
      <c r="C1" s="38"/>
      <c r="D1" s="39"/>
      <c r="E1" s="39"/>
      <c r="F1" s="6"/>
      <c r="G1" s="6"/>
      <c r="H1" s="6"/>
      <c r="I1" s="6"/>
      <c r="N1" s="40" t="s">
        <v>13</v>
      </c>
      <c r="T1" s="15"/>
    </row>
    <row r="2" spans="1:20" ht="15.75" x14ac:dyDescent="0.25">
      <c r="A2" s="41"/>
      <c r="B2" s="6"/>
      <c r="C2" s="6"/>
      <c r="D2" s="6"/>
      <c r="E2" s="6"/>
      <c r="F2" s="6"/>
      <c r="H2" s="6"/>
      <c r="I2" s="6"/>
    </row>
    <row r="3" spans="1:20" ht="15.75" x14ac:dyDescent="0.25">
      <c r="A3" s="42"/>
      <c r="B3" s="43"/>
      <c r="C3" s="42"/>
      <c r="D3" s="44"/>
      <c r="E3" s="1"/>
      <c r="F3" s="1"/>
      <c r="G3" s="1"/>
      <c r="H3" s="39"/>
      <c r="I3" s="39"/>
      <c r="J3" s="39"/>
      <c r="K3" s="39"/>
      <c r="L3" s="39"/>
      <c r="M3" s="39"/>
      <c r="N3" s="39"/>
      <c r="O3" s="6"/>
      <c r="P3" s="6"/>
      <c r="Q3" s="6"/>
      <c r="R3" s="6"/>
      <c r="S3" s="45"/>
    </row>
    <row r="4" spans="1:20" ht="15.75" x14ac:dyDescent="0.25">
      <c r="A4" s="1" t="s">
        <v>10</v>
      </c>
      <c r="B4" s="2">
        <v>40268</v>
      </c>
      <c r="C4" s="2">
        <v>40633</v>
      </c>
      <c r="D4" s="2">
        <v>40999</v>
      </c>
      <c r="E4" s="3">
        <v>41364</v>
      </c>
      <c r="F4" s="3">
        <v>41729</v>
      </c>
      <c r="G4" s="3">
        <v>42094</v>
      </c>
      <c r="H4" s="3">
        <v>42460</v>
      </c>
      <c r="I4" s="3">
        <v>42825</v>
      </c>
      <c r="J4" s="3">
        <v>43190</v>
      </c>
      <c r="K4" s="3">
        <v>43555</v>
      </c>
      <c r="L4" s="3">
        <v>43921</v>
      </c>
      <c r="M4" s="3">
        <v>44286</v>
      </c>
      <c r="N4" s="3">
        <v>44651</v>
      </c>
      <c r="O4" s="3">
        <v>45016</v>
      </c>
      <c r="P4" s="3">
        <v>45382</v>
      </c>
    </row>
    <row r="5" spans="1:20" ht="15.75" x14ac:dyDescent="0.25">
      <c r="A5" s="4"/>
      <c r="B5" s="4"/>
      <c r="C5" s="4"/>
      <c r="D5" s="5"/>
      <c r="E5" s="6"/>
      <c r="F5" s="6"/>
      <c r="G5" s="7"/>
      <c r="H5" s="7"/>
      <c r="I5" s="7"/>
      <c r="J5" s="7"/>
    </row>
    <row r="6" spans="1:20" ht="15.75" x14ac:dyDescent="0.25">
      <c r="A6" s="8" t="s">
        <v>0</v>
      </c>
      <c r="B6" s="46">
        <v>1695</v>
      </c>
      <c r="C6" s="46">
        <v>1807</v>
      </c>
      <c r="D6" s="46">
        <v>1907</v>
      </c>
      <c r="E6" s="46">
        <v>2034</v>
      </c>
      <c r="F6" s="46">
        <v>2108</v>
      </c>
      <c r="G6" s="46">
        <v>2186</v>
      </c>
      <c r="H6" s="46">
        <v>2291</v>
      </c>
      <c r="I6" s="46">
        <v>2356</v>
      </c>
      <c r="J6" s="46">
        <v>2416</v>
      </c>
      <c r="K6" s="46">
        <v>2538</v>
      </c>
      <c r="L6" s="46">
        <v>2610</v>
      </c>
      <c r="M6" s="46">
        <v>2699</v>
      </c>
      <c r="N6" s="46">
        <v>2794</v>
      </c>
      <c r="O6" s="46">
        <v>2958</v>
      </c>
      <c r="P6" s="46">
        <v>3022</v>
      </c>
    </row>
    <row r="7" spans="1:20" ht="15.75" x14ac:dyDescent="0.25">
      <c r="A7" s="8" t="s">
        <v>1</v>
      </c>
      <c r="B7" s="46">
        <v>2704</v>
      </c>
      <c r="C7" s="46">
        <v>2896</v>
      </c>
      <c r="D7" s="46">
        <v>2991</v>
      </c>
      <c r="E7" s="46">
        <v>3132</v>
      </c>
      <c r="F7" s="46">
        <v>3266</v>
      </c>
      <c r="G7" s="46">
        <v>3340</v>
      </c>
      <c r="H7" s="46">
        <v>3501</v>
      </c>
      <c r="I7" s="46">
        <v>3664</v>
      </c>
      <c r="J7" s="46">
        <v>3849</v>
      </c>
      <c r="K7" s="46">
        <v>4094</v>
      </c>
      <c r="L7" s="46">
        <v>4284</v>
      </c>
      <c r="M7" s="46">
        <v>4340</v>
      </c>
      <c r="N7" s="46">
        <v>4379</v>
      </c>
      <c r="O7" s="46">
        <v>4559</v>
      </c>
      <c r="P7" s="46">
        <v>4775</v>
      </c>
    </row>
    <row r="8" spans="1:20" ht="15.75" x14ac:dyDescent="0.25">
      <c r="A8" s="8" t="s">
        <v>2</v>
      </c>
      <c r="B8" s="46">
        <v>1764</v>
      </c>
      <c r="C8" s="46">
        <v>1937</v>
      </c>
      <c r="D8" s="46">
        <v>2067</v>
      </c>
      <c r="E8" s="46">
        <v>2135</v>
      </c>
      <c r="F8" s="46">
        <v>2237</v>
      </c>
      <c r="G8" s="46">
        <v>2294</v>
      </c>
      <c r="H8" s="46">
        <v>2409</v>
      </c>
      <c r="I8" s="46">
        <v>2555</v>
      </c>
      <c r="J8" s="46">
        <v>2656</v>
      </c>
      <c r="K8" s="46">
        <v>2850</v>
      </c>
      <c r="L8" s="46">
        <v>3004</v>
      </c>
      <c r="M8" s="46">
        <v>3094</v>
      </c>
      <c r="N8" s="46">
        <v>3129</v>
      </c>
      <c r="O8" s="46">
        <v>3298</v>
      </c>
      <c r="P8" s="46">
        <v>3458</v>
      </c>
    </row>
    <row r="9" spans="1:20" ht="15.75" x14ac:dyDescent="0.25">
      <c r="A9" s="8" t="s">
        <v>3</v>
      </c>
      <c r="B9" s="46">
        <v>4351</v>
      </c>
      <c r="C9" s="46">
        <v>4635</v>
      </c>
      <c r="D9" s="46">
        <v>4680</v>
      </c>
      <c r="E9" s="46">
        <v>4960</v>
      </c>
      <c r="F9" s="46">
        <v>5014</v>
      </c>
      <c r="G9" s="46">
        <v>5028</v>
      </c>
      <c r="H9" s="46">
        <v>5087</v>
      </c>
      <c r="I9" s="46">
        <v>5181</v>
      </c>
      <c r="J9" s="46">
        <v>5241</v>
      </c>
      <c r="K9" s="46">
        <v>5427</v>
      </c>
      <c r="L9" s="46">
        <v>5503</v>
      </c>
      <c r="M9" s="46">
        <v>5520</v>
      </c>
      <c r="N9" s="46">
        <v>5454</v>
      </c>
      <c r="O9" s="46">
        <v>5601</v>
      </c>
      <c r="P9" s="46">
        <v>5705</v>
      </c>
    </row>
    <row r="10" spans="1:20" ht="15.75" x14ac:dyDescent="0.25">
      <c r="A10" s="8" t="s">
        <v>4</v>
      </c>
      <c r="B10" s="46">
        <v>1534</v>
      </c>
      <c r="C10" s="46">
        <v>1656</v>
      </c>
      <c r="D10" s="46">
        <v>1704</v>
      </c>
      <c r="E10" s="46">
        <v>1802</v>
      </c>
      <c r="F10" s="46">
        <v>1877</v>
      </c>
      <c r="G10" s="46">
        <v>1928</v>
      </c>
      <c r="H10" s="46">
        <v>2016</v>
      </c>
      <c r="I10" s="46">
        <v>2064</v>
      </c>
      <c r="J10" s="46">
        <v>2138</v>
      </c>
      <c r="K10" s="46">
        <v>2271</v>
      </c>
      <c r="L10" s="46">
        <v>2340</v>
      </c>
      <c r="M10" s="46">
        <v>2448</v>
      </c>
      <c r="N10" s="46">
        <v>2483</v>
      </c>
      <c r="O10" s="46">
        <v>2632</v>
      </c>
      <c r="P10" s="46">
        <v>2765</v>
      </c>
    </row>
    <row r="11" spans="1:20" ht="15.75" x14ac:dyDescent="0.25">
      <c r="A11" s="8" t="s">
        <v>11</v>
      </c>
      <c r="B11" s="46">
        <v>936</v>
      </c>
      <c r="C11" s="46">
        <v>1022</v>
      </c>
      <c r="D11" s="46">
        <v>1059</v>
      </c>
      <c r="E11" s="46">
        <v>1138</v>
      </c>
      <c r="F11" s="46">
        <v>1217</v>
      </c>
      <c r="G11" s="46">
        <v>1249</v>
      </c>
      <c r="H11" s="46">
        <v>1332</v>
      </c>
      <c r="I11" s="46">
        <v>1396</v>
      </c>
      <c r="J11" s="46">
        <v>1451</v>
      </c>
      <c r="K11" s="46">
        <v>1565</v>
      </c>
      <c r="L11" s="46">
        <v>1620</v>
      </c>
      <c r="M11" s="46">
        <v>1655</v>
      </c>
      <c r="N11" s="46">
        <v>1688</v>
      </c>
      <c r="O11" s="46">
        <v>1788</v>
      </c>
      <c r="P11" s="46">
        <v>1882</v>
      </c>
    </row>
    <row r="12" spans="1:20" ht="15.75" x14ac:dyDescent="0.25">
      <c r="A12" s="8" t="s">
        <v>5</v>
      </c>
      <c r="B12" s="46">
        <v>994</v>
      </c>
      <c r="C12" s="46">
        <v>1088</v>
      </c>
      <c r="D12" s="46">
        <v>1161</v>
      </c>
      <c r="E12" s="46">
        <v>1240</v>
      </c>
      <c r="F12" s="46">
        <v>1294</v>
      </c>
      <c r="G12" s="46">
        <v>1311</v>
      </c>
      <c r="H12" s="46">
        <v>1371</v>
      </c>
      <c r="I12" s="46">
        <v>1447</v>
      </c>
      <c r="J12" s="46">
        <v>1503</v>
      </c>
      <c r="K12" s="46">
        <v>1599</v>
      </c>
      <c r="L12" s="46">
        <v>1700</v>
      </c>
      <c r="M12" s="46">
        <v>1802</v>
      </c>
      <c r="N12" s="46">
        <v>1843</v>
      </c>
      <c r="O12" s="46">
        <v>1930</v>
      </c>
      <c r="P12" s="46">
        <v>2027</v>
      </c>
    </row>
    <row r="13" spans="1:20" ht="15.75" x14ac:dyDescent="0.25">
      <c r="A13" s="8" t="s">
        <v>6</v>
      </c>
      <c r="B13" s="46">
        <v>1976</v>
      </c>
      <c r="C13" s="46">
        <v>2124</v>
      </c>
      <c r="D13" s="46">
        <v>2217</v>
      </c>
      <c r="E13" s="46">
        <v>2336</v>
      </c>
      <c r="F13" s="46">
        <v>2412</v>
      </c>
      <c r="G13" s="46">
        <v>2489</v>
      </c>
      <c r="H13" s="46">
        <v>2592</v>
      </c>
      <c r="I13" s="46">
        <v>2693</v>
      </c>
      <c r="J13" s="46">
        <v>2852</v>
      </c>
      <c r="K13" s="46">
        <v>3021</v>
      </c>
      <c r="L13" s="46">
        <v>3124</v>
      </c>
      <c r="M13" s="46">
        <v>3215</v>
      </c>
      <c r="N13" s="46">
        <v>3257</v>
      </c>
      <c r="O13" s="46">
        <v>3404</v>
      </c>
      <c r="P13" s="46">
        <v>3520</v>
      </c>
    </row>
    <row r="14" spans="1:20" ht="15.75" x14ac:dyDescent="0.25">
      <c r="A14" s="8" t="s">
        <v>8</v>
      </c>
      <c r="B14" s="46">
        <v>1798</v>
      </c>
      <c r="C14" s="46">
        <v>1962</v>
      </c>
      <c r="D14" s="46">
        <v>2072</v>
      </c>
      <c r="E14" s="46">
        <v>2200</v>
      </c>
      <c r="F14" s="46">
        <v>2248</v>
      </c>
      <c r="G14" s="46">
        <v>2268</v>
      </c>
      <c r="H14" s="46">
        <v>2365</v>
      </c>
      <c r="I14" s="46">
        <v>2453</v>
      </c>
      <c r="J14" s="46">
        <v>2540</v>
      </c>
      <c r="K14" s="46">
        <v>2669</v>
      </c>
      <c r="L14" s="46">
        <v>2835</v>
      </c>
      <c r="M14" s="46">
        <v>2911</v>
      </c>
      <c r="N14" s="46">
        <v>2916</v>
      </c>
      <c r="O14" s="46">
        <v>3034</v>
      </c>
      <c r="P14" s="46">
        <v>3150</v>
      </c>
    </row>
    <row r="15" spans="1:20" ht="15.75" x14ac:dyDescent="0.25">
      <c r="A15" s="8" t="s">
        <v>7</v>
      </c>
      <c r="B15" s="46">
        <v>871</v>
      </c>
      <c r="C15" s="46">
        <v>948</v>
      </c>
      <c r="D15" s="46">
        <v>1008</v>
      </c>
      <c r="E15" s="46">
        <v>1107</v>
      </c>
      <c r="F15" s="46">
        <v>1172</v>
      </c>
      <c r="G15" s="46">
        <v>1246</v>
      </c>
      <c r="H15" s="46">
        <v>1313</v>
      </c>
      <c r="I15" s="46">
        <v>1348</v>
      </c>
      <c r="J15" s="46">
        <v>1401</v>
      </c>
      <c r="K15" s="46">
        <v>1515</v>
      </c>
      <c r="L15" s="46">
        <v>1604</v>
      </c>
      <c r="M15" s="46">
        <v>1671</v>
      </c>
      <c r="N15" s="46">
        <v>1720</v>
      </c>
      <c r="O15" s="46">
        <v>1816</v>
      </c>
      <c r="P15" s="46">
        <v>1904</v>
      </c>
    </row>
    <row r="16" spans="1:20" ht="15.75" x14ac:dyDescent="0.25">
      <c r="A16" s="8" t="s">
        <v>9</v>
      </c>
      <c r="B16" s="46">
        <v>1487</v>
      </c>
      <c r="C16" s="46">
        <v>1625</v>
      </c>
      <c r="D16" s="46">
        <v>1716</v>
      </c>
      <c r="E16" s="46">
        <v>1810</v>
      </c>
      <c r="F16" s="46">
        <v>1854</v>
      </c>
      <c r="G16" s="46">
        <v>1914</v>
      </c>
      <c r="H16" s="46">
        <v>1991</v>
      </c>
      <c r="I16" s="46">
        <v>2105</v>
      </c>
      <c r="J16" s="46">
        <v>2161</v>
      </c>
      <c r="K16" s="46">
        <v>2292</v>
      </c>
      <c r="L16" s="46">
        <v>2396</v>
      </c>
      <c r="M16" s="46">
        <v>2479</v>
      </c>
      <c r="N16" s="46">
        <v>2530</v>
      </c>
      <c r="O16" s="46">
        <v>2690</v>
      </c>
      <c r="P16" s="46">
        <v>2812</v>
      </c>
    </row>
    <row r="17" spans="1:19" ht="15.75" x14ac:dyDescent="0.25">
      <c r="A17" s="8"/>
      <c r="B17" s="47"/>
      <c r="C17" s="47"/>
      <c r="D17" s="47"/>
      <c r="E17" s="47"/>
      <c r="F17" s="47"/>
      <c r="G17" s="47"/>
      <c r="H17" s="47"/>
      <c r="I17" s="47"/>
      <c r="J17" s="47"/>
      <c r="K17" s="47"/>
      <c r="L17" s="47"/>
    </row>
    <row r="18" spans="1:19" ht="15.75" x14ac:dyDescent="0.25">
      <c r="A18" s="11" t="s">
        <v>12</v>
      </c>
      <c r="B18" s="48">
        <v>20110</v>
      </c>
      <c r="C18" s="48">
        <v>21700</v>
      </c>
      <c r="D18" s="48">
        <v>22582</v>
      </c>
      <c r="E18" s="48">
        <v>23894</v>
      </c>
      <c r="F18" s="48">
        <v>24699</v>
      </c>
      <c r="G18" s="48">
        <v>25253</v>
      </c>
      <c r="H18" s="48">
        <v>26268</v>
      </c>
      <c r="I18" s="48">
        <v>27262</v>
      </c>
      <c r="J18" s="48">
        <v>28208</v>
      </c>
      <c r="K18" s="48">
        <v>29841</v>
      </c>
      <c r="L18" s="48">
        <v>31020</v>
      </c>
      <c r="M18" s="124">
        <v>31834</v>
      </c>
      <c r="N18" s="124">
        <v>32193</v>
      </c>
      <c r="O18" s="124">
        <v>33710</v>
      </c>
      <c r="P18" s="124">
        <v>35020</v>
      </c>
    </row>
    <row r="19" spans="1:19" ht="15.75" x14ac:dyDescent="0.25">
      <c r="A19" s="31" t="s">
        <v>17</v>
      </c>
      <c r="B19" s="31"/>
      <c r="C19" s="31"/>
      <c r="D19" s="31"/>
      <c r="E19" s="31"/>
      <c r="F19" s="6"/>
      <c r="G19" s="49"/>
      <c r="H19" s="29"/>
      <c r="I19" s="29"/>
      <c r="J19" s="29"/>
      <c r="K19" s="28"/>
      <c r="L19" s="28"/>
      <c r="M19" s="28"/>
      <c r="N19" s="28"/>
      <c r="O19" s="28"/>
      <c r="P19" s="28"/>
      <c r="Q19" s="28"/>
      <c r="R19" s="28"/>
      <c r="S19" s="28"/>
    </row>
    <row r="20" spans="1:19" ht="15.75" x14ac:dyDescent="0.25">
      <c r="A20" s="32"/>
      <c r="B20" s="65"/>
      <c r="C20" s="65"/>
      <c r="D20" s="65"/>
      <c r="E20" s="65"/>
      <c r="F20" s="65"/>
      <c r="G20" s="65"/>
      <c r="H20" s="65"/>
      <c r="I20" s="65"/>
      <c r="J20" s="65"/>
      <c r="K20" s="65"/>
      <c r="L20" s="65"/>
      <c r="M20" s="65"/>
      <c r="N20" s="28"/>
      <c r="O20" s="28"/>
      <c r="P20" s="28"/>
      <c r="Q20" s="28"/>
      <c r="R20" s="28"/>
      <c r="S20" s="28"/>
    </row>
    <row r="21" spans="1:19" ht="15.75" x14ac:dyDescent="0.25">
      <c r="A21" s="31" t="s">
        <v>18</v>
      </c>
      <c r="B21" s="31"/>
      <c r="C21" s="31"/>
      <c r="D21" s="32"/>
      <c r="E21" s="32"/>
      <c r="F21" s="6"/>
      <c r="G21" s="6"/>
      <c r="H21" s="29"/>
      <c r="I21" s="29"/>
      <c r="J21" s="29"/>
      <c r="K21" s="28"/>
      <c r="L21" s="28"/>
      <c r="M21" s="28"/>
      <c r="N21" s="28"/>
      <c r="O21" s="28"/>
      <c r="P21" s="28"/>
      <c r="Q21" s="28"/>
      <c r="R21" s="28"/>
      <c r="S21" s="28"/>
    </row>
    <row r="22" spans="1:19" ht="15.75" x14ac:dyDescent="0.25">
      <c r="A22" s="33" t="s">
        <v>19</v>
      </c>
      <c r="B22" s="33"/>
      <c r="C22" s="33"/>
      <c r="D22" s="34"/>
      <c r="E22" s="34"/>
      <c r="F22" s="34"/>
      <c r="G22" s="32"/>
      <c r="H22" s="32"/>
      <c r="I22" s="32"/>
      <c r="J22" s="14"/>
      <c r="K22" s="28"/>
      <c r="L22" s="28"/>
      <c r="M22" s="28"/>
      <c r="N22" s="28"/>
      <c r="O22" s="28"/>
      <c r="P22" s="28"/>
      <c r="Q22" s="28"/>
      <c r="R22" s="28"/>
      <c r="S22" s="28"/>
    </row>
    <row r="23" spans="1:19" ht="15.75" x14ac:dyDescent="0.25">
      <c r="A23" s="33" t="s">
        <v>20</v>
      </c>
      <c r="B23" s="50"/>
      <c r="C23" s="50"/>
      <c r="D23" s="51"/>
      <c r="E23" s="51"/>
      <c r="F23" s="51"/>
      <c r="G23" s="52"/>
      <c r="H23" s="52"/>
      <c r="I23" s="52"/>
      <c r="J23" s="14"/>
      <c r="K23" s="28"/>
      <c r="L23" s="28"/>
      <c r="M23" s="28"/>
      <c r="N23" s="28"/>
      <c r="O23" s="32"/>
      <c r="P23" s="32"/>
      <c r="Q23" s="32"/>
      <c r="R23" s="6"/>
      <c r="S23" s="6"/>
    </row>
    <row r="24" spans="1:19" s="57" customFormat="1" ht="15.75" x14ac:dyDescent="0.25">
      <c r="A24" s="33" t="s">
        <v>91</v>
      </c>
      <c r="B24" s="53"/>
      <c r="C24" s="53"/>
      <c r="D24" s="53"/>
      <c r="E24" s="53"/>
      <c r="F24" s="53"/>
      <c r="G24" s="54"/>
      <c r="H24" s="53"/>
      <c r="I24" s="53"/>
      <c r="J24" s="55"/>
      <c r="K24" s="46"/>
      <c r="L24" s="46"/>
      <c r="M24" s="46"/>
      <c r="N24" s="46"/>
      <c r="O24" s="56"/>
      <c r="P24" s="56"/>
      <c r="Q24" s="56"/>
      <c r="R24" s="41"/>
      <c r="S24" s="41"/>
    </row>
    <row r="25" spans="1:19" ht="15.75" x14ac:dyDescent="0.25">
      <c r="A25" s="51"/>
      <c r="B25" s="51"/>
      <c r="C25" s="51"/>
      <c r="D25" s="51"/>
      <c r="E25" s="51"/>
      <c r="F25" s="51"/>
      <c r="G25" s="52"/>
      <c r="H25" s="32"/>
      <c r="I25" s="32"/>
      <c r="J25" s="14"/>
      <c r="K25" s="28"/>
      <c r="L25" s="28"/>
      <c r="M25" s="28"/>
      <c r="N25" s="28"/>
      <c r="O25" s="32"/>
      <c r="P25" s="32"/>
      <c r="Q25" s="32"/>
      <c r="R25" s="6"/>
      <c r="S25" s="6"/>
    </row>
    <row r="26" spans="1:19" ht="15.75" x14ac:dyDescent="0.25">
      <c r="A26" s="51"/>
      <c r="B26" s="51"/>
      <c r="C26" s="51"/>
      <c r="D26" s="51"/>
      <c r="E26" s="51"/>
      <c r="F26" s="51"/>
      <c r="G26" s="52"/>
      <c r="H26" s="32"/>
      <c r="I26" s="32"/>
      <c r="J26" s="14"/>
      <c r="K26" s="28"/>
      <c r="L26" s="28"/>
      <c r="M26" s="28"/>
      <c r="N26" s="28"/>
      <c r="O26" s="52"/>
      <c r="P26" s="52"/>
      <c r="Q26" s="52"/>
      <c r="R26" s="52"/>
      <c r="S26" s="6"/>
    </row>
    <row r="27" spans="1:19" ht="15.75" x14ac:dyDescent="0.25">
      <c r="A27" s="51"/>
      <c r="B27" s="51"/>
      <c r="C27" s="51"/>
      <c r="D27" s="51"/>
      <c r="E27" s="51"/>
      <c r="F27" s="51"/>
      <c r="G27" s="52"/>
      <c r="H27" s="52"/>
      <c r="I27" s="52"/>
      <c r="J27" s="14"/>
      <c r="K27" s="28"/>
      <c r="L27" s="28"/>
      <c r="M27" s="28"/>
      <c r="N27" s="28"/>
      <c r="O27" s="32"/>
      <c r="P27" s="32"/>
      <c r="Q27" s="32"/>
      <c r="R27" s="6"/>
      <c r="S27" s="6"/>
    </row>
    <row r="28" spans="1:19" ht="15.75" x14ac:dyDescent="0.25">
      <c r="A28" s="51"/>
      <c r="B28" s="51"/>
      <c r="C28" s="51"/>
      <c r="D28" s="51"/>
      <c r="E28" s="51"/>
      <c r="F28" s="51"/>
      <c r="G28" s="52"/>
      <c r="H28" s="52"/>
      <c r="I28" s="52"/>
      <c r="J28" s="14"/>
      <c r="K28" s="28"/>
      <c r="L28" s="28"/>
      <c r="M28" s="28"/>
      <c r="N28" s="28"/>
      <c r="O28" s="32"/>
      <c r="P28" s="32"/>
      <c r="Q28" s="32"/>
      <c r="R28" s="6"/>
      <c r="S28" s="6"/>
    </row>
    <row r="29" spans="1:19" ht="15.75" x14ac:dyDescent="0.25">
      <c r="A29" s="58"/>
      <c r="B29" s="58"/>
      <c r="C29" s="58"/>
      <c r="D29" s="58"/>
      <c r="E29" s="58"/>
      <c r="F29" s="58"/>
      <c r="G29" s="59"/>
      <c r="H29" s="59"/>
      <c r="I29" s="59"/>
      <c r="J29" s="14"/>
      <c r="K29" s="28"/>
      <c r="L29" s="28"/>
      <c r="M29" s="28"/>
      <c r="N29" s="28"/>
    </row>
    <row r="30" spans="1:19" ht="15.75" x14ac:dyDescent="0.25">
      <c r="A30" s="60"/>
      <c r="B30" s="60"/>
      <c r="C30" s="60"/>
      <c r="D30" s="60"/>
      <c r="E30" s="60"/>
      <c r="F30" s="60"/>
      <c r="G30" s="61"/>
      <c r="H30" s="61"/>
      <c r="I30" s="61"/>
      <c r="J30" s="14"/>
      <c r="K30" s="28"/>
      <c r="L30" s="28"/>
      <c r="M30" s="28"/>
      <c r="N30" s="28"/>
    </row>
    <row r="31" spans="1:19" ht="15.75" x14ac:dyDescent="0.25">
      <c r="A31" s="6"/>
      <c r="B31" s="6"/>
      <c r="C31" s="6"/>
      <c r="D31" s="6"/>
      <c r="E31" s="6"/>
      <c r="F31" s="6"/>
      <c r="G31" s="6"/>
      <c r="H31" s="6"/>
      <c r="I31" s="6"/>
      <c r="J31" s="14"/>
      <c r="K31" s="28"/>
      <c r="L31" s="28"/>
      <c r="M31" s="28"/>
      <c r="N31" s="28"/>
    </row>
    <row r="32" spans="1:19" ht="15.75" x14ac:dyDescent="0.25">
      <c r="A32" s="62"/>
      <c r="B32" s="62"/>
      <c r="C32" s="62"/>
      <c r="D32" s="28"/>
      <c r="E32" s="28"/>
      <c r="F32" s="28"/>
      <c r="G32" s="28"/>
      <c r="H32" s="28"/>
      <c r="I32" s="28"/>
      <c r="J32" s="14"/>
      <c r="K32" s="28"/>
      <c r="L32" s="28"/>
      <c r="M32" s="28"/>
      <c r="N32" s="28"/>
    </row>
    <row r="33" spans="1:14" ht="15.75" x14ac:dyDescent="0.25">
      <c r="A33" s="62"/>
      <c r="B33" s="62"/>
      <c r="C33" s="62"/>
      <c r="D33" s="28"/>
      <c r="E33" s="28"/>
      <c r="F33" s="28"/>
      <c r="G33" s="28"/>
      <c r="H33" s="28"/>
      <c r="I33" s="28"/>
      <c r="J33" s="14"/>
      <c r="K33" s="28"/>
      <c r="L33" s="28"/>
      <c r="M33" s="28"/>
      <c r="N33" s="28"/>
    </row>
    <row r="34" spans="1:14" ht="15.75" x14ac:dyDescent="0.25">
      <c r="A34" s="62"/>
      <c r="B34" s="62"/>
      <c r="C34" s="62"/>
      <c r="D34" s="28"/>
      <c r="E34" s="28"/>
      <c r="F34" s="28"/>
      <c r="G34" s="28"/>
      <c r="H34" s="28"/>
      <c r="I34" s="28"/>
      <c r="J34" s="14"/>
      <c r="K34" s="28"/>
      <c r="L34" s="28"/>
      <c r="M34" s="28"/>
      <c r="N34" s="28"/>
    </row>
    <row r="35" spans="1:14" ht="15.75" x14ac:dyDescent="0.25">
      <c r="A35" s="62"/>
      <c r="B35" s="62"/>
      <c r="C35" s="62"/>
      <c r="D35" s="28"/>
      <c r="E35" s="28"/>
      <c r="F35" s="28"/>
      <c r="G35" s="28"/>
      <c r="H35" s="28"/>
      <c r="I35" s="28"/>
      <c r="J35" s="14"/>
      <c r="K35" s="28"/>
      <c r="L35" s="28"/>
      <c r="M35" s="28"/>
      <c r="N35" s="28"/>
    </row>
    <row r="36" spans="1:14" ht="15.75" x14ac:dyDescent="0.25">
      <c r="A36" s="62"/>
      <c r="B36" s="62"/>
      <c r="C36" s="62"/>
      <c r="D36" s="28"/>
      <c r="E36" s="28"/>
      <c r="F36" s="28"/>
      <c r="G36" s="28"/>
      <c r="H36" s="28"/>
      <c r="I36" s="28"/>
      <c r="J36" s="14"/>
      <c r="K36" s="28"/>
      <c r="L36" s="28"/>
      <c r="M36" s="28"/>
      <c r="N36" s="28"/>
    </row>
    <row r="37" spans="1:14" ht="15.75" x14ac:dyDescent="0.25">
      <c r="A37" s="31"/>
      <c r="B37" s="31"/>
      <c r="C37" s="31"/>
      <c r="D37" s="32"/>
      <c r="E37" s="32"/>
      <c r="F37" s="32"/>
      <c r="G37" s="32"/>
      <c r="H37" s="32"/>
      <c r="I37" s="32"/>
      <c r="J37" s="14"/>
      <c r="K37" s="28"/>
      <c r="L37" s="32"/>
      <c r="M37" s="32"/>
      <c r="N37" s="32"/>
    </row>
    <row r="38" spans="1:14" x14ac:dyDescent="0.25">
      <c r="A38" s="32"/>
      <c r="B38" s="32"/>
      <c r="C38" s="32"/>
      <c r="D38" s="32"/>
      <c r="E38" s="32"/>
      <c r="F38" s="32"/>
      <c r="G38" s="32"/>
      <c r="H38" s="32"/>
      <c r="I38" s="32"/>
      <c r="J38" s="14"/>
      <c r="K38" s="32"/>
      <c r="L38" s="32"/>
      <c r="M38" s="32"/>
      <c r="N38" s="32"/>
    </row>
    <row r="39" spans="1:14" x14ac:dyDescent="0.25">
      <c r="A39" s="32"/>
      <c r="B39" s="32"/>
      <c r="C39" s="32"/>
      <c r="D39" s="32"/>
      <c r="E39" s="32"/>
      <c r="F39" s="32"/>
      <c r="G39" s="32"/>
      <c r="H39" s="32"/>
      <c r="I39" s="32"/>
      <c r="J39" s="14"/>
      <c r="K39" s="32"/>
      <c r="L39" s="32"/>
      <c r="M39" s="32"/>
      <c r="N39" s="32"/>
    </row>
    <row r="40" spans="1:14" x14ac:dyDescent="0.25">
      <c r="A40" s="32"/>
      <c r="B40" s="32"/>
      <c r="C40" s="32"/>
      <c r="D40" s="32"/>
      <c r="E40" s="32"/>
      <c r="F40" s="32"/>
      <c r="G40" s="32"/>
      <c r="H40" s="32"/>
      <c r="I40" s="32"/>
      <c r="J40" s="14"/>
      <c r="K40" s="32"/>
      <c r="L40" s="32"/>
      <c r="M40" s="32"/>
      <c r="N40" s="32"/>
    </row>
    <row r="41" spans="1:14" x14ac:dyDescent="0.25">
      <c r="A41" s="52"/>
      <c r="B41" s="52"/>
      <c r="C41" s="52"/>
      <c r="D41" s="52"/>
      <c r="E41" s="52"/>
      <c r="F41" s="52"/>
      <c r="G41" s="52"/>
      <c r="H41" s="52"/>
      <c r="I41" s="52"/>
      <c r="J41" s="14"/>
      <c r="K41" s="32"/>
      <c r="L41" s="52"/>
      <c r="M41" s="52"/>
      <c r="N41" s="52"/>
    </row>
    <row r="42" spans="1:14" x14ac:dyDescent="0.25">
      <c r="A42" s="32"/>
      <c r="B42" s="32"/>
      <c r="C42" s="32"/>
      <c r="D42" s="32"/>
      <c r="E42" s="32"/>
      <c r="F42" s="32"/>
      <c r="G42" s="32"/>
      <c r="H42" s="32"/>
      <c r="I42" s="32"/>
      <c r="J42" s="14"/>
      <c r="K42" s="52"/>
      <c r="L42" s="32"/>
      <c r="M42" s="32"/>
      <c r="N42" s="32"/>
    </row>
    <row r="43" spans="1:14" x14ac:dyDescent="0.25">
      <c r="A43" s="32"/>
      <c r="B43" s="32"/>
      <c r="C43" s="32"/>
      <c r="D43" s="32"/>
      <c r="E43" s="32"/>
      <c r="F43" s="32"/>
      <c r="G43" s="32"/>
      <c r="H43" s="32"/>
      <c r="I43" s="32"/>
      <c r="J43" s="14"/>
      <c r="K43" s="32"/>
      <c r="L43" s="32"/>
      <c r="M43" s="32"/>
      <c r="N43" s="32"/>
    </row>
    <row r="44" spans="1:14" x14ac:dyDescent="0.25">
      <c r="J44" s="14"/>
      <c r="K44" s="32"/>
    </row>
    <row r="45" spans="1:14" ht="15.75" x14ac:dyDescent="0.25">
      <c r="A45" s="6"/>
      <c r="B45" s="6"/>
      <c r="C45" s="6"/>
      <c r="J45" s="63"/>
    </row>
  </sheetData>
  <hyperlinks>
    <hyperlink ref="N1" location="Contents!A1" display="Back to contents" xr:uid="{00000000-0004-0000-0300-000000000000}"/>
  </hyperlink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4"/>
  <sheetViews>
    <sheetView workbookViewId="0">
      <selection activeCell="A24" sqref="A24"/>
    </sheetView>
  </sheetViews>
  <sheetFormatPr defaultRowHeight="15" x14ac:dyDescent="0.25"/>
  <cols>
    <col min="1" max="1" width="39.7109375" bestFit="1" customWidth="1"/>
    <col min="2" max="4" width="17" bestFit="1" customWidth="1"/>
    <col min="5" max="11" width="17" customWidth="1"/>
    <col min="12" max="13" width="18" customWidth="1"/>
    <col min="14" max="14" width="17" bestFit="1" customWidth="1"/>
    <col min="15" max="15" width="19.140625" customWidth="1"/>
    <col min="16" max="16" width="17" bestFit="1" customWidth="1"/>
  </cols>
  <sheetData>
    <row r="1" spans="1:16" ht="18.75" x14ac:dyDescent="0.25">
      <c r="A1" s="19" t="s">
        <v>92</v>
      </c>
      <c r="M1" s="40"/>
      <c r="N1" s="40" t="s">
        <v>13</v>
      </c>
    </row>
    <row r="5" spans="1:16" ht="15.75" x14ac:dyDescent="0.25">
      <c r="A5" s="123" t="s">
        <v>10</v>
      </c>
      <c r="B5" s="3">
        <v>40268</v>
      </c>
      <c r="C5" s="3">
        <v>40633</v>
      </c>
      <c r="D5" s="3">
        <v>40999</v>
      </c>
      <c r="E5" s="3">
        <v>41364</v>
      </c>
      <c r="F5" s="3">
        <v>41729</v>
      </c>
      <c r="G5" s="3">
        <v>42094</v>
      </c>
      <c r="H5" s="3">
        <v>42460</v>
      </c>
      <c r="I5" s="3">
        <v>42825</v>
      </c>
      <c r="J5" s="3">
        <v>43190</v>
      </c>
      <c r="K5" s="3">
        <v>43555</v>
      </c>
      <c r="L5" s="3">
        <v>43921</v>
      </c>
      <c r="M5" s="3">
        <v>44286</v>
      </c>
      <c r="N5" s="3">
        <v>44651</v>
      </c>
      <c r="O5" s="3">
        <v>45016</v>
      </c>
      <c r="P5" s="3">
        <v>45382</v>
      </c>
    </row>
    <row r="6" spans="1:16" ht="15.75" x14ac:dyDescent="0.25">
      <c r="A6" s="4"/>
      <c r="B6" s="4"/>
      <c r="C6" s="4"/>
      <c r="D6" s="5"/>
      <c r="E6" s="6"/>
      <c r="F6" s="6"/>
      <c r="G6" s="7"/>
      <c r="H6" s="5"/>
      <c r="I6" s="5"/>
      <c r="J6" s="7"/>
      <c r="K6" s="7"/>
    </row>
    <row r="7" spans="1:16" ht="15.75" x14ac:dyDescent="0.25">
      <c r="A7" s="8" t="s">
        <v>0</v>
      </c>
      <c r="B7" s="9">
        <v>265697.81000000041</v>
      </c>
      <c r="C7" s="9">
        <v>273677.02999999985</v>
      </c>
      <c r="D7" s="9">
        <v>302236.38000000012</v>
      </c>
      <c r="E7" s="9">
        <v>313164.43000000063</v>
      </c>
      <c r="F7" s="9">
        <v>332224.90999999992</v>
      </c>
      <c r="G7" s="9">
        <v>369649.73</v>
      </c>
      <c r="H7" s="10">
        <v>390559.34999999992</v>
      </c>
      <c r="I7" s="10">
        <v>408007.0800000013</v>
      </c>
      <c r="J7" s="10">
        <v>431670.23</v>
      </c>
      <c r="K7" s="10">
        <v>473708.99</v>
      </c>
      <c r="L7" s="10">
        <v>480593.68</v>
      </c>
      <c r="M7" s="10">
        <v>514309.02</v>
      </c>
      <c r="N7" s="10">
        <v>548176.93000000005</v>
      </c>
      <c r="O7" s="10">
        <v>596678.11</v>
      </c>
      <c r="P7" s="10">
        <v>632862.59</v>
      </c>
    </row>
    <row r="8" spans="1:16" ht="15.75" x14ac:dyDescent="0.25">
      <c r="A8" s="8" t="s">
        <v>1</v>
      </c>
      <c r="B8" s="9">
        <v>530161.59000000113</v>
      </c>
      <c r="C8" s="9">
        <v>555538.1100000001</v>
      </c>
      <c r="D8" s="9">
        <v>594029.15000000084</v>
      </c>
      <c r="E8" s="9">
        <v>604633.59000000136</v>
      </c>
      <c r="F8" s="9">
        <v>636368.2699999992</v>
      </c>
      <c r="G8" s="9">
        <v>705189.3</v>
      </c>
      <c r="H8" s="10">
        <v>760276.50000000547</v>
      </c>
      <c r="I8" s="10">
        <v>820039.40000000154</v>
      </c>
      <c r="J8" s="10">
        <v>878715.14</v>
      </c>
      <c r="K8" s="10">
        <v>973589.35</v>
      </c>
      <c r="L8" s="10">
        <v>1037024.37</v>
      </c>
      <c r="M8" s="10">
        <v>1086456.58</v>
      </c>
      <c r="N8" s="10">
        <v>1113790.3600000001</v>
      </c>
      <c r="O8" s="10">
        <v>1199218.1399999999</v>
      </c>
      <c r="P8" s="10">
        <v>1337266.57</v>
      </c>
    </row>
    <row r="9" spans="1:16" ht="15.75" x14ac:dyDescent="0.25">
      <c r="A9" s="8" t="s">
        <v>2</v>
      </c>
      <c r="B9" s="9">
        <v>275465.46999999997</v>
      </c>
      <c r="C9" s="9">
        <v>295511.25999999972</v>
      </c>
      <c r="D9" s="9">
        <v>313310.92</v>
      </c>
      <c r="E9" s="9">
        <v>316739.87000000046</v>
      </c>
      <c r="F9" s="9">
        <v>344502.65999999974</v>
      </c>
      <c r="G9" s="9">
        <v>384322.1299999996</v>
      </c>
      <c r="H9" s="10">
        <v>409762.74999999668</v>
      </c>
      <c r="I9" s="10">
        <v>449968.79000000079</v>
      </c>
      <c r="J9" s="10">
        <v>469941.94</v>
      </c>
      <c r="K9" s="10">
        <v>531182.26</v>
      </c>
      <c r="L9" s="10">
        <v>578130.69999999995</v>
      </c>
      <c r="M9" s="10">
        <v>607956.47</v>
      </c>
      <c r="N9" s="10">
        <v>613267.41</v>
      </c>
      <c r="O9" s="10">
        <v>688112.91</v>
      </c>
      <c r="P9" s="10">
        <v>755859.98</v>
      </c>
    </row>
    <row r="10" spans="1:16" ht="15.75" x14ac:dyDescent="0.25">
      <c r="A10" s="8" t="s">
        <v>3</v>
      </c>
      <c r="B10" s="9">
        <v>805545.40000000445</v>
      </c>
      <c r="C10" s="9">
        <v>848244.40000000328</v>
      </c>
      <c r="D10" s="9">
        <v>877642.37000000384</v>
      </c>
      <c r="E10" s="9">
        <v>920486.68999997375</v>
      </c>
      <c r="F10" s="9">
        <v>942392.99999999674</v>
      </c>
      <c r="G10" s="9">
        <v>1000585.2700000029</v>
      </c>
      <c r="H10" s="10">
        <v>1027395.2100000005</v>
      </c>
      <c r="I10" s="10">
        <v>1080975.790000035</v>
      </c>
      <c r="J10" s="10">
        <v>1116043.33</v>
      </c>
      <c r="K10" s="10">
        <v>1211164.67</v>
      </c>
      <c r="L10" s="10">
        <v>1251423.73</v>
      </c>
      <c r="M10" s="10">
        <v>1281850.94</v>
      </c>
      <c r="N10" s="10">
        <v>1299053.03</v>
      </c>
      <c r="O10" s="10">
        <v>1385752.99</v>
      </c>
      <c r="P10" s="10">
        <v>1488849.85</v>
      </c>
    </row>
    <row r="11" spans="1:16" ht="15.75" x14ac:dyDescent="0.25">
      <c r="A11" s="8" t="s">
        <v>4</v>
      </c>
      <c r="B11" s="9">
        <v>274359.21000000049</v>
      </c>
      <c r="C11" s="9">
        <v>289700.09000000003</v>
      </c>
      <c r="D11" s="9">
        <v>299670.67000000039</v>
      </c>
      <c r="E11" s="9">
        <v>310269.63999999932</v>
      </c>
      <c r="F11" s="9">
        <v>330753.32000000012</v>
      </c>
      <c r="G11" s="9">
        <v>362473.81999999919</v>
      </c>
      <c r="H11" s="10">
        <v>383188.5400000012</v>
      </c>
      <c r="I11" s="10">
        <v>402131.6900000007</v>
      </c>
      <c r="J11" s="10">
        <v>427433.96</v>
      </c>
      <c r="K11" s="10">
        <v>468128.94</v>
      </c>
      <c r="L11" s="10">
        <v>485481.87</v>
      </c>
      <c r="M11" s="10">
        <v>535742.14</v>
      </c>
      <c r="N11" s="10">
        <v>540178.42000000004</v>
      </c>
      <c r="O11" s="10">
        <v>599790.49</v>
      </c>
      <c r="P11" s="10">
        <v>681796.23</v>
      </c>
    </row>
    <row r="12" spans="1:16" ht="15.75" x14ac:dyDescent="0.25">
      <c r="A12" s="8" t="s">
        <v>11</v>
      </c>
      <c r="B12" s="9">
        <v>162123.60000000015</v>
      </c>
      <c r="C12" s="9">
        <v>165950.67999999991</v>
      </c>
      <c r="D12" s="9">
        <v>168446.50999999972</v>
      </c>
      <c r="E12" s="9">
        <v>179664.92000000022</v>
      </c>
      <c r="F12" s="9">
        <v>197449.31000000035</v>
      </c>
      <c r="G12" s="9">
        <v>220379.69000000026</v>
      </c>
      <c r="H12" s="10">
        <v>241651.1400000008</v>
      </c>
      <c r="I12" s="10">
        <v>259678.54999999888</v>
      </c>
      <c r="J12" s="10">
        <v>273201.65999999997</v>
      </c>
      <c r="K12" s="10">
        <v>316534.40000000002</v>
      </c>
      <c r="L12" s="10">
        <v>328300.46999999997</v>
      </c>
      <c r="M12" s="10">
        <v>343443.73</v>
      </c>
      <c r="N12" s="10">
        <v>344326.65</v>
      </c>
      <c r="O12" s="10">
        <v>381116.87</v>
      </c>
      <c r="P12" s="10">
        <v>432202.45</v>
      </c>
    </row>
    <row r="13" spans="1:16" ht="15.75" x14ac:dyDescent="0.25">
      <c r="A13" s="8" t="s">
        <v>5</v>
      </c>
      <c r="B13" s="9">
        <v>146565.74000000008</v>
      </c>
      <c r="C13" s="9">
        <v>156768.0299999995</v>
      </c>
      <c r="D13" s="9">
        <v>169246.02999999971</v>
      </c>
      <c r="E13" s="9">
        <v>170957.7299999992</v>
      </c>
      <c r="F13" s="9">
        <v>183407.56000000023</v>
      </c>
      <c r="G13" s="9">
        <v>199588.77999999988</v>
      </c>
      <c r="H13" s="10">
        <v>217196.22000000032</v>
      </c>
      <c r="I13" s="10">
        <v>237969.67999999993</v>
      </c>
      <c r="J13" s="10">
        <v>261020.17</v>
      </c>
      <c r="K13" s="10">
        <v>287648.49</v>
      </c>
      <c r="L13" s="10">
        <v>318449.15999999997</v>
      </c>
      <c r="M13" s="10">
        <v>339805.42</v>
      </c>
      <c r="N13" s="10">
        <v>350002.5</v>
      </c>
      <c r="O13" s="10">
        <v>381748.81</v>
      </c>
      <c r="P13" s="10">
        <v>420084.42</v>
      </c>
    </row>
    <row r="14" spans="1:16" ht="15.75" x14ac:dyDescent="0.25">
      <c r="A14" s="8" t="s">
        <v>6</v>
      </c>
      <c r="B14" s="9">
        <v>336835.74000000086</v>
      </c>
      <c r="C14" s="9">
        <v>345462.4100000012</v>
      </c>
      <c r="D14" s="9">
        <v>373945.64000000077</v>
      </c>
      <c r="E14" s="9">
        <v>383542.1200000018</v>
      </c>
      <c r="F14" s="9">
        <v>410783.54</v>
      </c>
      <c r="G14" s="9">
        <v>455640.40000000049</v>
      </c>
      <c r="H14" s="10">
        <v>492412.03000000294</v>
      </c>
      <c r="I14" s="10">
        <v>533430.96000000264</v>
      </c>
      <c r="J14" s="10">
        <v>585350.40000000002</v>
      </c>
      <c r="K14" s="10">
        <v>650763.43000000005</v>
      </c>
      <c r="L14" s="10">
        <v>701972.27</v>
      </c>
      <c r="M14" s="10">
        <v>723921.01</v>
      </c>
      <c r="N14" s="10">
        <v>738172.27</v>
      </c>
      <c r="O14" s="10">
        <v>811762.4</v>
      </c>
      <c r="P14" s="10">
        <v>890690.68</v>
      </c>
    </row>
    <row r="15" spans="1:16" ht="15.75" x14ac:dyDescent="0.25">
      <c r="A15" s="8" t="s">
        <v>8</v>
      </c>
      <c r="B15" s="9">
        <v>296280.91000000044</v>
      </c>
      <c r="C15" s="9">
        <v>315271.94999999955</v>
      </c>
      <c r="D15" s="9">
        <v>334675.0699999996</v>
      </c>
      <c r="E15" s="9">
        <v>343158.49999999983</v>
      </c>
      <c r="F15" s="9">
        <v>363711.78999999946</v>
      </c>
      <c r="G15" s="9">
        <v>395445.55999999924</v>
      </c>
      <c r="H15" s="10">
        <v>418934.82999999973</v>
      </c>
      <c r="I15" s="10">
        <v>450792.40999999986</v>
      </c>
      <c r="J15" s="10">
        <v>464857.51</v>
      </c>
      <c r="K15" s="10">
        <v>532539.06999999995</v>
      </c>
      <c r="L15" s="10">
        <v>576455.78</v>
      </c>
      <c r="M15" s="10">
        <v>593794.15</v>
      </c>
      <c r="N15" s="10">
        <v>602929.63</v>
      </c>
      <c r="O15" s="10">
        <v>650983.6</v>
      </c>
      <c r="P15" s="10">
        <v>712514.4</v>
      </c>
    </row>
    <row r="16" spans="1:16" ht="15.75" x14ac:dyDescent="0.25">
      <c r="A16" s="8" t="s">
        <v>7</v>
      </c>
      <c r="B16" s="9">
        <v>127807.35000000012</v>
      </c>
      <c r="C16" s="9">
        <v>136692.59</v>
      </c>
      <c r="D16" s="9">
        <v>146623.41000000006</v>
      </c>
      <c r="E16" s="9">
        <v>152186.85000000012</v>
      </c>
      <c r="F16" s="9">
        <v>166019.95999999988</v>
      </c>
      <c r="G16" s="9">
        <v>191122.89999999956</v>
      </c>
      <c r="H16" s="10">
        <v>220985.74000000034</v>
      </c>
      <c r="I16" s="10">
        <v>221180.72999999992</v>
      </c>
      <c r="J16" s="10">
        <v>234395.93</v>
      </c>
      <c r="K16" s="10">
        <v>282404.61</v>
      </c>
      <c r="L16" s="10">
        <v>296468.65999999997</v>
      </c>
      <c r="M16" s="10">
        <v>313726.74</v>
      </c>
      <c r="N16" s="10">
        <v>327382.84999999998</v>
      </c>
      <c r="O16" s="10">
        <v>368369.07</v>
      </c>
      <c r="P16" s="10">
        <v>409476.16</v>
      </c>
    </row>
    <row r="17" spans="1:16" ht="15.75" x14ac:dyDescent="0.25">
      <c r="A17" s="8" t="s">
        <v>9</v>
      </c>
      <c r="B17" s="9">
        <v>269121.49000000011</v>
      </c>
      <c r="C17" s="9">
        <v>283526.76000000106</v>
      </c>
      <c r="D17" s="9">
        <v>307918.72000000026</v>
      </c>
      <c r="E17" s="9">
        <v>306577.36</v>
      </c>
      <c r="F17" s="9">
        <v>324101.8200000003</v>
      </c>
      <c r="G17" s="9">
        <v>357622.15999999864</v>
      </c>
      <c r="H17" s="10">
        <v>390692.17999999976</v>
      </c>
      <c r="I17" s="10">
        <v>425884.56000000011</v>
      </c>
      <c r="J17" s="10">
        <v>448765.4</v>
      </c>
      <c r="K17" s="10">
        <v>502226.94</v>
      </c>
      <c r="L17" s="10">
        <v>529151.14</v>
      </c>
      <c r="M17" s="10">
        <v>550499.73</v>
      </c>
      <c r="N17" s="10">
        <v>572745.17000000004</v>
      </c>
      <c r="O17" s="10">
        <v>635973.18000000005</v>
      </c>
      <c r="P17" s="10">
        <v>703046.02</v>
      </c>
    </row>
    <row r="18" spans="1:16" ht="15.75" x14ac:dyDescent="0.25">
      <c r="A18" s="8"/>
      <c r="B18" s="9"/>
      <c r="C18" s="9"/>
      <c r="D18" s="9"/>
      <c r="E18" s="9"/>
      <c r="F18" s="9"/>
      <c r="G18" s="9"/>
      <c r="H18" s="10"/>
      <c r="I18" s="10"/>
      <c r="J18" s="7"/>
      <c r="K18" s="7"/>
    </row>
    <row r="19" spans="1:16" ht="15.75" x14ac:dyDescent="0.25">
      <c r="A19" s="11" t="s">
        <v>12</v>
      </c>
      <c r="B19" s="12">
        <v>3489964.3100000084</v>
      </c>
      <c r="C19" s="12">
        <v>3666343.3100000038</v>
      </c>
      <c r="D19" s="12">
        <v>3887744.8700000094</v>
      </c>
      <c r="E19" s="12">
        <v>4001381.6999999755</v>
      </c>
      <c r="F19" s="12">
        <v>4231716.1399999978</v>
      </c>
      <c r="G19" s="12">
        <v>4642019.7399999974</v>
      </c>
      <c r="H19" s="13">
        <v>4953054.4900000077</v>
      </c>
      <c r="I19" s="12">
        <v>5290059.6400000416</v>
      </c>
      <c r="J19" s="12">
        <v>5591395.6699999999</v>
      </c>
      <c r="K19" s="12">
        <v>6229891.1500000004</v>
      </c>
      <c r="L19" s="12">
        <v>6583451.8300000001</v>
      </c>
      <c r="M19" s="12">
        <v>6891505.9299999997</v>
      </c>
      <c r="N19" s="12">
        <v>7050025.2199999997</v>
      </c>
      <c r="O19" s="12">
        <v>7699506.5700000003</v>
      </c>
      <c r="P19" s="12">
        <v>8464649.3500000015</v>
      </c>
    </row>
    <row r="20" spans="1:16" x14ac:dyDescent="0.25">
      <c r="A20" s="31" t="s">
        <v>17</v>
      </c>
    </row>
    <row r="21" spans="1:16" x14ac:dyDescent="0.25">
      <c r="A21" s="32"/>
      <c r="J21" s="14"/>
      <c r="K21" s="14"/>
      <c r="L21" s="14"/>
      <c r="M21" s="14"/>
      <c r="N21" s="14"/>
      <c r="O21" s="14"/>
      <c r="P21" s="14"/>
    </row>
    <row r="22" spans="1:16" x14ac:dyDescent="0.25">
      <c r="A22" s="31" t="s">
        <v>18</v>
      </c>
    </row>
    <row r="23" spans="1:16" x14ac:dyDescent="0.25">
      <c r="A23" s="33" t="s">
        <v>96</v>
      </c>
    </row>
    <row r="24" spans="1:16" x14ac:dyDescent="0.25">
      <c r="A24" s="33"/>
    </row>
  </sheetData>
  <hyperlinks>
    <hyperlink ref="N1" location="Contents!A1" display="Back to contents"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2"/>
  <sheetViews>
    <sheetView workbookViewId="0">
      <selection activeCell="A29" sqref="A29"/>
    </sheetView>
  </sheetViews>
  <sheetFormatPr defaultColWidth="9.140625" defaultRowHeight="15" x14ac:dyDescent="0.2"/>
  <cols>
    <col min="1" max="1" width="20.7109375" style="6" customWidth="1"/>
    <col min="2" max="3" width="18.7109375" style="6" customWidth="1"/>
    <col min="4" max="4" width="9.140625" style="6" customWidth="1"/>
    <col min="5" max="10" width="9.140625" style="6"/>
    <col min="11" max="11" width="18" style="6" bestFit="1" customWidth="1"/>
    <col min="12" max="16384" width="9.140625" style="6"/>
  </cols>
  <sheetData>
    <row r="1" spans="1:11" x14ac:dyDescent="0.2">
      <c r="A1" s="140" t="s">
        <v>86</v>
      </c>
      <c r="B1" s="135"/>
      <c r="C1" s="135"/>
      <c r="D1" s="135"/>
      <c r="E1" s="135"/>
      <c r="F1" s="135"/>
      <c r="G1" s="135"/>
      <c r="H1" s="135"/>
      <c r="I1" s="135"/>
      <c r="K1" s="40" t="s">
        <v>70</v>
      </c>
    </row>
    <row r="2" spans="1:11" ht="20.25" customHeight="1" x14ac:dyDescent="0.25">
      <c r="A2" s="135"/>
      <c r="B2" s="135"/>
      <c r="C2" s="135"/>
      <c r="D2" s="135"/>
      <c r="E2" s="135"/>
      <c r="F2" s="135"/>
      <c r="G2" s="135"/>
      <c r="H2" s="135"/>
      <c r="I2" s="135"/>
      <c r="J2" s="16"/>
      <c r="K2" s="16"/>
    </row>
    <row r="3" spans="1:11" ht="15.75" x14ac:dyDescent="0.25">
      <c r="A3" s="17"/>
      <c r="B3" s="17"/>
      <c r="C3" s="17"/>
      <c r="D3" s="17"/>
      <c r="H3" s="16"/>
      <c r="I3" s="16"/>
      <c r="J3" s="16"/>
      <c r="K3" s="16"/>
    </row>
    <row r="4" spans="1:11" ht="15.75" x14ac:dyDescent="0.25">
      <c r="C4" s="18"/>
      <c r="H4" s="19"/>
      <c r="I4" s="19"/>
      <c r="J4" s="19"/>
    </row>
    <row r="5" spans="1:11" ht="47.25" x14ac:dyDescent="0.25">
      <c r="A5" s="20" t="s">
        <v>14</v>
      </c>
      <c r="B5" s="21" t="s">
        <v>15</v>
      </c>
      <c r="C5" s="22" t="s">
        <v>16</v>
      </c>
      <c r="E5" s="19"/>
      <c r="F5" s="19"/>
      <c r="G5" s="19"/>
      <c r="I5" s="19"/>
      <c r="J5" s="19"/>
      <c r="K5" s="19"/>
    </row>
    <row r="6" spans="1:11" ht="15.75" x14ac:dyDescent="0.25">
      <c r="A6" s="23">
        <v>40268</v>
      </c>
      <c r="B6" s="24">
        <v>20110</v>
      </c>
      <c r="C6" s="25">
        <v>3489964.3100000084</v>
      </c>
      <c r="E6" s="19"/>
      <c r="F6" s="19"/>
      <c r="G6" s="19"/>
      <c r="I6" s="19"/>
      <c r="J6" s="19"/>
      <c r="K6" s="19"/>
    </row>
    <row r="7" spans="1:11" ht="15.75" x14ac:dyDescent="0.25">
      <c r="A7" s="26">
        <v>40633</v>
      </c>
      <c r="B7" s="24">
        <v>21700</v>
      </c>
      <c r="C7" s="25">
        <v>3666343.3100000038</v>
      </c>
    </row>
    <row r="8" spans="1:11" ht="15.75" x14ac:dyDescent="0.25">
      <c r="A8" s="27">
        <v>40999</v>
      </c>
      <c r="B8" s="24">
        <v>22582</v>
      </c>
      <c r="C8" s="25">
        <v>3887744.8700000094</v>
      </c>
      <c r="D8" s="28"/>
    </row>
    <row r="9" spans="1:11" ht="15.75" x14ac:dyDescent="0.25">
      <c r="A9" s="27">
        <v>41364</v>
      </c>
      <c r="B9" s="24">
        <v>23894</v>
      </c>
      <c r="C9" s="25">
        <v>4001381.6999999755</v>
      </c>
      <c r="D9" s="28"/>
      <c r="I9" s="28"/>
      <c r="J9" s="28"/>
    </row>
    <row r="10" spans="1:11" ht="15.75" x14ac:dyDescent="0.25">
      <c r="A10" s="27">
        <v>41729</v>
      </c>
      <c r="B10" s="24">
        <v>24699</v>
      </c>
      <c r="C10" s="25">
        <v>4231716.1399999978</v>
      </c>
      <c r="D10" s="28"/>
    </row>
    <row r="11" spans="1:11" ht="15.75" x14ac:dyDescent="0.25">
      <c r="A11" s="27">
        <v>42094</v>
      </c>
      <c r="B11" s="24">
        <v>25253</v>
      </c>
      <c r="C11" s="25">
        <v>4642019.7399999974</v>
      </c>
    </row>
    <row r="12" spans="1:11" ht="15.75" x14ac:dyDescent="0.25">
      <c r="A12" s="27">
        <v>42460</v>
      </c>
      <c r="B12" s="24">
        <v>26268</v>
      </c>
      <c r="C12" s="25">
        <v>4953054.4900000077</v>
      </c>
      <c r="D12" s="29"/>
    </row>
    <row r="13" spans="1:11" ht="15.75" x14ac:dyDescent="0.25">
      <c r="A13" s="27">
        <v>42825</v>
      </c>
      <c r="B13" s="24">
        <v>27262</v>
      </c>
      <c r="C13" s="30">
        <v>5290059.6400000416</v>
      </c>
      <c r="D13" s="29"/>
    </row>
    <row r="14" spans="1:11" ht="15.75" x14ac:dyDescent="0.25">
      <c r="A14" s="27">
        <v>43190</v>
      </c>
      <c r="B14" s="24">
        <v>28208</v>
      </c>
      <c r="C14" s="30">
        <v>5591395.6699999999</v>
      </c>
      <c r="D14" s="29"/>
    </row>
    <row r="15" spans="1:11" ht="15.75" x14ac:dyDescent="0.25">
      <c r="A15" s="27">
        <v>43555</v>
      </c>
      <c r="B15" s="24">
        <v>29841</v>
      </c>
      <c r="C15" s="30">
        <v>6229891.1500000004</v>
      </c>
      <c r="D15" s="29"/>
    </row>
    <row r="16" spans="1:11" ht="15.75" x14ac:dyDescent="0.25">
      <c r="A16" s="27">
        <v>43921</v>
      </c>
      <c r="B16" s="24">
        <v>31020</v>
      </c>
      <c r="C16" s="30">
        <v>6583451.8300000001</v>
      </c>
    </row>
    <row r="17" spans="1:21" ht="15.75" x14ac:dyDescent="0.25">
      <c r="A17" s="27">
        <v>44286</v>
      </c>
      <c r="B17" s="24">
        <v>31834</v>
      </c>
      <c r="C17" s="30">
        <v>6891505.9299999997</v>
      </c>
    </row>
    <row r="18" spans="1:21" ht="15.75" x14ac:dyDescent="0.25">
      <c r="A18" s="27">
        <v>44651</v>
      </c>
      <c r="B18" s="24">
        <v>32193</v>
      </c>
      <c r="C18" s="30">
        <v>7050025.2199999997</v>
      </c>
    </row>
    <row r="19" spans="1:21" ht="15.75" x14ac:dyDescent="0.25">
      <c r="A19" s="71">
        <v>45016</v>
      </c>
      <c r="B19" s="126">
        <v>33710</v>
      </c>
      <c r="C19" s="72">
        <v>7699506.5700000003</v>
      </c>
      <c r="D19" s="29"/>
    </row>
    <row r="20" spans="1:21" ht="15.75" x14ac:dyDescent="0.25">
      <c r="A20" s="71">
        <v>45382</v>
      </c>
      <c r="B20" s="127">
        <v>35020</v>
      </c>
      <c r="C20" s="72">
        <v>8464649.3500000015</v>
      </c>
      <c r="D20" s="29"/>
    </row>
    <row r="22" spans="1:21" customFormat="1" ht="15.75" x14ac:dyDescent="0.25">
      <c r="A22" s="31" t="s">
        <v>17</v>
      </c>
      <c r="B22" s="6"/>
      <c r="C22" s="6"/>
      <c r="D22" s="6"/>
      <c r="E22" s="6"/>
      <c r="F22" s="6"/>
      <c r="G22" s="6"/>
      <c r="H22" s="6"/>
      <c r="I22" s="6"/>
      <c r="J22" s="6"/>
      <c r="K22" s="28"/>
      <c r="L22" s="28"/>
      <c r="M22" s="28"/>
      <c r="N22" s="28"/>
      <c r="O22" s="28"/>
      <c r="P22" s="28"/>
      <c r="Q22" s="28"/>
      <c r="R22" s="28"/>
      <c r="S22" s="28"/>
    </row>
    <row r="23" spans="1:21" customFormat="1" ht="15.75" x14ac:dyDescent="0.25">
      <c r="A23" s="32"/>
      <c r="B23" s="6"/>
      <c r="C23" s="6"/>
      <c r="D23" s="6"/>
      <c r="E23" s="6"/>
      <c r="F23" s="28"/>
      <c r="G23" s="28"/>
      <c r="H23" s="14"/>
      <c r="I23" s="35"/>
      <c r="J23" s="35"/>
      <c r="K23" s="28"/>
      <c r="L23" s="28"/>
      <c r="M23" s="28"/>
      <c r="N23" s="28"/>
      <c r="O23" s="28"/>
      <c r="P23" s="28"/>
      <c r="Q23" s="28"/>
      <c r="R23" s="28"/>
      <c r="S23" s="28"/>
    </row>
    <row r="24" spans="1:21" customFormat="1" ht="15.75" x14ac:dyDescent="0.25">
      <c r="A24" s="31" t="s">
        <v>18</v>
      </c>
      <c r="B24" s="32"/>
      <c r="C24" s="32"/>
      <c r="D24" s="6"/>
      <c r="E24" s="28"/>
      <c r="F24" s="28"/>
      <c r="G24" s="28"/>
      <c r="H24" s="14"/>
      <c r="I24" s="35"/>
      <c r="J24" s="35"/>
      <c r="K24" s="28"/>
      <c r="L24" s="28"/>
      <c r="M24" s="28"/>
      <c r="N24" s="28"/>
      <c r="O24" s="28"/>
      <c r="P24" s="28"/>
      <c r="Q24" s="28"/>
      <c r="R24" s="28"/>
      <c r="S24" s="28"/>
    </row>
    <row r="25" spans="1:21" customFormat="1" ht="15.75" x14ac:dyDescent="0.25">
      <c r="A25" s="33" t="s">
        <v>19</v>
      </c>
      <c r="B25" s="34"/>
      <c r="C25" s="34"/>
      <c r="D25" s="34"/>
      <c r="E25" s="28"/>
      <c r="F25" s="28"/>
      <c r="G25" s="28"/>
      <c r="H25" s="14"/>
      <c r="I25" s="28"/>
      <c r="J25" s="36"/>
      <c r="K25" s="28"/>
      <c r="L25" s="28"/>
      <c r="M25" s="28"/>
      <c r="N25" s="28"/>
      <c r="O25" s="28"/>
      <c r="P25" s="28"/>
      <c r="Q25" s="28"/>
      <c r="R25" s="28"/>
      <c r="S25" s="28"/>
      <c r="T25" s="28"/>
      <c r="U25" s="28"/>
    </row>
    <row r="26" spans="1:21" x14ac:dyDescent="0.2">
      <c r="A26" s="33" t="s">
        <v>20</v>
      </c>
      <c r="B26" s="34"/>
      <c r="C26" s="34"/>
      <c r="D26" s="34"/>
      <c r="E26" s="28"/>
      <c r="F26" s="34"/>
      <c r="G26" s="32"/>
      <c r="H26" s="28"/>
    </row>
    <row r="27" spans="1:21" x14ac:dyDescent="0.2">
      <c r="A27" s="33" t="s">
        <v>21</v>
      </c>
      <c r="B27" s="33"/>
      <c r="C27" s="33"/>
      <c r="D27" s="34"/>
      <c r="E27" s="34"/>
    </row>
    <row r="28" spans="1:21" ht="15" customHeight="1" x14ac:dyDescent="0.2">
      <c r="A28" s="37" t="s">
        <v>97</v>
      </c>
      <c r="B28" s="32"/>
      <c r="C28" s="32"/>
      <c r="D28" s="32"/>
    </row>
    <row r="29" spans="1:21" ht="15" customHeight="1" x14ac:dyDescent="0.2">
      <c r="A29" s="32"/>
      <c r="B29" s="32"/>
      <c r="C29" s="32"/>
      <c r="D29" s="32"/>
    </row>
    <row r="30" spans="1:21" ht="15" customHeight="1" x14ac:dyDescent="0.2">
      <c r="A30" s="32"/>
      <c r="B30" s="32"/>
      <c r="C30" s="32"/>
      <c r="D30" s="32"/>
    </row>
    <row r="31" spans="1:21" ht="15" customHeight="1" x14ac:dyDescent="0.2"/>
    <row r="32" spans="1:21" ht="15" customHeight="1" x14ac:dyDescent="0.2"/>
  </sheetData>
  <mergeCells count="1">
    <mergeCell ref="A1:I2"/>
  </mergeCells>
  <hyperlinks>
    <hyperlink ref="K1" location="Contents!A1" display="Back to contents"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M2:O2"/>
  <sheetViews>
    <sheetView workbookViewId="0"/>
  </sheetViews>
  <sheetFormatPr defaultRowHeight="15" x14ac:dyDescent="0.25"/>
  <cols>
    <col min="15" max="15" width="17.5703125" bestFit="1" customWidth="1"/>
  </cols>
  <sheetData>
    <row r="2" spans="13:15" ht="15.75" x14ac:dyDescent="0.25">
      <c r="M2" s="118"/>
      <c r="N2" s="118"/>
      <c r="O2" s="119" t="s">
        <v>13</v>
      </c>
    </row>
  </sheetData>
  <hyperlinks>
    <hyperlink ref="O2" location="Contents!A1" display="Back to contents"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N1"/>
  <sheetViews>
    <sheetView workbookViewId="0"/>
  </sheetViews>
  <sheetFormatPr defaultRowHeight="15" x14ac:dyDescent="0.25"/>
  <cols>
    <col min="14" max="14" width="17.5703125" bestFit="1" customWidth="1"/>
  </cols>
  <sheetData>
    <row r="1" spans="14:14" ht="15.75" x14ac:dyDescent="0.25">
      <c r="N1" s="119" t="s">
        <v>13</v>
      </c>
    </row>
  </sheetData>
  <hyperlinks>
    <hyperlink ref="N1" location="Contents!A1" display="Back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7"/>
  <sheetViews>
    <sheetView workbookViewId="0">
      <selection activeCell="A28" sqref="A28"/>
    </sheetView>
  </sheetViews>
  <sheetFormatPr defaultColWidth="9.140625" defaultRowHeight="15" x14ac:dyDescent="0.2"/>
  <cols>
    <col min="1" max="1" width="20.7109375" style="6" customWidth="1"/>
    <col min="2" max="2" width="21.7109375" style="6" customWidth="1"/>
    <col min="3" max="3" width="18.7109375" style="6" customWidth="1"/>
    <col min="4" max="4" width="21.7109375" style="6" customWidth="1"/>
    <col min="5" max="5" width="9.140625" style="6" customWidth="1"/>
    <col min="6" max="7" width="9.140625" style="6"/>
    <col min="8" max="8" width="10.140625" style="6" bestFit="1" customWidth="1"/>
    <col min="9" max="9" width="10.140625" style="6" customWidth="1"/>
    <col min="10" max="10" width="9.140625" style="6"/>
    <col min="11" max="11" width="18" style="6" bestFit="1" customWidth="1"/>
    <col min="12" max="16384" width="9.140625" style="6"/>
  </cols>
  <sheetData>
    <row r="1" spans="1:14" x14ac:dyDescent="0.2">
      <c r="A1" s="140" t="s">
        <v>87</v>
      </c>
      <c r="B1" s="141"/>
      <c r="C1" s="141"/>
      <c r="D1" s="141"/>
      <c r="E1" s="141"/>
      <c r="F1" s="141"/>
      <c r="G1" s="141"/>
      <c r="H1" s="141"/>
      <c r="I1" s="141"/>
      <c r="K1" s="119" t="s">
        <v>13</v>
      </c>
    </row>
    <row r="2" spans="1:14" ht="21.75" customHeight="1" x14ac:dyDescent="0.2">
      <c r="A2" s="141"/>
      <c r="B2" s="141"/>
      <c r="C2" s="141"/>
      <c r="D2" s="141"/>
      <c r="E2" s="141"/>
      <c r="F2" s="141"/>
      <c r="G2" s="141"/>
      <c r="H2" s="141"/>
      <c r="I2" s="141"/>
    </row>
    <row r="4" spans="1:14" ht="15.75" x14ac:dyDescent="0.25">
      <c r="A4" s="18"/>
    </row>
    <row r="5" spans="1:14" ht="63" x14ac:dyDescent="0.25">
      <c r="A5" s="20" t="s">
        <v>14</v>
      </c>
      <c r="B5" s="22" t="s">
        <v>22</v>
      </c>
      <c r="C5" s="22" t="s">
        <v>23</v>
      </c>
      <c r="D5" s="22" t="s">
        <v>24</v>
      </c>
      <c r="K5" s="19"/>
      <c r="L5" s="19"/>
      <c r="M5" s="19"/>
      <c r="N5" s="19"/>
    </row>
    <row r="6" spans="1:14" ht="15.75" x14ac:dyDescent="0.25">
      <c r="A6" s="23">
        <v>40268</v>
      </c>
      <c r="B6" s="66">
        <v>351002.23</v>
      </c>
      <c r="C6" s="66">
        <v>74703.539999999994</v>
      </c>
      <c r="D6" s="66">
        <v>59055.009999999995</v>
      </c>
      <c r="K6" s="19"/>
      <c r="L6" s="19"/>
      <c r="M6" s="19"/>
      <c r="N6" s="19"/>
    </row>
    <row r="7" spans="1:14" ht="15.75" x14ac:dyDescent="0.25">
      <c r="A7" s="26">
        <v>40633</v>
      </c>
      <c r="B7" s="66">
        <v>387322.52999999997</v>
      </c>
      <c r="C7" s="66">
        <v>65242.889999999992</v>
      </c>
      <c r="D7" s="66">
        <v>76017.659999999989</v>
      </c>
      <c r="K7" s="19"/>
      <c r="L7" s="19"/>
      <c r="M7" s="19"/>
      <c r="N7" s="19"/>
    </row>
    <row r="8" spans="1:14" ht="15.75" x14ac:dyDescent="0.25">
      <c r="A8" s="67">
        <v>40999</v>
      </c>
      <c r="B8" s="66">
        <v>417638.85</v>
      </c>
      <c r="C8" s="66">
        <v>62289.780000000013</v>
      </c>
      <c r="D8" s="66">
        <v>79237.679999999993</v>
      </c>
      <c r="E8" s="28"/>
    </row>
    <row r="9" spans="1:14" ht="15.75" x14ac:dyDescent="0.25">
      <c r="A9" s="67">
        <v>41364</v>
      </c>
      <c r="B9" s="66">
        <v>384165.13000000006</v>
      </c>
      <c r="C9" s="66">
        <v>71638.12</v>
      </c>
      <c r="D9" s="66">
        <v>70460.960000000021</v>
      </c>
      <c r="E9" s="28"/>
    </row>
    <row r="10" spans="1:14" ht="15.75" x14ac:dyDescent="0.25">
      <c r="A10" s="27">
        <v>41729</v>
      </c>
      <c r="B10" s="66">
        <v>421789.75000000017</v>
      </c>
      <c r="C10" s="66">
        <v>69608.56</v>
      </c>
      <c r="D10" s="66">
        <v>75897.320000000007</v>
      </c>
      <c r="E10" s="28"/>
    </row>
    <row r="11" spans="1:14" ht="15.75" x14ac:dyDescent="0.25">
      <c r="A11" s="27">
        <v>42094</v>
      </c>
      <c r="B11" s="66">
        <v>467498.66000000009</v>
      </c>
      <c r="C11" s="66">
        <v>77217.039999999979</v>
      </c>
      <c r="D11" s="66">
        <v>80497.790000000008</v>
      </c>
      <c r="E11" s="28"/>
      <c r="F11" s="28"/>
      <c r="G11" s="28"/>
      <c r="H11" s="28"/>
      <c r="I11" s="28"/>
      <c r="J11" s="28"/>
      <c r="K11" s="28"/>
      <c r="L11" s="28"/>
    </row>
    <row r="12" spans="1:14" ht="15.75" x14ac:dyDescent="0.25">
      <c r="A12" s="27">
        <v>42460</v>
      </c>
      <c r="B12" s="68">
        <v>509368.74</v>
      </c>
      <c r="C12" s="68">
        <v>76397.11</v>
      </c>
      <c r="D12" s="68">
        <v>82908</v>
      </c>
      <c r="E12" s="28"/>
    </row>
    <row r="13" spans="1:14" ht="15.75" x14ac:dyDescent="0.25">
      <c r="A13" s="67">
        <v>42825</v>
      </c>
      <c r="B13" s="66">
        <v>523777.52000000008</v>
      </c>
      <c r="C13" s="66">
        <v>75806.290000000008</v>
      </c>
      <c r="D13" s="66">
        <v>98000.07</v>
      </c>
      <c r="E13" s="28"/>
    </row>
    <row r="14" spans="1:14" ht="15.75" x14ac:dyDescent="0.25">
      <c r="A14" s="67">
        <v>43190</v>
      </c>
      <c r="B14" s="66">
        <v>546273.77</v>
      </c>
      <c r="C14" s="66">
        <v>63685.47</v>
      </c>
      <c r="D14" s="66">
        <v>79435.55</v>
      </c>
    </row>
    <row r="15" spans="1:14" ht="15.75" x14ac:dyDescent="0.25">
      <c r="A15" s="67">
        <v>43555</v>
      </c>
      <c r="B15" s="66">
        <v>591267.56000000006</v>
      </c>
      <c r="C15" s="66">
        <v>76793.200000000012</v>
      </c>
      <c r="D15" s="66">
        <v>101570.09</v>
      </c>
    </row>
    <row r="16" spans="1:14" ht="15.75" x14ac:dyDescent="0.25">
      <c r="A16" s="27">
        <v>43921</v>
      </c>
      <c r="B16" s="66">
        <v>649020.6</v>
      </c>
      <c r="C16" s="66">
        <v>75568.460000000006</v>
      </c>
      <c r="D16" s="66">
        <v>88129.13</v>
      </c>
    </row>
    <row r="17" spans="1:19" ht="15.75" x14ac:dyDescent="0.25">
      <c r="A17" s="27">
        <v>44286</v>
      </c>
      <c r="B17" s="66">
        <v>659802.96</v>
      </c>
      <c r="C17" s="66">
        <v>67642.210000000006</v>
      </c>
      <c r="D17" s="66">
        <v>93928.19</v>
      </c>
    </row>
    <row r="18" spans="1:19" ht="15.75" x14ac:dyDescent="0.25">
      <c r="A18" s="27">
        <v>44651</v>
      </c>
      <c r="B18" s="66">
        <v>639229.21</v>
      </c>
      <c r="C18" s="66">
        <v>73224.55</v>
      </c>
      <c r="D18" s="66">
        <v>83529.490000000005</v>
      </c>
    </row>
    <row r="19" spans="1:19" customFormat="1" ht="15.75" x14ac:dyDescent="0.25">
      <c r="A19" s="125">
        <v>45016</v>
      </c>
      <c r="B19" s="12">
        <v>613548.37</v>
      </c>
      <c r="C19" s="12">
        <v>69348.350000000006</v>
      </c>
      <c r="D19" s="12">
        <v>81698.69</v>
      </c>
      <c r="E19" s="6"/>
      <c r="F19" s="6"/>
      <c r="G19" s="6"/>
      <c r="H19" s="6"/>
      <c r="I19" s="6"/>
      <c r="J19" s="6"/>
      <c r="K19" s="6"/>
      <c r="L19" s="6"/>
      <c r="M19" s="6"/>
      <c r="N19" s="28"/>
      <c r="O19" s="28"/>
      <c r="P19" s="28"/>
      <c r="Q19" s="28"/>
      <c r="R19" s="28"/>
      <c r="S19" s="28"/>
    </row>
    <row r="20" spans="1:19" customFormat="1" ht="15.75" x14ac:dyDescent="0.25">
      <c r="A20" s="125">
        <v>45382</v>
      </c>
      <c r="B20" s="12">
        <v>646073.56999999995</v>
      </c>
      <c r="C20" s="12">
        <v>61520.99</v>
      </c>
      <c r="D20" s="12">
        <v>69375.55</v>
      </c>
      <c r="E20" s="6"/>
      <c r="F20" s="6"/>
      <c r="G20" s="6"/>
      <c r="H20" s="6"/>
      <c r="I20" s="6"/>
      <c r="J20" s="6"/>
      <c r="K20" s="6"/>
      <c r="L20" s="6"/>
      <c r="M20" s="6"/>
      <c r="N20" s="28"/>
      <c r="O20" s="28"/>
      <c r="P20" s="28"/>
      <c r="Q20" s="28"/>
      <c r="R20" s="28"/>
      <c r="S20" s="28"/>
    </row>
    <row r="21" spans="1:19" customFormat="1" ht="15.75" x14ac:dyDescent="0.25">
      <c r="A21" s="6"/>
      <c r="B21" s="6"/>
      <c r="C21" s="6"/>
      <c r="D21" s="6"/>
      <c r="E21" s="6"/>
      <c r="F21" s="6"/>
      <c r="G21" s="6"/>
      <c r="H21" s="6"/>
      <c r="I21" s="14"/>
      <c r="J21" s="35"/>
      <c r="K21" s="28"/>
      <c r="L21" s="28"/>
      <c r="M21" s="28"/>
      <c r="N21" s="28"/>
      <c r="O21" s="28"/>
      <c r="P21" s="28"/>
      <c r="Q21" s="28"/>
      <c r="R21" s="28"/>
      <c r="S21" s="28"/>
    </row>
    <row r="22" spans="1:19" ht="15.75" x14ac:dyDescent="0.25">
      <c r="A22" s="33" t="s">
        <v>17</v>
      </c>
      <c r="E22" s="34"/>
      <c r="F22" s="32"/>
      <c r="G22" s="32"/>
      <c r="H22" s="14"/>
    </row>
    <row r="23" spans="1:19" x14ac:dyDescent="0.2">
      <c r="A23" s="32"/>
      <c r="B23" s="32"/>
      <c r="C23" s="32"/>
      <c r="D23" s="32"/>
      <c r="E23" s="32"/>
    </row>
    <row r="24" spans="1:19" x14ac:dyDescent="0.2">
      <c r="A24" s="31" t="s">
        <v>18</v>
      </c>
      <c r="B24" s="34"/>
      <c r="C24" s="34"/>
      <c r="D24" s="34"/>
      <c r="E24" s="32"/>
    </row>
    <row r="25" spans="1:19" x14ac:dyDescent="0.2">
      <c r="A25" s="33" t="s">
        <v>25</v>
      </c>
      <c r="B25" s="32"/>
      <c r="C25" s="32"/>
      <c r="D25" s="32"/>
    </row>
    <row r="26" spans="1:19" x14ac:dyDescent="0.2">
      <c r="A26" s="37" t="s">
        <v>97</v>
      </c>
      <c r="B26" s="32"/>
      <c r="C26" s="32"/>
      <c r="D26" s="32"/>
    </row>
    <row r="27" spans="1:19" x14ac:dyDescent="0.2">
      <c r="A27" s="33" t="s">
        <v>26</v>
      </c>
    </row>
  </sheetData>
  <mergeCells count="1">
    <mergeCell ref="A1:I2"/>
  </mergeCells>
  <hyperlinks>
    <hyperlink ref="K1" location="Contents!A1" display="Back to contents"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M1:N1"/>
  <sheetViews>
    <sheetView workbookViewId="0"/>
  </sheetViews>
  <sheetFormatPr defaultRowHeight="15" x14ac:dyDescent="0.25"/>
  <cols>
    <col min="14" max="14" width="17.5703125" bestFit="1" customWidth="1"/>
  </cols>
  <sheetData>
    <row r="1" spans="13:14" ht="15.75" x14ac:dyDescent="0.25">
      <c r="M1" s="120"/>
      <c r="N1" s="121" t="s">
        <v>13</v>
      </c>
    </row>
  </sheetData>
  <hyperlinks>
    <hyperlink ref="N1" location="Contents!A1" display="Back to contents"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N1"/>
  <sheetViews>
    <sheetView workbookViewId="0">
      <selection activeCell="N1" sqref="N1"/>
    </sheetView>
  </sheetViews>
  <sheetFormatPr defaultRowHeight="15" x14ac:dyDescent="0.25"/>
  <cols>
    <col min="14" max="14" width="17.5703125" bestFit="1" customWidth="1"/>
  </cols>
  <sheetData>
    <row r="1" spans="14:14" ht="15.75" x14ac:dyDescent="0.25">
      <c r="N1" s="119" t="s">
        <v>13</v>
      </c>
    </row>
  </sheetData>
  <hyperlinks>
    <hyperlink ref="N1" location="Contents!A1" display="Back to contents" xr:uid="{00000000-0004-0000-0A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N1"/>
  <sheetViews>
    <sheetView workbookViewId="0"/>
  </sheetViews>
  <sheetFormatPr defaultRowHeight="15" x14ac:dyDescent="0.25"/>
  <cols>
    <col min="14" max="14" width="17.5703125" bestFit="1" customWidth="1"/>
  </cols>
  <sheetData>
    <row r="1" spans="14:14" ht="15.75" x14ac:dyDescent="0.25">
      <c r="N1" s="119" t="s">
        <v>13</v>
      </c>
    </row>
  </sheetData>
  <hyperlinks>
    <hyperlink ref="N1" location="Contents!A1" display="Back to contents" xr:uid="{00000000-0004-0000-0B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30"/>
  <sheetViews>
    <sheetView workbookViewId="0">
      <selection activeCell="A27" sqref="A27"/>
    </sheetView>
  </sheetViews>
  <sheetFormatPr defaultColWidth="9.140625" defaultRowHeight="15" x14ac:dyDescent="0.2"/>
  <cols>
    <col min="1" max="2" width="20.7109375" style="6" customWidth="1"/>
    <col min="3" max="3" width="21.7109375" style="6" customWidth="1"/>
    <col min="4" max="4" width="18.7109375" style="6" customWidth="1"/>
    <col min="5" max="6" width="21.7109375" style="6" customWidth="1"/>
    <col min="7" max="7" width="12.7109375" style="6" bestFit="1" customWidth="1"/>
    <col min="8" max="8" width="18" style="6" bestFit="1" customWidth="1"/>
    <col min="9" max="10" width="9.140625" style="6" customWidth="1"/>
    <col min="11" max="11" width="18" style="6" bestFit="1" customWidth="1"/>
    <col min="12" max="16384" width="9.140625" style="6"/>
  </cols>
  <sheetData>
    <row r="1" spans="1:14" ht="15.75" x14ac:dyDescent="0.25">
      <c r="A1" s="142" t="s">
        <v>88</v>
      </c>
      <c r="B1" s="142"/>
      <c r="C1" s="142"/>
      <c r="D1" s="142"/>
      <c r="E1" s="142"/>
      <c r="F1" s="142"/>
      <c r="G1" s="17"/>
      <c r="H1" s="119" t="s">
        <v>13</v>
      </c>
      <c r="I1" s="17"/>
      <c r="J1" s="64"/>
    </row>
    <row r="2" spans="1:14" ht="20.25" customHeight="1" x14ac:dyDescent="0.25">
      <c r="A2" s="142"/>
      <c r="B2" s="142"/>
      <c r="C2" s="142"/>
      <c r="D2" s="142"/>
      <c r="E2" s="142"/>
      <c r="F2" s="142"/>
      <c r="G2" s="17"/>
      <c r="H2" s="17"/>
      <c r="I2" s="17"/>
      <c r="J2" s="64"/>
      <c r="K2" s="15"/>
    </row>
    <row r="3" spans="1:14" ht="15.75" x14ac:dyDescent="0.25">
      <c r="A3" s="64"/>
      <c r="B3" s="64"/>
      <c r="C3" s="64"/>
      <c r="D3" s="64"/>
      <c r="E3" s="64"/>
      <c r="F3" s="64"/>
      <c r="G3" s="64"/>
      <c r="H3" s="64"/>
      <c r="I3" s="64"/>
      <c r="J3" s="64"/>
    </row>
    <row r="4" spans="1:14" ht="15.75" x14ac:dyDescent="0.25">
      <c r="A4" s="18"/>
      <c r="B4" s="19"/>
      <c r="E4" s="143"/>
      <c r="F4" s="144"/>
    </row>
    <row r="5" spans="1:14" ht="63" x14ac:dyDescent="0.25">
      <c r="A5" s="20" t="s">
        <v>14</v>
      </c>
      <c r="B5" s="22" t="s">
        <v>27</v>
      </c>
      <c r="C5" s="22" t="s">
        <v>22</v>
      </c>
      <c r="D5" s="22" t="s">
        <v>23</v>
      </c>
      <c r="E5" s="22" t="s">
        <v>24</v>
      </c>
      <c r="F5" s="22" t="s">
        <v>28</v>
      </c>
      <c r="K5" s="19"/>
      <c r="L5" s="19"/>
      <c r="M5" s="19"/>
      <c r="N5" s="19"/>
    </row>
    <row r="6" spans="1:14" ht="15.75" x14ac:dyDescent="0.25">
      <c r="A6" s="23">
        <v>40268</v>
      </c>
      <c r="B6" s="69">
        <v>3489964.3100000084</v>
      </c>
      <c r="C6" s="9">
        <v>351002.23</v>
      </c>
      <c r="D6" s="9">
        <v>74703.539999999994</v>
      </c>
      <c r="E6" s="9">
        <v>59055.009999999995</v>
      </c>
      <c r="F6" s="68">
        <v>3974725.0900000082</v>
      </c>
      <c r="K6" s="19"/>
      <c r="L6" s="19"/>
      <c r="M6" s="19"/>
      <c r="N6" s="19"/>
    </row>
    <row r="7" spans="1:14" ht="15.75" x14ac:dyDescent="0.25">
      <c r="A7" s="26">
        <v>40633</v>
      </c>
      <c r="B7" s="69">
        <v>3666343.3100000038</v>
      </c>
      <c r="C7" s="9">
        <v>387322.52999999997</v>
      </c>
      <c r="D7" s="9">
        <v>65242.889999999992</v>
      </c>
      <c r="E7" s="9">
        <v>76017.659999999989</v>
      </c>
      <c r="F7" s="68">
        <v>4194926.3900000034</v>
      </c>
      <c r="K7" s="19"/>
      <c r="L7" s="19"/>
      <c r="M7" s="19"/>
      <c r="N7" s="19"/>
    </row>
    <row r="8" spans="1:14" ht="15.75" x14ac:dyDescent="0.25">
      <c r="A8" s="67">
        <v>40999</v>
      </c>
      <c r="B8" s="69">
        <v>3887744.8700000094</v>
      </c>
      <c r="C8" s="9">
        <v>417638.85</v>
      </c>
      <c r="D8" s="9">
        <v>62289.780000000013</v>
      </c>
      <c r="E8" s="9">
        <v>79237.679999999993</v>
      </c>
      <c r="F8" s="68">
        <v>4446911.180000009</v>
      </c>
    </row>
    <row r="9" spans="1:14" ht="15.75" x14ac:dyDescent="0.25">
      <c r="A9" s="67">
        <v>41364</v>
      </c>
      <c r="B9" s="69">
        <v>4001381.6999999755</v>
      </c>
      <c r="C9" s="9">
        <v>384165.13000000006</v>
      </c>
      <c r="D9" s="9">
        <v>71638.12</v>
      </c>
      <c r="E9" s="9">
        <v>70460.960000000021</v>
      </c>
      <c r="F9" s="68">
        <v>4527645.9099999759</v>
      </c>
    </row>
    <row r="10" spans="1:14" ht="15.75" x14ac:dyDescent="0.25">
      <c r="A10" s="27">
        <v>41729</v>
      </c>
      <c r="B10" s="69">
        <v>4231716.1399999978</v>
      </c>
      <c r="C10" s="9">
        <v>421789.75000000017</v>
      </c>
      <c r="D10" s="9">
        <v>69608.56</v>
      </c>
      <c r="E10" s="9">
        <v>75897.320000000007</v>
      </c>
      <c r="F10" s="68">
        <v>4799011.7699999977</v>
      </c>
    </row>
    <row r="11" spans="1:14" ht="15.75" x14ac:dyDescent="0.25">
      <c r="A11" s="27">
        <v>42094</v>
      </c>
      <c r="B11" s="69">
        <v>4642019.7399999974</v>
      </c>
      <c r="C11" s="9">
        <v>467498.66000000009</v>
      </c>
      <c r="D11" s="9">
        <v>77217.039999999979</v>
      </c>
      <c r="E11" s="9">
        <v>80497.790000000008</v>
      </c>
      <c r="F11" s="68">
        <v>5267233.2299999977</v>
      </c>
      <c r="G11" s="28"/>
      <c r="H11" s="28"/>
      <c r="I11" s="28"/>
      <c r="J11" s="28"/>
      <c r="K11" s="28"/>
      <c r="L11" s="28"/>
    </row>
    <row r="12" spans="1:14" ht="15.75" x14ac:dyDescent="0.25">
      <c r="A12" s="27">
        <v>42460</v>
      </c>
      <c r="B12" s="69">
        <v>4953054.4900000077</v>
      </c>
      <c r="C12" s="10">
        <v>509368.74</v>
      </c>
      <c r="D12" s="10">
        <v>76397.11</v>
      </c>
      <c r="E12" s="10">
        <v>82908</v>
      </c>
      <c r="F12" s="68">
        <v>5621728.3400000082</v>
      </c>
    </row>
    <row r="13" spans="1:14" ht="15.75" x14ac:dyDescent="0.25">
      <c r="A13" s="67">
        <v>42825</v>
      </c>
      <c r="B13" s="70">
        <v>5290059.6400000416</v>
      </c>
      <c r="C13" s="9">
        <v>523777.52000000008</v>
      </c>
      <c r="D13" s="9">
        <v>75806.290000000008</v>
      </c>
      <c r="E13" s="9">
        <v>98000.07</v>
      </c>
      <c r="F13" s="66">
        <v>5987643.5200000424</v>
      </c>
    </row>
    <row r="14" spans="1:14" ht="15.75" x14ac:dyDescent="0.25">
      <c r="A14" s="67">
        <v>43190</v>
      </c>
      <c r="B14" s="70">
        <v>5591395.6699999999</v>
      </c>
      <c r="C14" s="9">
        <v>546273.77</v>
      </c>
      <c r="D14" s="9">
        <v>63685.47</v>
      </c>
      <c r="E14" s="9">
        <v>79435.55</v>
      </c>
      <c r="F14" s="66">
        <v>6280790.459999999</v>
      </c>
    </row>
    <row r="15" spans="1:14" ht="15.75" x14ac:dyDescent="0.25">
      <c r="A15" s="67">
        <v>43555</v>
      </c>
      <c r="B15" s="70">
        <v>6229891.1500000004</v>
      </c>
      <c r="C15" s="9">
        <v>591267.56000000006</v>
      </c>
      <c r="D15" s="9">
        <v>76793.200000000012</v>
      </c>
      <c r="E15" s="9">
        <v>101570.09</v>
      </c>
      <c r="F15" s="66">
        <v>6999522.0000000009</v>
      </c>
    </row>
    <row r="16" spans="1:14" ht="15.75" x14ac:dyDescent="0.25">
      <c r="A16" s="27">
        <v>43921</v>
      </c>
      <c r="B16" s="70">
        <v>6583451.8300000001</v>
      </c>
      <c r="C16" s="9">
        <v>649020.6</v>
      </c>
      <c r="D16" s="9">
        <v>75568.460000000006</v>
      </c>
      <c r="E16" s="9">
        <v>88129.13</v>
      </c>
      <c r="F16" s="66">
        <v>7396170.0199999996</v>
      </c>
      <c r="G16" s="10"/>
    </row>
    <row r="17" spans="1:19" ht="15.75" x14ac:dyDescent="0.25">
      <c r="A17" s="27">
        <v>44286</v>
      </c>
      <c r="B17" s="70">
        <v>6891505.9299999997</v>
      </c>
      <c r="C17" s="9">
        <v>659802.96</v>
      </c>
      <c r="D17" s="9">
        <v>67642.210000000006</v>
      </c>
      <c r="E17" s="9">
        <v>93928.19</v>
      </c>
      <c r="F17" s="66">
        <v>7712879.29</v>
      </c>
      <c r="G17" s="10"/>
    </row>
    <row r="18" spans="1:19" ht="15.75" x14ac:dyDescent="0.25">
      <c r="A18" s="27">
        <v>44651</v>
      </c>
      <c r="B18" s="70">
        <v>7050025.2199999997</v>
      </c>
      <c r="C18" s="9">
        <v>639229.21</v>
      </c>
      <c r="D18" s="9">
        <v>73224.55</v>
      </c>
      <c r="E18" s="9">
        <v>83529.490000000005</v>
      </c>
      <c r="F18" s="66">
        <v>7846008.4699999997</v>
      </c>
      <c r="G18" s="10"/>
    </row>
    <row r="19" spans="1:19" customFormat="1" ht="15.75" x14ac:dyDescent="0.25">
      <c r="A19" s="71">
        <v>45016</v>
      </c>
      <c r="B19" s="73">
        <v>7699506.5700000003</v>
      </c>
      <c r="C19" s="74">
        <v>613548.37</v>
      </c>
      <c r="D19" s="74">
        <v>69348.350000000006</v>
      </c>
      <c r="E19" s="74">
        <v>81698.69</v>
      </c>
      <c r="F19" s="12">
        <v>8464101.9800000004</v>
      </c>
      <c r="G19" s="10"/>
      <c r="H19" s="6"/>
      <c r="I19" s="6"/>
      <c r="J19" s="6"/>
      <c r="K19" s="6"/>
      <c r="L19" s="6"/>
      <c r="M19" s="6"/>
      <c r="N19" s="28"/>
      <c r="O19" s="28"/>
      <c r="P19" s="28"/>
      <c r="Q19" s="28"/>
      <c r="R19" s="28"/>
      <c r="S19" s="28"/>
    </row>
    <row r="20" spans="1:19" customFormat="1" ht="15.75" x14ac:dyDescent="0.25">
      <c r="A20" s="71">
        <v>45382</v>
      </c>
      <c r="B20" s="72">
        <v>8464649.3500000015</v>
      </c>
      <c r="C20" s="12">
        <v>646073.56999999995</v>
      </c>
      <c r="D20" s="12">
        <v>61520.99</v>
      </c>
      <c r="E20" s="12">
        <v>69375.55</v>
      </c>
      <c r="F20" s="12">
        <v>9241619.4600000028</v>
      </c>
      <c r="G20" s="10"/>
      <c r="H20" s="6"/>
      <c r="I20" s="6"/>
      <c r="J20" s="6"/>
      <c r="K20" s="6"/>
      <c r="L20" s="6"/>
      <c r="M20" s="6"/>
      <c r="N20" s="28"/>
      <c r="O20" s="28"/>
      <c r="P20" s="28"/>
      <c r="Q20" s="28"/>
      <c r="R20" s="28"/>
      <c r="S20" s="28"/>
    </row>
    <row r="21" spans="1:19" customFormat="1" ht="15.75" x14ac:dyDescent="0.25">
      <c r="A21" s="6"/>
      <c r="B21" s="6"/>
      <c r="C21" s="6"/>
      <c r="D21" s="6"/>
      <c r="E21" s="6"/>
      <c r="F21" s="6"/>
      <c r="G21" s="6"/>
      <c r="H21" s="32"/>
      <c r="I21" s="14"/>
      <c r="J21" s="14"/>
      <c r="K21" s="28"/>
      <c r="L21" s="28"/>
      <c r="M21" s="28"/>
      <c r="N21" s="28"/>
      <c r="O21" s="28"/>
      <c r="P21" s="28"/>
      <c r="Q21" s="28"/>
      <c r="R21" s="28"/>
      <c r="S21" s="28"/>
    </row>
    <row r="22" spans="1:19" x14ac:dyDescent="0.2">
      <c r="A22" s="33" t="s">
        <v>17</v>
      </c>
      <c r="B22" s="33"/>
    </row>
    <row r="23" spans="1:19" x14ac:dyDescent="0.2">
      <c r="A23" s="32"/>
      <c r="B23" s="32"/>
      <c r="G23" s="32"/>
    </row>
    <row r="24" spans="1:19" x14ac:dyDescent="0.2">
      <c r="A24" s="31" t="s">
        <v>18</v>
      </c>
      <c r="B24" s="31"/>
      <c r="C24" s="32"/>
      <c r="D24" s="32"/>
      <c r="E24" s="32"/>
    </row>
    <row r="25" spans="1:19" x14ac:dyDescent="0.2">
      <c r="A25" s="33" t="s">
        <v>98</v>
      </c>
      <c r="B25" s="33"/>
      <c r="C25" s="34"/>
      <c r="D25" s="34"/>
      <c r="E25" s="34"/>
      <c r="F25" s="34"/>
    </row>
    <row r="26" spans="1:19" x14ac:dyDescent="0.2">
      <c r="A26" s="33" t="s">
        <v>26</v>
      </c>
      <c r="B26" s="33"/>
      <c r="C26" s="32"/>
      <c r="D26" s="32"/>
      <c r="E26" s="32"/>
      <c r="F26" s="32"/>
    </row>
    <row r="27" spans="1:19" x14ac:dyDescent="0.2">
      <c r="A27" s="33"/>
      <c r="B27" s="33"/>
      <c r="C27" s="33"/>
      <c r="D27" s="33"/>
      <c r="E27" s="33"/>
      <c r="F27" s="33"/>
    </row>
    <row r="28" spans="1:19" x14ac:dyDescent="0.2">
      <c r="A28" s="33"/>
      <c r="B28" s="33"/>
      <c r="C28" s="33"/>
      <c r="D28" s="33"/>
      <c r="E28" s="33"/>
      <c r="F28" s="33"/>
    </row>
    <row r="29" spans="1:19" x14ac:dyDescent="0.2">
      <c r="B29" s="33"/>
      <c r="C29" s="33"/>
      <c r="D29" s="33"/>
      <c r="E29" s="33"/>
      <c r="F29" s="33"/>
    </row>
    <row r="30" spans="1:19" x14ac:dyDescent="0.2">
      <c r="B30" s="33"/>
      <c r="C30" s="33"/>
      <c r="D30" s="33"/>
      <c r="E30" s="33"/>
      <c r="F30" s="33"/>
    </row>
  </sheetData>
  <mergeCells count="2">
    <mergeCell ref="A1:F2"/>
    <mergeCell ref="E4:F4"/>
  </mergeCells>
  <hyperlinks>
    <hyperlink ref="H1" location="Contents!A1" display="Back to contents" xr:uid="{00000000-0004-0000-0C00-000000000000}"/>
  </hyperlinks>
  <pageMargins left="0.7" right="0.7" top="0.75" bottom="0.75" header="0.3" footer="0.3"/>
  <pageSetup orientation="portrait" horizontalDpi="90" verticalDpi="9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N1"/>
  <sheetViews>
    <sheetView tabSelected="1" workbookViewId="0"/>
  </sheetViews>
  <sheetFormatPr defaultRowHeight="15" x14ac:dyDescent="0.25"/>
  <cols>
    <col min="14" max="14" width="17.5703125" bestFit="1" customWidth="1"/>
  </cols>
  <sheetData>
    <row r="1" spans="14:14" ht="15.75" x14ac:dyDescent="0.25">
      <c r="N1" s="119" t="s">
        <v>13</v>
      </c>
    </row>
  </sheetData>
  <hyperlinks>
    <hyperlink ref="N1" location="Contents!A1" display="Back to contents" xr:uid="{00000000-0004-0000-0D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Notes</vt:lpstr>
      <vt:lpstr>Contents</vt:lpstr>
      <vt:lpstr>Table 1.1</vt:lpstr>
      <vt:lpstr>Table 1.2 </vt:lpstr>
      <vt:lpstr>Table 1.3</vt:lpstr>
      <vt:lpstr>Figure 1</vt:lpstr>
      <vt:lpstr>Figure 2</vt:lpstr>
      <vt:lpstr>Table 1.4</vt:lpstr>
      <vt:lpstr>Figure 3</vt:lpstr>
      <vt:lpstr>Figure 4</vt:lpstr>
      <vt:lpstr>Figure 5</vt:lpstr>
      <vt:lpstr>Table 1.5</vt:lpstr>
      <vt:lpstr>Figure 6</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Smyth</dc:creator>
  <cp:lastModifiedBy>McVitty, Louise</cp:lastModifiedBy>
  <dcterms:created xsi:type="dcterms:W3CDTF">2020-05-19T14:55:42Z</dcterms:created>
  <dcterms:modified xsi:type="dcterms:W3CDTF">2024-05-24T08:00:37Z</dcterms:modified>
</cp:coreProperties>
</file>