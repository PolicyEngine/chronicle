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7.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8.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tables/table19.xml" ContentType="application/vnd.openxmlformats-officedocument.spreadsheetml.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0.xml" ContentType="application/vnd.openxmlformats-officedocument.spreadsheetml.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tables/table21.xml" ContentType="application/vnd.openxmlformats-officedocument.spreadsheetml.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drawings/drawing9.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tables/table25.xml" ContentType="application/vnd.openxmlformats-officedocument.spreadsheetml.table+xml"/>
  <Override PartName="/xl/drawings/drawing11.xml" ContentType="application/vnd.openxmlformats-officedocument.drawing+xml"/>
  <Override PartName="/xl/charts/chart12.xml" ContentType="application/vnd.openxmlformats-officedocument.drawingml.chart+xml"/>
  <Override PartName="/xl/tables/table26.xml" ContentType="application/vnd.openxmlformats-officedocument.spreadsheetml.table+xml"/>
  <Override PartName="/xl/drawings/drawing12.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LWHL3-LV-FS01.nrscotland.gov.uk\DEMSTATS-WEB TEAM\Current work\Households\Household Estimates 2025\3.8.26 update\"/>
    </mc:Choice>
  </mc:AlternateContent>
  <xr:revisionPtr revIDLastSave="0" documentId="8_{94F3DCDE-81D7-4EFB-8E0F-9216A3CCBC1C}" xr6:coauthVersionLast="47" xr6:coauthVersionMax="47" xr10:uidLastSave="{00000000-0000-0000-0000-000000000000}"/>
  <bookViews>
    <workbookView xWindow="-110" yWindow="-110" windowWidth="19420" windowHeight="11500" xr2:uid="{00000000-000D-0000-FFFF-FFFF00000000}"/>
  </bookViews>
  <sheets>
    <sheet name="Cover Sheet" sheetId="1" r:id="rId1"/>
    <sheet name="Table of Contents" sheetId="2" r:id="rId2"/>
    <sheet name="Notes" sheetId="3" r:id="rId3"/>
    <sheet name="Table1" sheetId="4" r:id="rId4"/>
    <sheet name="Table2" sheetId="5" r:id="rId5"/>
    <sheet name="Table3" sheetId="6" r:id="rId6"/>
    <sheet name="Table4" sheetId="7" r:id="rId7"/>
    <sheet name="Table5" sheetId="8" r:id="rId8"/>
    <sheet name="Table6a" sheetId="9" r:id="rId9"/>
    <sheet name="Table6b" sheetId="10" r:id="rId10"/>
    <sheet name="Table6c" sheetId="11" r:id="rId11"/>
    <sheet name="Table7" sheetId="12" r:id="rId12"/>
    <sheet name="Table8" sheetId="13" r:id="rId13"/>
    <sheet name="Table9" sheetId="14" r:id="rId14"/>
    <sheet name="Table10" sheetId="15" r:id="rId15"/>
    <sheet name="Table11" sheetId="16" r:id="rId16"/>
    <sheet name="Table12" sheetId="17" r:id="rId17"/>
    <sheet name="Figure 1a" sheetId="26" r:id="rId18"/>
    <sheet name="Figure 1a data" sheetId="27" r:id="rId19"/>
    <sheet name="Figure 1b" sheetId="50" r:id="rId20"/>
    <sheet name="Figure 1b data" sheetId="49" r:id="rId21"/>
    <sheet name="Figure 2" sheetId="32" r:id="rId22"/>
    <sheet name="Figure 2 data" sheetId="33" r:id="rId23"/>
    <sheet name="Figure 3" sheetId="34" r:id="rId24"/>
    <sheet name="Figure 3 data" sheetId="35" r:id="rId25"/>
    <sheet name="Figure 4" sheetId="36" r:id="rId26"/>
    <sheet name="Figure 4 data" sheetId="37" r:id="rId27"/>
    <sheet name="Figure 5" sheetId="38" r:id="rId28"/>
    <sheet name="Figure 5 data" sheetId="39" r:id="rId29"/>
    <sheet name="Figure 6" sheetId="53" r:id="rId30"/>
    <sheet name="Figure 6 data" sheetId="52" r:id="rId31"/>
    <sheet name="Figure 7" sheetId="43" r:id="rId32"/>
    <sheet name="Figure 7 data" sheetId="44" r:id="rId33"/>
    <sheet name="Figure 8" sheetId="45" r:id="rId34"/>
    <sheet name="Figure 8 data" sheetId="46" r:id="rId35"/>
  </sheets>
  <definedNames>
    <definedName name="_xlnm._FilterDatabase" localSheetId="26" hidden="1">'Figure 4 data'!#REF!</definedName>
    <definedName name="_Ref105773369">#REF!</definedName>
    <definedName name="Calendar_year_table_4">#REF!</definedName>
    <definedName name="Calendar_year_table_5">#REF!</definedName>
    <definedName name="Financial_year_table_4">#REF!</definedName>
    <definedName name="Financial_year_table_5">#REF!</definedName>
    <definedName name="_xlnm.Print_Area" localSheetId="2">Notes!$A$1:$C$17</definedName>
    <definedName name="Quarterly_table_4">#REF!</definedName>
    <definedName name="Quarterly_table_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9" l="1"/>
  <c r="E6" i="33"/>
  <c r="E7" i="33"/>
  <c r="E8" i="33"/>
  <c r="E9" i="33"/>
  <c r="E10" i="33"/>
  <c r="E11" i="33"/>
  <c r="E12" i="33"/>
  <c r="E13" i="33"/>
  <c r="E14" i="33"/>
  <c r="E15" i="33"/>
  <c r="E16" i="33"/>
  <c r="E17" i="33"/>
  <c r="E18" i="33"/>
  <c r="E19" i="33"/>
  <c r="E20" i="33"/>
  <c r="E21" i="33"/>
  <c r="E22" i="33"/>
  <c r="E23" i="33"/>
  <c r="E24" i="33"/>
  <c r="E25" i="33"/>
  <c r="E26" i="33"/>
  <c r="E27" i="33"/>
  <c r="E28" i="33"/>
  <c r="E29" i="33"/>
  <c r="E30" i="33"/>
  <c r="E31" i="33"/>
  <c r="E32" i="33"/>
  <c r="E33" i="33"/>
  <c r="E34" i="33"/>
  <c r="E35" i="33"/>
  <c r="E36" i="33"/>
  <c r="E37" i="33"/>
  <c r="B7" i="49"/>
  <c r="A3" i="5" l="1"/>
  <c r="D5" i="3" l="1"/>
  <c r="D15" i="3"/>
  <c r="A2" i="53" l="1"/>
  <c r="A3" i="52"/>
  <c r="A2" i="38" l="1"/>
  <c r="A2" i="50"/>
  <c r="A4" i="49"/>
  <c r="A3" i="46" l="1"/>
  <c r="A2" i="45"/>
  <c r="A3" i="44"/>
  <c r="A2" i="43"/>
  <c r="A3" i="39"/>
  <c r="A4" i="37"/>
  <c r="A2" i="36"/>
  <c r="A3" i="35"/>
  <c r="A4" i="33"/>
  <c r="A3" i="27"/>
  <c r="A2" i="26"/>
  <c r="A4" i="17" l="1"/>
  <c r="A3" i="16"/>
  <c r="A4" i="15"/>
  <c r="A3" i="14"/>
  <c r="A4" i="13"/>
  <c r="A4" i="12"/>
  <c r="A4" i="11"/>
  <c r="A4" i="10"/>
  <c r="A4" i="9"/>
  <c r="A3" i="8"/>
  <c r="A3" i="7"/>
  <c r="A4" i="6"/>
  <c r="A3" i="4"/>
  <c r="D16" i="3"/>
  <c r="D14" i="3"/>
  <c r="A18" i="2"/>
  <c r="A17" i="2"/>
  <c r="A16" i="2"/>
  <c r="A15" i="2"/>
  <c r="A14" i="2"/>
  <c r="A13" i="2"/>
  <c r="A12" i="2"/>
  <c r="A11" i="2"/>
  <c r="A10" i="2"/>
  <c r="A9" i="2"/>
  <c r="A8" i="2"/>
  <c r="A7" i="2"/>
  <c r="A6" i="2"/>
  <c r="A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Taylor ACC (Sandy)</author>
  </authors>
  <commentList>
    <comment ref="A5" authorId="0" shapeId="0" xr:uid="{4A0ADE03-B9D1-433F-A9C1-3CC7BB3F5A4C}">
      <text>
        <r>
          <rPr>
            <b/>
            <sz val="9"/>
            <color indexed="81"/>
            <rFont val="Tahoma"/>
            <family val="2"/>
          </rPr>
          <t>Taylor ACC (Sandy):</t>
        </r>
        <r>
          <rPr>
            <sz val="9"/>
            <color indexed="81"/>
            <rFont val="Tahoma"/>
            <family val="2"/>
          </rPr>
          <t xml:space="preserve">
</t>
        </r>
      </text>
    </comment>
  </commentList>
</comments>
</file>

<file path=xl/sharedStrings.xml><?xml version="1.0" encoding="utf-8"?>
<sst xmlns="http://schemas.openxmlformats.org/spreadsheetml/2006/main" count="1581" uniqueCount="346">
  <si>
    <t>Publication date</t>
  </si>
  <si>
    <t>Geographic coverage</t>
  </si>
  <si>
    <t>Scotland and Council areas</t>
  </si>
  <si>
    <t>Source</t>
  </si>
  <si>
    <t>General notes</t>
  </si>
  <si>
    <t>Figures have been rounded to the nearest whole number.
Totals may not equal the sum of their parts as a result of this rounding.</t>
  </si>
  <si>
    <t>Average household sizes are rounded to two decimal places.</t>
  </si>
  <si>
    <t>Methodology</t>
  </si>
  <si>
    <t>Copyright and reproduction</t>
  </si>
  <si>
    <t>Contact Us</t>
  </si>
  <si>
    <t>Please get in touch if you need any further information, or have any suggestions for improvement.</t>
  </si>
  <si>
    <t>View the open government licence at the National Archives (opens a new window)</t>
  </si>
  <si>
    <t>E-mail: statisticscustomerservices@nrscotland.gov.uk</t>
  </si>
  <si>
    <t>For media enquiries, please contact communications@nrscotland.gov.uk</t>
  </si>
  <si>
    <t>Table of Contents</t>
  </si>
  <si>
    <t>Contents of this spreadsheet and links to each worksheet.</t>
  </si>
  <si>
    <t>This worksheet contains one table.</t>
  </si>
  <si>
    <t>Worksheet Name</t>
  </si>
  <si>
    <t>Worksheet Title</t>
  </si>
  <si>
    <t>Notes related to the data in this spreadsheet</t>
  </si>
  <si>
    <t>This worksheet contains one table</t>
  </si>
  <si>
    <t>Note number</t>
  </si>
  <si>
    <t>Note text</t>
  </si>
  <si>
    <t>Related tables</t>
  </si>
  <si>
    <t>Link for more information</t>
  </si>
  <si>
    <t>[Note 1]</t>
  </si>
  <si>
    <t>[Note 2]</t>
  </si>
  <si>
    <t>Table 1</t>
  </si>
  <si>
    <t>[Note 3]</t>
  </si>
  <si>
    <t>[Note 4]</t>
  </si>
  <si>
    <t>[Note 5]</t>
  </si>
  <si>
    <t>Table 3</t>
  </si>
  <si>
    <t>[Note 6]</t>
  </si>
  <si>
    <t>[Note 7]</t>
  </si>
  <si>
    <t>Table 5</t>
  </si>
  <si>
    <t>[Note 8]</t>
  </si>
  <si>
    <t>Second home figures were not available for Aberdeen City (2017), City of Edinburgh (2017) and West Dunbartonshire (2017-2019). The corresponding 2016 totals were used instead.</t>
  </si>
  <si>
    <t>[Note 10]</t>
  </si>
  <si>
    <t>Table 6c</t>
  </si>
  <si>
    <t>[Note 11]</t>
  </si>
  <si>
    <t>Table 7</t>
  </si>
  <si>
    <t>[Note 12]</t>
  </si>
  <si>
    <t>Table 8, Table 10, Table 12</t>
  </si>
  <si>
    <t>[Note 13]</t>
  </si>
  <si>
    <t>Each dwelling is placed in one of eight council tax bands (A to H), with dwellings in band H being the most expensive.</t>
  </si>
  <si>
    <t>Table 11, Table 12</t>
  </si>
  <si>
    <t>This worksheet contains one table. Some cells refer to notes which are explained on the notes worksheet.</t>
  </si>
  <si>
    <t>Area Name</t>
  </si>
  <si>
    <t>Area code</t>
  </si>
  <si>
    <t>Area type</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</si>
  <si>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</si>
  <si>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</si>
  <si>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</si>
  <si>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</si>
  <si>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</si>
  <si>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</si>
  <si>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</si>
  <si>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</si>
  <si>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</si>
  <si>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</si>
  <si>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</si>
  <si>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</si>
  <si>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</si>
  <si>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</si>
  <si>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</si>
  <si>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</si>
  <si>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</si>
  <si>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</si>
  <si>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</si>
  <si>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</si>
  <si>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</si>
  <si>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</si>
  <si>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</si>
  <si>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Scotland</t>
  </si>
  <si>
    <t>S92000003</t>
  </si>
  <si>
    <t>Country</t>
  </si>
  <si>
    <t>Aberdeen City [Note 4]</t>
  </si>
  <si>
    <t>S12000033</t>
  </si>
  <si>
    <t>Council area</t>
  </si>
  <si>
    <t>Aberdeenshire</t>
  </si>
  <si>
    <t>S12000034</t>
  </si>
  <si>
    <t>Angus</t>
  </si>
  <si>
    <t>S12000041</t>
  </si>
  <si>
    <t>Argyll and Bute</t>
  </si>
  <si>
    <t>S12000035</t>
  </si>
  <si>
    <t>City of Edinburgh [Note 4]</t>
  </si>
  <si>
    <t>S12000036</t>
  </si>
  <si>
    <t>Clackmannanshire</t>
  </si>
  <si>
    <t>S12000005</t>
  </si>
  <si>
    <t>Dumfries and Galloway</t>
  </si>
  <si>
    <t>S12000006</t>
  </si>
  <si>
    <t>Dundee City</t>
  </si>
  <si>
    <t>S12000042</t>
  </si>
  <si>
    <t>East Ayrshire</t>
  </si>
  <si>
    <t>S12000008</t>
  </si>
  <si>
    <t>East Dunbartonshire</t>
  </si>
  <si>
    <t>S12000045</t>
  </si>
  <si>
    <t>East Lothian</t>
  </si>
  <si>
    <t>S12000010</t>
  </si>
  <si>
    <t>East Renfrewshire</t>
  </si>
  <si>
    <t>S12000011</t>
  </si>
  <si>
    <t>Falkirk</t>
  </si>
  <si>
    <t>S12000014</t>
  </si>
  <si>
    <t>Fife</t>
  </si>
  <si>
    <t>S12000047</t>
  </si>
  <si>
    <t>Glasgow City [Note 4]</t>
  </si>
  <si>
    <t>S12000049</t>
  </si>
  <si>
    <t>Highland</t>
  </si>
  <si>
    <t>S12000017</t>
  </si>
  <si>
    <t>Inverclyde</t>
  </si>
  <si>
    <t>S12000018</t>
  </si>
  <si>
    <t>Midlothian</t>
  </si>
  <si>
    <t>S12000019</t>
  </si>
  <si>
    <t>Moray</t>
  </si>
  <si>
    <t>S12000020</t>
  </si>
  <si>
    <t>Na h-Eileanan Siar</t>
  </si>
  <si>
    <t>S12000013</t>
  </si>
  <si>
    <t>North Ayrshire</t>
  </si>
  <si>
    <t>S12000021</t>
  </si>
  <si>
    <t>North Lanarkshire</t>
  </si>
  <si>
    <t>S12000050</t>
  </si>
  <si>
    <t>Orkney Islands</t>
  </si>
  <si>
    <t>S12000023</t>
  </si>
  <si>
    <t>Perth and Kinross</t>
  </si>
  <si>
    <t>S12000048</t>
  </si>
  <si>
    <t>Renfrewshire</t>
  </si>
  <si>
    <t>S12000038</t>
  </si>
  <si>
    <t>Scottish Borders</t>
  </si>
  <si>
    <t>S12000026</t>
  </si>
  <si>
    <t>Shetland Islands</t>
  </si>
  <si>
    <t>S12000027</t>
  </si>
  <si>
    <t>South Ayrshire</t>
  </si>
  <si>
    <t>S12000028</t>
  </si>
  <si>
    <t>South Lanarkshire</t>
  </si>
  <si>
    <t>S12000029</t>
  </si>
  <si>
    <t>Stirling</t>
  </si>
  <si>
    <t>S12000030</t>
  </si>
  <si>
    <t>West Dunbartonshire</t>
  </si>
  <si>
    <t>S12000039</t>
  </si>
  <si>
    <t>West Lothian</t>
  </si>
  <si>
    <t>S12000040</t>
  </si>
  <si>
    <t>Aberdeen City</t>
  </si>
  <si>
    <t>City of Edinburgh</t>
  </si>
  <si>
    <t>Glasgow City</t>
  </si>
  <si>
    <t>Total number of dwellings</t>
  </si>
  <si>
    <t>Occupied dwellings</t>
  </si>
  <si>
    <t>Vacant dwellings</t>
  </si>
  <si>
    <t>Dwellings with 'unoccupied exemptions'</t>
  </si>
  <si>
    <t>Long-term empty dwellings</t>
  </si>
  <si>
    <t>Second homes</t>
  </si>
  <si>
    <t>Dwellings with a single adult discount</t>
  </si>
  <si>
    <t>Dwellings with 'occupied exemptions'</t>
  </si>
  <si>
    <t>Occupied dwellings
%</t>
  </si>
  <si>
    <t>Vacant dwellings
%</t>
  </si>
  <si>
    <t>Dwellings with 'unoccupied exemptions'
%</t>
  </si>
  <si>
    <t>Long-term empty dwellings
%</t>
  </si>
  <si>
    <t>Second homes
%</t>
  </si>
  <si>
    <t>Dwellings with a single adult discount
%</t>
  </si>
  <si>
    <t>Dwellings with 'occupied exemptions'
%</t>
  </si>
  <si>
    <t>Aberdeen City [Note 8]</t>
  </si>
  <si>
    <t>City of Edinburgh [Note 8]</t>
  </si>
  <si>
    <t>Clackmannanshire [Note 9]</t>
  </si>
  <si>
    <t>East Renfrewshire [Note 9]</t>
  </si>
  <si>
    <t>Renfrewshire [Note 9]</t>
  </si>
  <si>
    <t>West Dunbartonshire [Note 8]</t>
  </si>
  <si>
    <t>Includes dwellings which are unoccupied because they are new dwellings not yet occupied, are undergoing repair or awaiting demolition, or where the previous owner has died.</t>
  </si>
  <si>
    <t>Includes properties that are unfurnished and unoccupied for six months or more, other than the categories of unoccupied exemptions included in Table 6b.</t>
  </si>
  <si>
    <t>Source: Scottish Household Survey (SHS) and NRS Household estimates.</t>
  </si>
  <si>
    <t>Number of households (thousands)</t>
  </si>
  <si>
    <t>One person household</t>
  </si>
  <si>
    <t>1 adult male</t>
  </si>
  <si>
    <t>1 adult female</t>
  </si>
  <si>
    <t>Two person households</t>
  </si>
  <si>
    <t>2 adults</t>
  </si>
  <si>
    <t>1 adult 1 child</t>
  </si>
  <si>
    <t>Three or more person households</t>
  </si>
  <si>
    <t>1 adult 2 or more children</t>
  </si>
  <si>
    <t>2 or more adults 1 or more children</t>
  </si>
  <si>
    <t>3 or more adults</t>
  </si>
  <si>
    <t>All households</t>
  </si>
  <si>
    <t>Band A-C dwellings
%</t>
  </si>
  <si>
    <t>Band D-E dwellings
%</t>
  </si>
  <si>
    <t>Band F-H dwellings
%</t>
  </si>
  <si>
    <t>Dwellings per hectare</t>
  </si>
  <si>
    <t>Urban Rural 2020 6-fold area</t>
  </si>
  <si>
    <t>Unoccupied dwellings exempt from paying Council Tax
%</t>
  </si>
  <si>
    <t>Occupied dwellings exempt from paying Council Tax
%</t>
  </si>
  <si>
    <t>Dwellings with a 'single adult' Council Tax discount
%</t>
  </si>
  <si>
    <t>Large Urban Areas</t>
  </si>
  <si>
    <t>Other Urban Areas</t>
  </si>
  <si>
    <t>Accessible Small Towns</t>
  </si>
  <si>
    <t>Remote Small Towns</t>
  </si>
  <si>
    <t>Accessible Rural</t>
  </si>
  <si>
    <t>Remote Rural</t>
  </si>
  <si>
    <t>UR6_Code</t>
  </si>
  <si>
    <t>2020 SIMD decile</t>
  </si>
  <si>
    <t>1 = most deprived</t>
  </si>
  <si>
    <t>2</t>
  </si>
  <si>
    <t>3</t>
  </si>
  <si>
    <t>4</t>
  </si>
  <si>
    <t>5</t>
  </si>
  <si>
    <t>6</t>
  </si>
  <si>
    <t>7</t>
  </si>
  <si>
    <t>8</t>
  </si>
  <si>
    <t>9</t>
  </si>
  <si>
    <t>10 = least deprived</t>
  </si>
  <si>
    <t>2024</t>
  </si>
  <si>
    <t>Year</t>
  </si>
  <si>
    <t>Council</t>
  </si>
  <si>
    <t>Mid-year population estimates were not available at the moment of the publication. The 2023 values were used instead.</t>
  </si>
  <si>
    <t>Source: Dwelling characteristics - 2024 Dwelling Estimates from the Assessors' Portal; Areas in hectares - National Records of Scotland in-house estimates.</t>
  </si>
  <si>
    <t>Households
% change</t>
  </si>
  <si>
    <t>Figure 1b: The percentage increase in household numbers in the last 20 years  has been greater than the population growth</t>
  </si>
  <si>
    <t>Data for figure 1b: The percentage increase in household numbers in the last 20 years  has been greater than the population growth</t>
  </si>
  <si>
    <t>Source for population: National Records of Scotland Mid-Year (MYE) Population Estimates.</t>
  </si>
  <si>
    <t>Changes to:</t>
  </si>
  <si>
    <t>percentage change</t>
  </si>
  <si>
    <t>Back to contents</t>
  </si>
  <si>
    <t>Value used for plotting the scatter plot</t>
  </si>
  <si>
    <t xml:space="preserve">This worksheet contains one table. </t>
  </si>
  <si>
    <t>Dwellings that are:</t>
  </si>
  <si>
    <t>Number of dwellings (thousand)</t>
  </si>
  <si>
    <t xml:space="preserve">Long-term empty  </t>
  </si>
  <si>
    <t xml:space="preserve">With 'unoccupied exemptions' </t>
  </si>
  <si>
    <t xml:space="preserve">Second homes </t>
  </si>
  <si>
    <t>Source for new build completions: Housing Statistics for Scotland</t>
  </si>
  <si>
    <t>Increase in dwellings</t>
  </si>
  <si>
    <t>New build completions</t>
  </si>
  <si>
    <t>This worksheet contains three tables separated by one blank column.</t>
  </si>
  <si>
    <t>Vacant dwellings (%)</t>
  </si>
  <si>
    <t>Long-term empty dwellings (%)</t>
  </si>
  <si>
    <t>Second homes (%)</t>
  </si>
  <si>
    <t xml:space="preserve"> </t>
  </si>
  <si>
    <t>Proportion of dwellings:</t>
  </si>
  <si>
    <t>1 = most deprived SIMD decile</t>
  </si>
  <si>
    <t>10 = least deprived SIMD decile</t>
  </si>
  <si>
    <t>In bands A to C (%)</t>
  </si>
  <si>
    <t>With a 'single adult' Council Tax discount (%)</t>
  </si>
  <si>
    <t>Figure 1a</t>
  </si>
  <si>
    <t>Figure 1a data</t>
  </si>
  <si>
    <t>Figure 1b</t>
  </si>
  <si>
    <t>Figure 1b data</t>
  </si>
  <si>
    <t>Figure 2</t>
  </si>
  <si>
    <t>Figure 2 data</t>
  </si>
  <si>
    <t>Figure 3</t>
  </si>
  <si>
    <t>Figure 3 data</t>
  </si>
  <si>
    <t>Figure 4</t>
  </si>
  <si>
    <t>Figure 4 data</t>
  </si>
  <si>
    <t>Figure 5</t>
  </si>
  <si>
    <t>Figure 5 data</t>
  </si>
  <si>
    <t>Figure 6</t>
  </si>
  <si>
    <t>Figure 6 data</t>
  </si>
  <si>
    <t>Figure 7</t>
  </si>
  <si>
    <t>Figure 8</t>
  </si>
  <si>
    <t>Figure 8 data</t>
  </si>
  <si>
    <t xml:space="preserve">Data for figure 2: There has been a bigger percentage increase in households than in population in each council </t>
  </si>
  <si>
    <t xml:space="preserve">Figure 2: There has been a bigger percentage increase in households than in population in each council </t>
  </si>
  <si>
    <t>Figure 7: The proportion of vacant dwellings is generally smaller in the less deprived SIMD deciles while more deprived areas have lower proportion of second homes</t>
  </si>
  <si>
    <t>Data for figure 7: The proportion of vacant dwellings is generally smaller in the less deprived SIMD deciles while more deprived areas have lower proportion of second homes</t>
  </si>
  <si>
    <t>Figure 7 data</t>
  </si>
  <si>
    <t xml:space="preserve">This worksheet contains one table. Data based on Scottish Government 6-fold Urban Rural Classification 2020. </t>
  </si>
  <si>
    <t>Average household sizes will differ from estimates published in Scotlands Census 2001, 2011 and 2022, as the rates are calculated based on mid-year estimates at June of each year, not at census day.</t>
  </si>
  <si>
    <t>Scottish Household data for 2020 and 2021 are not directly comparable to SHS results for previous years (2019 and earlier). Typically SHS respondents are interviewed face-to-face. In March 2020 the fieldwork approach was altered as a response to the Covid pandemic. This resulted in the majority of the 2020 survey fieldwork, and all of the 2021 survey fieldwork, being carried out using telephone interviewing.</t>
  </si>
  <si>
    <t>Figures for 2001, 2011 and 2022 are based on the number of households recorded in Scotland's Census 2001, 2011 and 2022, and the mid-year population estimates.</t>
  </si>
  <si>
    <t>This table uses the Scottish Index of Multiple Deprivation, 2020 and is based on 2011 Data Zones</t>
  </si>
  <si>
    <t>'Long-term empty' properties nominally relate to those empty for 6 months or more. It was discovered that prior to 2024 some councils had also included within their reported data for this category properties empty for less than 6 months. The number of long-term (6 months or more) empty properties will therefore have been overstated in such instances; however we are not able to quantify the impact of this on published statistics before 2024. The guidance for the September 2024 data collection was strengthened to ensure that councils excluded properties empty for less than 6 months from this category in their data returns.</t>
  </si>
  <si>
    <t>Vacant dwellings are unoccupied properties which are not second homes, and include long-term empty properties and unoccupied exemptions.</t>
  </si>
  <si>
    <t xml:space="preserve">Average household size is calculated in two stages: a) the proportion of the population living in communal establishments is used to remove the people living in communal establishments  (that is not living in households) from the mid-year population estimate to give the number of people living in households for each year; b) the estimated number of people living in households is divided by the mid-year household estimate to give the average household size. Communal establishment population rates for the years 2002 to 2010 are estimated from the rates from Scotland’s Census 2001 and 2011; and for 2012 to 2021 from the rates for Scotland's Census 2011 and 2022. The communal establishment population rates from Scotland’s Census 2022 are used for 2022 onwards. </t>
  </si>
  <si>
    <t>Figures for 2002 onwards are based on the number of occupied dwellings, adjusted from September to June. To get to the estimates for the years 2002 to 2010 adjustments are made by an amount calculated from the differences in 2001 and in 2011 between the number of occupied dwellings and the number of households recorded in the census. Similarly, to get to the estimates for the years 2012 to 2021 adjustments are made by an amount calculated from the differences in 2011 and 2022 between the number of occupied dwellings and the number of households recorded in the census in those years.</t>
  </si>
  <si>
    <t>For Aberdeen City, City of Edinburgh and Glasgow City an adjustment was made in some years to remove additional student halls of residence from the household count. This adjustment affected the estimates for Aberdeen City (2017 to 2021), City of Edinburgh (2014 to 2021) and Glasgow City (2012 to 2021).</t>
  </si>
  <si>
    <t xml:space="preserve">The numbers can fluctuate from year to year within a council area due to changes in the definition of empty and second homes, changes to the charges payable on these types of property, and reviews of vacant and second homes carried out by councils.
In 2013 legislation was introduced to allow councils to increase the Council Tax payable on certain types of long-term empty property. As a result, many councils carried out reviews of properties classed as vacant or second homes, with some being re-classified as occupied. The legislation also changed the definitions of such properties. In addition there were some issues with how properties affected by the charges were recorded. All of this had an impact on the estimated number of households for many council areas, and for Scotland as a whole. This makes it difficult to determine whether changes around that time were a result of real differences or simply reflected the re-classification of properties. Therefore any changes over time in the numbers and percentages of occupied dwellings, vacant dwellings and second homes should be treated with a little caution. </t>
  </si>
  <si>
    <t>Table 1
Table 3
Table 4
Table 5
                              Table 6a
Table 6c
Table 8
                              Table 10</t>
  </si>
  <si>
    <t xml:space="preserve">Household estimates methodology </t>
  </si>
  <si>
    <t>Link to NRS website: Household and Dwellings in Scotland: 2025 (opens a new window)</t>
  </si>
  <si>
    <t>The content of this spreadsheet is © Crown copyright 2026.You may re-use this information (not including logos) free of charge in any format or medium,
under the terms of the Open Government Licence.</t>
  </si>
  <si>
    <t>2025</t>
  </si>
  <si>
    <t>Change 2024-2025
Number</t>
  </si>
  <si>
    <t>Change 2024-2025
%</t>
  </si>
  <si>
    <t>Change 2015-2025
Number</t>
  </si>
  <si>
    <t>Change 2015-2025
%</t>
  </si>
  <si>
    <t>Change 2005-2025
Number</t>
  </si>
  <si>
    <t>Change 2005-2025
%</t>
  </si>
  <si>
    <t>Table 2: Number of dwellings in Scotland by council area, September 2001 to 2025</t>
  </si>
  <si>
    <t>Table 8: Characteristics of dwellings by council area, December 2025 [Note 12]</t>
  </si>
  <si>
    <t>Source: Dwelling characteristics - 2025 Dwelling Estimates from the Assessors' Portal; Areas in hectares - National Records of Scotland in-house estimates.</t>
  </si>
  <si>
    <t xml:space="preserve">Table 10: Occupied and vacant dwellings by Urban Rural classification, December 2025 [Note 12] </t>
  </si>
  <si>
    <t>Table 4: Dwellings by occupancy in each council area, September 2025 [Note 1]</t>
  </si>
  <si>
    <t>Table 7: Household estimates by household type, Scotland, 2001 to 2024 [Note 11]</t>
  </si>
  <si>
    <t>Proportion of total dwellings in 2025
 %</t>
  </si>
  <si>
    <t>Table 5: Second homes in each council area, September 2015 to 2025 [Note 1] [Note 7] [Note 8]</t>
  </si>
  <si>
    <t>Table 6a: Vacant dwellings in each council area, September 2015 to 2025 [Note 1]</t>
  </si>
  <si>
    <t>Table 6b: Unoccupied exemptions in each council area, September 2015 to 2025</t>
  </si>
  <si>
    <t>Table 6c:  Long-term empty homes by council area, September 2015 to 2025 [Note 1] [Note 10]</t>
  </si>
  <si>
    <t>Table 1: Household estimates for Scotland by council area, June 2001 to 2025</t>
  </si>
  <si>
    <t>Table 3: Average household size for Scotland by council area, June 2001 to 2025</t>
  </si>
  <si>
    <t>Table 4: Dwellings by occupancy in each council area, September 2025</t>
  </si>
  <si>
    <t>Table 5: Second homes in each council area, September 2015 to 2025</t>
  </si>
  <si>
    <t>Table 6a: Vacant dwellings in each council area, September 2015 to 2025</t>
  </si>
  <si>
    <t>Table 6c:  Long-term empty homes by council area, September 2015 to 2025</t>
  </si>
  <si>
    <t xml:space="preserve">Table 8: Characteristics of dwellings by council area, December 2025 </t>
  </si>
  <si>
    <t xml:space="preserve">Table 9: Characteristics of dwellings by Urban Rural classification, September 2025 </t>
  </si>
  <si>
    <t>Table 10: Occupied and vacant dwellings by Urban Rural classification, December 2025</t>
  </si>
  <si>
    <t>Table 11: Occupied and vacant dwellings by Scottish Index of Multiple Deprivation (SIMD) decile, September 2025</t>
  </si>
  <si>
    <t>Table 12: Characteristics of dwellings by Scottish Index of Multiple Deprivation (SIMD) decile, December 2025</t>
  </si>
  <si>
    <t>Figure 5: Proportion of dwellings which are vacant, long-term empty or second homes by council area, 2025</t>
  </si>
  <si>
    <t>Data for figure 5: Proportion of dwellings which are vacant, long-term empty or second homes by council area, 2025</t>
  </si>
  <si>
    <t>Figure 6: Accessible rural areas had the biggest change in the percentage of occupied dwellings from 2015 to 2025</t>
  </si>
  <si>
    <t>Data for figure 6: Accessible rural areas had the biggest change in the percentage of occupied dwellings from 2015 to 2025</t>
  </si>
  <si>
    <t>Figure 8: Proportion of dwellings in bands A to C, with a single adult discount and number of dwellings per hectare in the most deprived and least deprived SIMD decile, 2025</t>
  </si>
  <si>
    <t>Data for figure 8: Proportion of dwellings in bands A to C, with a single adult discount and number of dwellings per hectare in the most deprived and least deprived SIMD decile, 2025</t>
  </si>
  <si>
    <t>Households
% change 2005 to 2025</t>
  </si>
  <si>
    <t>Figure 3:  There were around 89,000 long-term empty and dwellings with unoccupied exemptions in Scotland in 2025</t>
  </si>
  <si>
    <r>
      <t>Figure 3:  There were aroun</t>
    </r>
    <r>
      <rPr>
        <sz val="12"/>
        <rFont val="Arial"/>
        <family val="2"/>
      </rPr>
      <t>d 89,000</t>
    </r>
    <r>
      <rPr>
        <sz val="12"/>
        <color rgb="FF000000"/>
        <rFont val="Arial"/>
        <family val="2"/>
      </rPr>
      <t xml:space="preserve"> long-term empty and dwellings with unoccupied exemptions in Scotland in 2025</t>
    </r>
  </si>
  <si>
    <r>
      <t xml:space="preserve">Data for figure 3:  There were around </t>
    </r>
    <r>
      <rPr>
        <sz val="12"/>
        <rFont val="Arial"/>
        <family val="2"/>
      </rPr>
      <t>89,000</t>
    </r>
    <r>
      <rPr>
        <sz val="12"/>
        <color rgb="FF000000"/>
        <rFont val="Arial"/>
        <family val="2"/>
      </rPr>
      <t xml:space="preserve"> long-term empty and dwellings with unoccupied exemptions in Scotland in 2025</t>
    </r>
  </si>
  <si>
    <t>Table 12: Characteristics of dwellings by Scottish Index of Multiple Deprivation (SIMD) decile, December 2025 [Note 12] [Note 13]</t>
  </si>
  <si>
    <t>Table 11: Occupied and vacant dwellings by Scottish Index of Multiple Deprivation (SIMD) decile, September 2025 [Note 13]</t>
  </si>
  <si>
    <t>Percentage change since 2015</t>
  </si>
  <si>
    <t>Population
% change 2005 to 2025</t>
  </si>
  <si>
    <t>Figure 2: There has been a bigger percentage increase in households than in population in each council except Glasgow City and City of Edinburgh</t>
  </si>
  <si>
    <t>Number of occupied dwellings</t>
  </si>
  <si>
    <r>
      <t>Figure 4: The annual (to year ending September) of new build completions in Scotland averaged</t>
    </r>
    <r>
      <rPr>
        <sz val="12"/>
        <color rgb="FFFF0000"/>
        <rFont val="Arial"/>
        <family val="2"/>
      </rPr>
      <t xml:space="preserve"> </t>
    </r>
    <r>
      <rPr>
        <sz val="12"/>
        <rFont val="Arial"/>
        <family val="2"/>
      </rPr>
      <t>19,500</t>
    </r>
    <r>
      <rPr>
        <sz val="12"/>
        <color rgb="FF000000"/>
        <rFont val="Arial"/>
        <family val="2"/>
      </rPr>
      <t xml:space="preserve"> between 2005 and 2025 compared with an average annual increase in dwellings over this period of </t>
    </r>
    <r>
      <rPr>
        <sz val="12"/>
        <color rgb="FFFF0000"/>
        <rFont val="Arial"/>
        <family val="2"/>
      </rPr>
      <t>18,300</t>
    </r>
  </si>
  <si>
    <r>
      <t xml:space="preserve">Data for figure 4: The annual (to year ending September) of new build completions in Scotland averaged </t>
    </r>
    <r>
      <rPr>
        <sz val="12"/>
        <rFont val="Arial"/>
        <family val="2"/>
      </rPr>
      <t>19,500</t>
    </r>
    <r>
      <rPr>
        <sz val="12"/>
        <color rgb="FF000000"/>
        <rFont val="Arial"/>
        <family val="2"/>
      </rPr>
      <t xml:space="preserve"> between 2005 and 2025 compared with an average annual increase in dwellings over this period of </t>
    </r>
    <r>
      <rPr>
        <sz val="12"/>
        <color rgb="FFFF0000"/>
        <rFont val="Arial"/>
        <family val="2"/>
      </rPr>
      <t>18,300</t>
    </r>
  </si>
  <si>
    <r>
      <t xml:space="preserve">Figure 1a: The annual percentage change in households increased to </t>
    </r>
    <r>
      <rPr>
        <sz val="12"/>
        <rFont val="Arial"/>
        <family val="2"/>
      </rPr>
      <t>0.8%</t>
    </r>
    <r>
      <rPr>
        <sz val="12"/>
        <color rgb="FF000000"/>
        <rFont val="Arial"/>
        <family val="2"/>
      </rPr>
      <t xml:space="preserve"> in 2025 </t>
    </r>
  </si>
  <si>
    <r>
      <t>Data for figure 1a: The annual percentage change in households increased to</t>
    </r>
    <r>
      <rPr>
        <sz val="12"/>
        <rFont val="Arial"/>
        <family val="2"/>
      </rPr>
      <t xml:space="preserve"> 0.8% i</t>
    </r>
    <r>
      <rPr>
        <sz val="12"/>
        <color rgb="FF000000"/>
        <rFont val="Arial"/>
        <family val="2"/>
      </rPr>
      <t xml:space="preserve">n 2025 </t>
    </r>
  </si>
  <si>
    <t>Households</t>
  </si>
  <si>
    <t>Population</t>
  </si>
  <si>
    <t>Table 7: Household estimates by household type, Scotland, 2001 to 2024</t>
  </si>
  <si>
    <t>Table 1: Household estimates for Scotland by council area, June 2001 to 2025 [Note 1] [Note 2] [Note 3][Note 4]</t>
  </si>
  <si>
    <t>The overall decrease since 2023 in the number of second homes is likely to be related to the 100% council tax premium (councils can double council tax) on second homes that came into effect in April 2024.</t>
  </si>
  <si>
    <t xml:space="preserve">Figure 1a: The annual percentage change in households increased to 0.7% in 2025 </t>
  </si>
  <si>
    <t xml:space="preserve">Data for figure 1a: The annual percentage change in households increased to 0.7% in 2025 </t>
  </si>
  <si>
    <t>Data for figure 3:  There were around 89,000 long-term empty and dwellings with unoccupied exemptions in Scotland in 2025</t>
  </si>
  <si>
    <t>Households in Scotland 2025</t>
  </si>
  <si>
    <t>This spreadsheet contains the data tables and figures published alongside the National Records of Scotland (NRS)
publication 'Household and Dwellings in Scotland: 2025'.</t>
  </si>
  <si>
    <t>NRS collection of small area data on occupied and vacant dwellings and the Scottish Government's council tax base return.</t>
  </si>
  <si>
    <t xml:space="preserve">The number of occupied dwellings is roughly equivalent to the number of households in an area, which is why we refer to this dataset as ‘Household Estimates’. However, for information on numbers of households in council areas and Scotland, separate mid-year household estimates are available on NRS website. </t>
  </si>
  <si>
    <t>Household estimates are based on two Council Tax data collections carried out each year in September. Council area and Scotland level estimates are produced using data provided by each council to the Scottish Government, using the Council Tax Base form, ‘Ctaxbase’. Data zone level estimates are produced using data provided by each council to NRS at postcode level. Data zone level estimates are constrained so that they sum to the Council Tax Base totals for a council area, unless a council has advised otherwise. For full details of the methods used see the ‘Households and Dwellings in Scotland’ Methodology Guide on the NRS website.</t>
  </si>
  <si>
    <t>These are based on the September occupied dwellings data but are adjusted:
(i) to estimate number of households in June,
(ii) to account for the estimated number of occupied dwellings which contain more than one household, and
(iii) to account for the estimated number of communal establishments which have been included in Council Tax records.
More details can be found in the Methodology Guide for this publication.</t>
  </si>
  <si>
    <t>[Note 14]</t>
  </si>
  <si>
    <t>This publication includes some minor revisions to previously published estimates of average household size for 2012 to 2024 to reflect revisions made to household and population estimates.</t>
  </si>
  <si>
    <t>Table 3: Average household size for Scotland by council area, June 2001 to 2025 [Note 1] [Note 5] [Note 6][Note 14]</t>
  </si>
  <si>
    <t>Data for figure 4: The annual number (to year ending September) of new build completions in Scotland averaged 19,500 between 2005 and 2025 compared with an average annual increase in dwellings over this period of 18,100</t>
  </si>
  <si>
    <t>Figure 4: The annual number (to year ending September) of new build completions in Scotland averaged 19,500 between 2005 and 2025 compared with an average annual increase in dwellings over this period of 18,100</t>
  </si>
  <si>
    <t>Data for figure 2: There has been a bigger percentage increase in households than in population in each council except Glasgow City and City of Edinburgh</t>
  </si>
  <si>
    <t>Figure 7: The proportion of vacant dwellings is generally smaller in the less deprived areas while more deprived areas have lower proportion of second homes</t>
  </si>
  <si>
    <t>Data for figure 7: The proportion of vacant dwellings is generally smaller in the less deprived areas while more deprived areas have lower proportion of second homes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</si>
</sst>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0.0"/>
    <numFmt numFmtId="166" formatCode="##0.00"/>
    <numFmt numFmtId="167" formatCode="#,##0.0"/>
    <numFmt numFmtId="168" formatCode="0.0"/>
    <numFmt numFmtId="169" formatCode="_-* #,##0_-;\-* #,##0_-;_-* &quot;-&quot;??_-;_-@_-"/>
    <numFmt numFmtId="170" formatCode="0.0%"/>
  </numFmts>
  <fonts count="33" x14ac:knownFonts="1">
    <font>
      <sz val="12"/>
      <color rgb="FF000000"/>
      <name val="Arial"/>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6"/>
      <color rgb="FF000000"/>
      <name val="Arial"/>
      <family val="2"/>
    </font>
    <font>
      <b/>
      <sz val="14"/>
      <color rgb="FF000000"/>
      <name val="Arial"/>
      <family val="2"/>
    </font>
    <font>
      <u/>
      <sz val="12"/>
      <color theme="10"/>
      <name val="Arial"/>
      <family val="2"/>
    </font>
    <font>
      <b/>
      <sz val="12"/>
      <color rgb="FF000000"/>
      <name val="Arial"/>
      <family val="2"/>
    </font>
    <font>
      <u/>
      <sz val="12"/>
      <color rgb="FF0000FF"/>
      <name val="Arial"/>
      <family val="2"/>
    </font>
    <font>
      <sz val="12"/>
      <color rgb="FF000000"/>
      <name val="Arial"/>
      <family val="2"/>
    </font>
    <font>
      <sz val="8"/>
      <name val="Arial"/>
      <family val="2"/>
    </font>
    <font>
      <sz val="12"/>
      <color rgb="FF000000"/>
      <name val="Arial"/>
      <family val="2"/>
    </font>
    <font>
      <sz val="8"/>
      <name val="Arial"/>
      <family val="2"/>
    </font>
    <font>
      <b/>
      <u/>
      <sz val="12"/>
      <color theme="10"/>
      <name val="Arial"/>
      <family val="2"/>
    </font>
    <font>
      <b/>
      <sz val="12"/>
      <color theme="1"/>
      <name val="Arial"/>
      <family val="2"/>
    </font>
    <font>
      <b/>
      <sz val="12"/>
      <name val="Arial"/>
      <family val="2"/>
    </font>
    <font>
      <sz val="12"/>
      <color theme="1"/>
      <name val="Arial"/>
      <family val="2"/>
    </font>
    <font>
      <sz val="12"/>
      <name val="Arial"/>
      <family val="2"/>
    </font>
    <font>
      <b/>
      <sz val="16"/>
      <name val="Arial"/>
      <family val="2"/>
    </font>
    <font>
      <u/>
      <sz val="12"/>
      <color rgb="FF0563C1"/>
      <name val="Arial"/>
      <family val="2"/>
    </font>
    <font>
      <b/>
      <sz val="12"/>
      <color theme="0"/>
      <name val="Arial"/>
      <family val="2"/>
    </font>
    <font>
      <sz val="12"/>
      <color theme="0"/>
      <name val="Arial"/>
      <family val="2"/>
    </font>
    <font>
      <sz val="14"/>
      <color rgb="FF000000"/>
      <name val="Arial"/>
      <family val="2"/>
    </font>
    <font>
      <u/>
      <sz val="12"/>
      <color theme="10"/>
      <name val="Arial"/>
      <family val="2"/>
    </font>
    <font>
      <sz val="8"/>
      <name val="Arial"/>
      <family val="2"/>
    </font>
    <font>
      <sz val="9"/>
      <color indexed="81"/>
      <name val="Tahoma"/>
      <family val="2"/>
    </font>
    <font>
      <b/>
      <sz val="9"/>
      <color indexed="81"/>
      <name val="Tahoma"/>
      <family val="2"/>
    </font>
    <font>
      <sz val="12"/>
      <color rgb="FFFF0000"/>
      <name val="Arial"/>
      <family val="2"/>
    </font>
    <font>
      <sz val="8"/>
      <name val="Arial"/>
      <family val="2"/>
    </font>
    <font>
      <u/>
      <sz val="8"/>
      <color indexed="12"/>
      <name val="Arial"/>
      <family val="2"/>
    </font>
    <font>
      <u/>
      <sz val="12"/>
      <name val="Arial"/>
      <family val="2"/>
    </font>
    <font>
      <sz val="12"/>
      <color rgb="FF00000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rgb="FF000000"/>
      </top>
      <bottom style="thin">
        <color rgb="FF000000"/>
      </bottom>
      <diagonal/>
    </border>
    <border>
      <left/>
      <right/>
      <top style="thin">
        <color indexed="64"/>
      </top>
      <bottom style="thin">
        <color indexed="64"/>
      </bottom>
      <diagonal/>
    </border>
  </borders>
  <cellStyleXfs count="23">
    <xf numFmtId="0" fontId="0" fillId="0" borderId="0"/>
    <xf numFmtId="0" fontId="4" fillId="0" borderId="0"/>
    <xf numFmtId="0" fontId="3" fillId="0" borderId="0"/>
    <xf numFmtId="0" fontId="3" fillId="0" borderId="0"/>
    <xf numFmtId="0" fontId="2" fillId="0" borderId="0"/>
    <xf numFmtId="0" fontId="19" fillId="0" borderId="0" applyNumberFormat="0" applyAlignment="0" applyProtection="0"/>
    <xf numFmtId="0" fontId="10" fillId="0" borderId="0"/>
    <xf numFmtId="0" fontId="20" fillId="0" borderId="0" applyNumberFormat="0" applyFill="0" applyBorder="0" applyAlignment="0" applyProtection="0"/>
    <xf numFmtId="0" fontId="18" fillId="0" borderId="0"/>
    <xf numFmtId="0" fontId="10" fillId="0" borderId="0"/>
    <xf numFmtId="0" fontId="11" fillId="0" borderId="0"/>
    <xf numFmtId="164" fontId="10" fillId="0" borderId="0" applyFont="0" applyFill="0" applyBorder="0" applyAlignment="0" applyProtection="0"/>
    <xf numFmtId="0" fontId="7" fillId="0" borderId="0" applyNumberFormat="0" applyFill="0" applyBorder="0" applyAlignment="0" applyProtection="0"/>
    <xf numFmtId="9" fontId="10" fillId="0" borderId="0" applyFont="0" applyFill="0" applyBorder="0" applyAlignment="0" applyProtection="0"/>
    <xf numFmtId="164" fontId="10" fillId="0" borderId="0" applyFont="0" applyFill="0" applyBorder="0" applyAlignment="0" applyProtection="0"/>
    <xf numFmtId="0" fontId="10" fillId="0" borderId="0"/>
    <xf numFmtId="0" fontId="24" fillId="0" borderId="0" applyNumberFormat="0" applyFill="0" applyBorder="0" applyAlignment="0" applyProtection="0"/>
    <xf numFmtId="0" fontId="29" fillId="0" borderId="0"/>
    <xf numFmtId="0" fontId="30" fillId="0" borderId="0" applyNumberFormat="0" applyFill="0" applyBorder="0" applyAlignment="0" applyProtection="0">
      <alignment vertical="top"/>
      <protection locked="0"/>
    </xf>
    <xf numFmtId="164" fontId="11" fillId="0" borderId="0" applyFont="0" applyFill="0" applyBorder="0" applyAlignment="0" applyProtection="0"/>
    <xf numFmtId="9" fontId="11"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cellStyleXfs>
  <cellXfs count="124">
    <xf numFmtId="0" fontId="0" fillId="0" borderId="0" xfId="0"/>
    <xf numFmtId="0" fontId="5" fillId="0" borderId="0" xfId="0" applyFont="1"/>
    <xf numFmtId="0" fontId="6" fillId="0" borderId="0" xfId="0" applyFont="1"/>
    <xf numFmtId="0" fontId="0" fillId="0" borderId="0" xfId="0" applyAlignment="1">
      <alignment horizontal="left" wrapText="1"/>
    </xf>
    <xf numFmtId="0" fontId="6" fillId="0" borderId="0" xfId="0" applyFont="1" applyAlignment="1">
      <alignment horizontal="left" wrapText="1"/>
    </xf>
    <xf numFmtId="0" fontId="7" fillId="0" borderId="0" xfId="0" applyFont="1"/>
    <xf numFmtId="0" fontId="7" fillId="0" borderId="0" xfId="0" applyFont="1" applyAlignment="1">
      <alignment horizontal="left" wrapText="1"/>
    </xf>
    <xf numFmtId="0" fontId="8" fillId="0" borderId="0" xfId="0" applyFont="1"/>
    <xf numFmtId="0" fontId="9" fillId="0" borderId="0" xfId="0" applyFont="1"/>
    <xf numFmtId="0" fontId="8" fillId="0" borderId="0" xfId="0" applyFont="1" applyAlignment="1">
      <alignment wrapText="1"/>
    </xf>
    <xf numFmtId="0" fontId="0" fillId="0" borderId="0" xfId="0" applyAlignment="1">
      <alignment wrapText="1"/>
    </xf>
    <xf numFmtId="0" fontId="8" fillId="0" borderId="1" xfId="0" applyFont="1" applyBorder="1" applyAlignment="1">
      <alignment horizontal="left" vertical="top" wrapText="1"/>
    </xf>
    <xf numFmtId="0" fontId="8" fillId="0" borderId="1" xfId="0" applyFont="1" applyBorder="1" applyAlignment="1">
      <alignment horizontal="right" vertical="top" wrapText="1"/>
    </xf>
    <xf numFmtId="3" fontId="0" fillId="0" borderId="0" xfId="0" applyNumberFormat="1" applyAlignment="1">
      <alignment horizontal="left" wrapText="1"/>
    </xf>
    <xf numFmtId="3" fontId="0" fillId="0" borderId="0" xfId="0" applyNumberFormat="1" applyAlignment="1">
      <alignment horizontal="right" wrapText="1"/>
    </xf>
    <xf numFmtId="3" fontId="0" fillId="0" borderId="0" xfId="0" applyNumberFormat="1"/>
    <xf numFmtId="165" fontId="0" fillId="0" borderId="0" xfId="0" applyNumberFormat="1" applyAlignment="1">
      <alignment horizontal="right" wrapText="1"/>
    </xf>
    <xf numFmtId="165" fontId="0" fillId="0" borderId="0" xfId="0" applyNumberFormat="1"/>
    <xf numFmtId="0" fontId="8" fillId="0" borderId="0" xfId="0" applyFont="1" applyAlignment="1">
      <alignment horizontal="left" vertical="center" wrapText="1"/>
    </xf>
    <xf numFmtId="3" fontId="8" fillId="0" borderId="0" xfId="0" applyNumberFormat="1" applyFont="1" applyAlignment="1">
      <alignment horizontal="left" vertical="center" wrapText="1"/>
    </xf>
    <xf numFmtId="3" fontId="8" fillId="0" borderId="0" xfId="0" applyNumberFormat="1" applyFont="1" applyAlignment="1">
      <alignment horizontal="right" vertical="center" wrapText="1"/>
    </xf>
    <xf numFmtId="165" fontId="8" fillId="0" borderId="0" xfId="0" applyNumberFormat="1" applyFont="1" applyAlignment="1">
      <alignment horizontal="right" vertical="center" wrapText="1"/>
    </xf>
    <xf numFmtId="166" fontId="0" fillId="0" borderId="0" xfId="0" applyNumberFormat="1" applyAlignment="1">
      <alignment horizontal="right" wrapText="1"/>
    </xf>
    <xf numFmtId="166" fontId="0" fillId="0" borderId="0" xfId="0" applyNumberFormat="1"/>
    <xf numFmtId="166" fontId="8" fillId="0" borderId="0" xfId="0" applyNumberFormat="1" applyFont="1" applyAlignment="1">
      <alignment horizontal="right" vertical="center" wrapText="1"/>
    </xf>
    <xf numFmtId="3" fontId="8" fillId="0" borderId="1" xfId="0" applyNumberFormat="1" applyFont="1" applyBorder="1" applyAlignment="1">
      <alignment horizontal="left" vertical="top" wrapText="1"/>
    </xf>
    <xf numFmtId="3" fontId="8" fillId="0" borderId="1" xfId="0" applyNumberFormat="1" applyFont="1" applyBorder="1" applyAlignment="1">
      <alignment horizontal="right" vertical="top" wrapText="1"/>
    </xf>
    <xf numFmtId="3" fontId="0" fillId="0" borderId="0" xfId="0" applyNumberFormat="1" applyAlignment="1">
      <alignment horizontal="left" wrapText="1" indent="1"/>
    </xf>
    <xf numFmtId="3" fontId="12" fillId="0" borderId="0" xfId="0" applyNumberFormat="1" applyFont="1" applyAlignment="1">
      <alignment horizontal="right" vertical="center" wrapText="1"/>
    </xf>
    <xf numFmtId="165" fontId="12" fillId="0" borderId="0" xfId="0" applyNumberFormat="1" applyFont="1" applyAlignment="1">
      <alignment horizontal="right" vertical="center" wrapText="1"/>
    </xf>
    <xf numFmtId="167" fontId="0" fillId="0" borderId="0" xfId="0" applyNumberFormat="1"/>
    <xf numFmtId="0" fontId="14" fillId="0" borderId="0" xfId="0" applyFont="1"/>
    <xf numFmtId="0" fontId="0" fillId="0" borderId="0" xfId="0" applyAlignment="1">
      <alignment horizontal="left"/>
    </xf>
    <xf numFmtId="0" fontId="10" fillId="0" borderId="0" xfId="0" applyFont="1"/>
    <xf numFmtId="14" fontId="0" fillId="0" borderId="0" xfId="0" applyNumberFormat="1" applyAlignment="1">
      <alignment horizontal="left"/>
    </xf>
    <xf numFmtId="165" fontId="8" fillId="0" borderId="0" xfId="0" applyNumberFormat="1" applyFont="1" applyAlignment="1">
      <alignment horizontal="right" wrapText="1"/>
    </xf>
    <xf numFmtId="0" fontId="8" fillId="0" borderId="1" xfId="0" applyFont="1" applyBorder="1" applyAlignment="1">
      <alignment horizontal="left" vertical="top"/>
    </xf>
    <xf numFmtId="3" fontId="0" fillId="0" borderId="0" xfId="0" applyNumberFormat="1" applyAlignment="1">
      <alignment horizontal="left"/>
    </xf>
    <xf numFmtId="3" fontId="8" fillId="0" borderId="0" xfId="0" applyNumberFormat="1" applyFont="1" applyAlignment="1">
      <alignment horizontal="left"/>
    </xf>
    <xf numFmtId="0" fontId="16" fillId="0" borderId="1" xfId="0" applyFont="1" applyBorder="1" applyAlignment="1">
      <alignment horizontal="right" vertical="top" wrapText="1"/>
    </xf>
    <xf numFmtId="0" fontId="18" fillId="0" borderId="0" xfId="0" applyFont="1"/>
    <xf numFmtId="3" fontId="16" fillId="0" borderId="0" xfId="0" applyNumberFormat="1" applyFont="1" applyAlignment="1">
      <alignment horizontal="right" vertical="center" wrapText="1"/>
    </xf>
    <xf numFmtId="3" fontId="18" fillId="0" borderId="0" xfId="0" applyNumberFormat="1" applyFont="1" applyAlignment="1">
      <alignment horizontal="right" wrapText="1"/>
    </xf>
    <xf numFmtId="3" fontId="18" fillId="0" borderId="0" xfId="0" applyNumberFormat="1" applyFont="1"/>
    <xf numFmtId="0" fontId="10" fillId="0" borderId="0" xfId="6"/>
    <xf numFmtId="0" fontId="20" fillId="0" borderId="0" xfId="7"/>
    <xf numFmtId="0" fontId="19" fillId="0" borderId="0" xfId="5"/>
    <xf numFmtId="0" fontId="18" fillId="0" borderId="0" xfId="8"/>
    <xf numFmtId="0" fontId="10" fillId="0" borderId="0" xfId="8" applyFont="1"/>
    <xf numFmtId="0" fontId="15" fillId="0" borderId="0" xfId="8" applyFont="1" applyAlignment="1">
      <alignment horizontal="left"/>
    </xf>
    <xf numFmtId="0" fontId="15" fillId="0" borderId="0" xfId="8" applyFont="1" applyAlignment="1">
      <alignment horizontal="right" wrapText="1"/>
    </xf>
    <xf numFmtId="0" fontId="17" fillId="0" borderId="0" xfId="8" applyFont="1" applyAlignment="1">
      <alignment horizontal="left"/>
    </xf>
    <xf numFmtId="2" fontId="18" fillId="0" borderId="0" xfId="8" applyNumberFormat="1"/>
    <xf numFmtId="3" fontId="10" fillId="0" borderId="0" xfId="6" applyNumberFormat="1" applyAlignment="1">
      <alignment horizontal="right" vertical="center" wrapText="1"/>
    </xf>
    <xf numFmtId="0" fontId="5" fillId="0" borderId="0" xfId="9" applyFont="1"/>
    <xf numFmtId="0" fontId="10" fillId="0" borderId="0" xfId="9"/>
    <xf numFmtId="0" fontId="7" fillId="0" borderId="0" xfId="9" applyFont="1"/>
    <xf numFmtId="0" fontId="8" fillId="0" borderId="0" xfId="9" applyFont="1" applyAlignment="1">
      <alignment horizontal="left" vertical="top" wrapText="1"/>
    </xf>
    <xf numFmtId="0" fontId="8" fillId="0" borderId="0" xfId="9" applyFont="1" applyAlignment="1">
      <alignment horizontal="right" vertical="top" wrapText="1"/>
    </xf>
    <xf numFmtId="3" fontId="18" fillId="0" borderId="0" xfId="10" applyNumberFormat="1" applyFont="1" applyAlignment="1">
      <alignment horizontal="right"/>
    </xf>
    <xf numFmtId="169" fontId="0" fillId="0" borderId="0" xfId="11" applyNumberFormat="1" applyFont="1"/>
    <xf numFmtId="0" fontId="7" fillId="0" borderId="0" xfId="12"/>
    <xf numFmtId="0" fontId="21" fillId="0" borderId="0" xfId="8" applyFont="1" applyAlignment="1">
      <alignment vertical="top" wrapText="1"/>
    </xf>
    <xf numFmtId="2" fontId="22" fillId="0" borderId="0" xfId="8" applyNumberFormat="1" applyFont="1"/>
    <xf numFmtId="0" fontId="15" fillId="0" borderId="0" xfId="8" applyFont="1" applyAlignment="1">
      <alignment horizontal="left" wrapText="1"/>
    </xf>
    <xf numFmtId="167" fontId="18" fillId="0" borderId="0" xfId="8" applyNumberFormat="1"/>
    <xf numFmtId="0" fontId="19" fillId="0" borderId="0" xfId="5" applyAlignment="1"/>
    <xf numFmtId="0" fontId="23" fillId="0" borderId="0" xfId="8" applyFont="1" applyAlignment="1">
      <alignment vertical="center" readingOrder="1"/>
    </xf>
    <xf numFmtId="169" fontId="17" fillId="0" borderId="0" xfId="14" applyNumberFormat="1" applyFont="1"/>
    <xf numFmtId="3" fontId="18" fillId="0" borderId="0" xfId="8" applyNumberFormat="1"/>
    <xf numFmtId="3" fontId="17" fillId="0" borderId="0" xfId="14" applyNumberFormat="1" applyFont="1"/>
    <xf numFmtId="0" fontId="18" fillId="0" borderId="0" xfId="8" applyAlignment="1">
      <alignment horizontal="left"/>
    </xf>
    <xf numFmtId="0" fontId="8" fillId="0" borderId="0" xfId="9" applyFont="1" applyAlignment="1">
      <alignment wrapText="1"/>
    </xf>
    <xf numFmtId="0" fontId="8" fillId="0" borderId="0" xfId="9" applyFont="1"/>
    <xf numFmtId="165" fontId="10" fillId="0" borderId="0" xfId="0" applyNumberFormat="1" applyFont="1" applyAlignment="1">
      <alignment horizontal="right" vertical="center" wrapText="1"/>
    </xf>
    <xf numFmtId="0" fontId="8" fillId="0" borderId="0" xfId="0" applyFont="1" applyAlignment="1">
      <alignment horizontal="left" vertical="center"/>
    </xf>
    <xf numFmtId="168" fontId="18" fillId="0" borderId="0" xfId="8" applyNumberFormat="1" applyAlignment="1">
      <alignment horizontal="right"/>
    </xf>
    <xf numFmtId="0" fontId="16" fillId="0" borderId="0" xfId="8" applyFont="1" applyAlignment="1">
      <alignment wrapText="1"/>
    </xf>
    <xf numFmtId="168" fontId="16" fillId="0" borderId="0" xfId="8" applyNumberFormat="1" applyFont="1" applyAlignment="1">
      <alignment horizontal="right" wrapText="1"/>
    </xf>
    <xf numFmtId="0" fontId="5" fillId="0" borderId="0" xfId="8" applyFont="1"/>
    <xf numFmtId="0" fontId="8" fillId="0" borderId="0" xfId="0" applyFont="1" applyAlignment="1">
      <alignment vertical="center"/>
    </xf>
    <xf numFmtId="165" fontId="8" fillId="0" borderId="0" xfId="0" applyNumberFormat="1" applyFont="1" applyAlignment="1">
      <alignment vertical="center"/>
    </xf>
    <xf numFmtId="0" fontId="18" fillId="0" borderId="0" xfId="8" applyAlignment="1">
      <alignment vertical="top" wrapText="1"/>
    </xf>
    <xf numFmtId="0" fontId="16" fillId="0" borderId="0" xfId="8" applyFont="1"/>
    <xf numFmtId="0" fontId="8" fillId="0" borderId="0" xfId="15" applyFont="1" applyAlignment="1">
      <alignment wrapText="1"/>
    </xf>
    <xf numFmtId="0" fontId="16" fillId="0" borderId="0" xfId="8" applyFont="1" applyAlignment="1">
      <alignment horizontal="left" wrapText="1" indent="1"/>
    </xf>
    <xf numFmtId="0" fontId="8" fillId="0" borderId="0" xfId="8" applyFont="1" applyAlignment="1">
      <alignment horizontal="left" vertical="top" indent="1"/>
    </xf>
    <xf numFmtId="0" fontId="8" fillId="0" borderId="0" xfId="15" applyFont="1" applyAlignment="1">
      <alignment horizontal="left" wrapText="1"/>
    </xf>
    <xf numFmtId="0" fontId="24" fillId="0" borderId="0" xfId="16"/>
    <xf numFmtId="0" fontId="8" fillId="0" borderId="0" xfId="0" applyFont="1" applyAlignment="1">
      <alignment horizontal="right" vertical="top"/>
    </xf>
    <xf numFmtId="164" fontId="0" fillId="0" borderId="0" xfId="0" applyNumberFormat="1"/>
    <xf numFmtId="3" fontId="8" fillId="0" borderId="0" xfId="0" applyNumberFormat="1" applyFont="1"/>
    <xf numFmtId="166" fontId="8" fillId="0" borderId="0" xfId="0" applyNumberFormat="1" applyFont="1" applyAlignment="1">
      <alignment horizontal="right" wrapText="1"/>
    </xf>
    <xf numFmtId="0" fontId="0" fillId="0" borderId="0" xfId="0"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0" fillId="0" borderId="0" xfId="0" quotePrefix="1" applyFont="1" applyAlignment="1">
      <alignment vertical="top" wrapText="1"/>
    </xf>
    <xf numFmtId="0" fontId="24" fillId="2" borderId="0" xfId="16" applyFill="1"/>
    <xf numFmtId="0" fontId="24" fillId="2" borderId="0" xfId="16" applyFill="1" applyAlignment="1">
      <alignment horizontal="left" wrapText="1"/>
    </xf>
    <xf numFmtId="0" fontId="24" fillId="2" borderId="0" xfId="16" applyFill="1" applyAlignment="1">
      <alignment vertical="top" wrapText="1"/>
    </xf>
    <xf numFmtId="0" fontId="17" fillId="0" borderId="0" xfId="1" applyFont="1" applyAlignment="1">
      <alignment horizontal="left"/>
    </xf>
    <xf numFmtId="0" fontId="17" fillId="0" borderId="0" xfId="1" applyFont="1"/>
    <xf numFmtId="3" fontId="8" fillId="0" borderId="0" xfId="0" applyNumberFormat="1" applyFont="1" applyAlignment="1">
      <alignment horizontal="left" wrapText="1"/>
    </xf>
    <xf numFmtId="0" fontId="1" fillId="0" borderId="0" xfId="1" applyFont="1" applyAlignment="1">
      <alignment horizontal="left"/>
    </xf>
    <xf numFmtId="169" fontId="1" fillId="0" borderId="0" xfId="14" applyNumberFormat="1" applyFont="1"/>
    <xf numFmtId="3" fontId="1" fillId="0" borderId="0" xfId="14" applyNumberFormat="1" applyFont="1"/>
    <xf numFmtId="2" fontId="17" fillId="0" borderId="0" xfId="8" applyNumberFormat="1" applyFont="1"/>
    <xf numFmtId="2" fontId="10" fillId="0" borderId="0" xfId="6" applyNumberFormat="1" applyAlignment="1">
      <alignment horizontal="right" vertical="center" wrapText="1"/>
    </xf>
    <xf numFmtId="0" fontId="18" fillId="0" borderId="0" xfId="9" applyFont="1" applyAlignment="1">
      <alignment horizontal="left" vertical="center" wrapText="1"/>
    </xf>
    <xf numFmtId="165" fontId="18" fillId="0" borderId="0" xfId="0" applyNumberFormat="1" applyFont="1" applyAlignment="1">
      <alignment horizontal="right" vertical="center" wrapText="1"/>
    </xf>
    <xf numFmtId="168" fontId="18" fillId="0" borderId="0" xfId="0" applyNumberFormat="1" applyFont="1"/>
    <xf numFmtId="0" fontId="31" fillId="0" borderId="0" xfId="7" applyFont="1"/>
    <xf numFmtId="0" fontId="16" fillId="0" borderId="0" xfId="8" applyFont="1" applyAlignment="1">
      <alignment vertical="top"/>
    </xf>
    <xf numFmtId="0" fontId="16" fillId="0" borderId="0" xfId="8" applyFont="1" applyAlignment="1">
      <alignment horizontal="right" vertical="top" wrapText="1"/>
    </xf>
    <xf numFmtId="0" fontId="22" fillId="0" borderId="0" xfId="8" applyFont="1"/>
    <xf numFmtId="170" fontId="18" fillId="0" borderId="0" xfId="21" applyNumberFormat="1" applyFont="1"/>
    <xf numFmtId="3" fontId="10" fillId="0" borderId="0" xfId="0" applyNumberFormat="1" applyFont="1"/>
    <xf numFmtId="0" fontId="8" fillId="0" borderId="2" xfId="0" applyFont="1" applyBorder="1" applyAlignment="1">
      <alignment horizontal="right" vertical="top" wrapText="1"/>
    </xf>
    <xf numFmtId="166" fontId="16" fillId="0" borderId="0" xfId="0" applyNumberFormat="1" applyFont="1" applyAlignment="1">
      <alignment horizontal="right" vertical="center" wrapText="1"/>
    </xf>
    <xf numFmtId="3" fontId="10" fillId="0" borderId="0" xfId="0" applyNumberFormat="1" applyFont="1" applyAlignment="1">
      <alignment horizontal="right" vertical="center" wrapText="1"/>
    </xf>
    <xf numFmtId="2" fontId="0" fillId="0" borderId="0" xfId="0" applyNumberFormat="1"/>
    <xf numFmtId="169" fontId="18" fillId="0" borderId="0" xfId="22" applyNumberFormat="1" applyFont="1" applyAlignment="1">
      <alignment horizontal="right"/>
    </xf>
    <xf numFmtId="168" fontId="18" fillId="0" borderId="0" xfId="8" applyNumberFormat="1"/>
    <xf numFmtId="2" fontId="8" fillId="0" borderId="0" xfId="0" applyNumberFormat="1" applyFont="1" applyAlignment="1">
      <alignment horizontal="right" vertical="center"/>
    </xf>
  </cellXfs>
  <cellStyles count="23">
    <cellStyle name="Comma" xfId="22" builtinId="3"/>
    <cellStyle name="Comma 2" xfId="11" xr:uid="{FE15388E-027D-421C-8C4E-B1F95B4F80FA}"/>
    <cellStyle name="Comma 3" xfId="19" xr:uid="{D6D15415-0A15-46DC-96D2-9F22AB8A2321}"/>
    <cellStyle name="Comma 6" xfId="14" xr:uid="{FB015370-7D8D-4B51-84EE-01DA33B0769B}"/>
    <cellStyle name="Heading 1 2" xfId="5" xr:uid="{151CBA5C-A2FF-46A2-9822-B2932CED4297}"/>
    <cellStyle name="Hyperlink" xfId="16" builtinId="8"/>
    <cellStyle name="Hyperlink 2" xfId="7" xr:uid="{0F40E28A-8539-4BCE-AC65-105048FB4D9E}"/>
    <cellStyle name="Hyperlink 3" xfId="12" xr:uid="{BFCD2704-5D35-4C0B-AE7E-1F4BE6511074}"/>
    <cellStyle name="Hyperlink 4" xfId="18" xr:uid="{2FB539DA-BC4D-4D4B-AAB5-DB6E1743AA5E}"/>
    <cellStyle name="Normal" xfId="0" builtinId="0"/>
    <cellStyle name="Normal 2" xfId="1" xr:uid="{00000000-0005-0000-0000-000001000000}"/>
    <cellStyle name="Normal 2 2" xfId="3" xr:uid="{00000000-0005-0000-0000-000002000000}"/>
    <cellStyle name="Normal 2 3" xfId="8" xr:uid="{DEA3D772-B984-4BDA-8680-54E508AD01F5}"/>
    <cellStyle name="Normal 3" xfId="2" xr:uid="{00000000-0005-0000-0000-000003000000}"/>
    <cellStyle name="Normal 3 2" xfId="9" xr:uid="{E7987C21-6F9A-43EF-BA8B-D9C2FAEECD2B}"/>
    <cellStyle name="Normal 4" xfId="4" xr:uid="{00000000-0005-0000-0000-000004000000}"/>
    <cellStyle name="Normal 4 2" xfId="15" xr:uid="{A0F9769B-DCE3-419D-8924-414A0A93607C}"/>
    <cellStyle name="Normal 5" xfId="6" xr:uid="{7BAC8152-7FF1-4C14-A237-12728B0A6981}"/>
    <cellStyle name="Normal 6" xfId="17" xr:uid="{D34876CB-2B69-40B0-B8EC-6DC9A20756A6}"/>
    <cellStyle name="Normal_TABLE4" xfId="10" xr:uid="{63D66818-52C6-4A7D-B4C2-D037D9DC8A2B}"/>
    <cellStyle name="Per cent" xfId="21" builtinId="5"/>
    <cellStyle name="Per cent 2" xfId="13" xr:uid="{19840FDF-B428-46F2-B1CF-138B013E74AB}"/>
    <cellStyle name="Per cent 3" xfId="20" xr:uid="{527DE898-1D94-413F-8518-7BFFCED10CE5}"/>
  </cellStyles>
  <dxfs count="97">
    <dxf>
      <numFmt numFmtId="168" formatCode="0.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dxf>
    <dxf>
      <alignment horizontal="left" vertical="bottom" textRotation="0" wrapText="0" indent="0" justifyLastLine="0" shrinkToFit="0" readingOrder="0"/>
    </dxf>
    <dxf>
      <font>
        <b/>
      </font>
      <alignment horizontal="general"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9" formatCode="_-* #,##0_-;\-* #,##0_-;_-* &quot;-&quot;??_-;_-@_-"/>
    </dxf>
    <dxf>
      <font>
        <b val="0"/>
        <i val="0"/>
        <strike val="0"/>
        <condense val="0"/>
        <extend val="0"/>
        <outline val="0"/>
        <shadow val="0"/>
        <u val="none"/>
        <vertAlign val="baseline"/>
        <sz val="12"/>
        <color theme="1"/>
        <name val="Arial"/>
        <family val="2"/>
        <scheme val="none"/>
      </font>
      <numFmt numFmtId="169" formatCode="_-* #,##0_-;\-* #,##0_-;_-* &quot;-&quot;??_-;_-@_-"/>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2" formatCode="0.00"/>
    </dxf>
    <dxf>
      <font>
        <strike val="0"/>
        <outline val="0"/>
        <shadow val="0"/>
        <u val="none"/>
        <vertAlign val="baseline"/>
        <sz val="12"/>
        <color auto="1"/>
        <name val="Arial"/>
        <family val="2"/>
        <scheme val="none"/>
      </font>
      <numFmt numFmtId="165" formatCode="##0.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vertAlign val="baseline"/>
        <color auto="1"/>
        <name val="Arial"/>
        <family val="2"/>
        <scheme val="none"/>
      </font>
    </dxf>
    <dxf>
      <font>
        <strike val="0"/>
        <outline val="0"/>
        <shadow val="0"/>
        <vertAlign val="baseline"/>
        <color auto="1"/>
        <name val="Arial"/>
        <family val="2"/>
        <scheme val="none"/>
      </font>
    </dxf>
    <dxf>
      <font>
        <b val="0"/>
        <strike val="0"/>
        <outline val="0"/>
        <shadow val="0"/>
        <u val="none"/>
        <vertAlign val="baseline"/>
        <sz val="12"/>
        <color auto="1"/>
        <name val="Arial"/>
        <family val="2"/>
        <scheme val="none"/>
      </font>
      <fill>
        <patternFill patternType="solid">
          <fgColor indexed="64"/>
          <bgColor rgb="FFFFFF00"/>
        </patternFill>
      </fill>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ill>
        <patternFill patternType="none">
          <fgColor indexed="64"/>
          <bgColor auto="1"/>
        </patternFill>
      </fill>
    </dxf>
    <dxf>
      <numFmt numFmtId="165" formatCode="##0.0"/>
      <fill>
        <patternFill patternType="none">
          <fgColor indexed="64"/>
          <bgColor auto="1"/>
        </patternFill>
      </fill>
    </dxf>
    <dxf>
      <alignment horizontal="left" textRotation="0" wrapText="0" indent="0" justifyLastLine="0" shrinkToFit="0" readingOrder="0"/>
    </dxf>
    <dxf>
      <numFmt numFmtId="3" formatCode="#,##0"/>
      <alignment horizontal="right" vertical="bottom" textRotation="0" wrapText="1" indent="0" justifyLastLine="0" shrinkToFit="0" readingOrder="0"/>
    </dxf>
    <dxf>
      <fill>
        <patternFill patternType="none">
          <fgColor indexed="64"/>
          <bgColor auto="1"/>
        </patternFill>
      </fill>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strike val="0"/>
        <outline val="0"/>
        <shadow val="0"/>
        <u val="none"/>
        <vertAlign val="baseline"/>
        <sz val="12"/>
        <color auto="1"/>
        <name val="Arial"/>
        <scheme val="none"/>
      </font>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165" formatCode="##0.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ill>
        <patternFill patternType="none">
          <fgColor indexed="64"/>
          <bgColor auto="1"/>
        </patternFill>
      </fill>
    </dxf>
    <dxf>
      <numFmt numFmtId="166" formatCode="##0.00"/>
      <fill>
        <patternFill patternType="none">
          <fgColor indexed="64"/>
          <bgColor auto="1"/>
        </patternFill>
      </fill>
      <alignment horizontal="right" vertical="bottom" textRotation="0" wrapText="1" indent="0" justifyLastLine="0" shrinkToFit="0" readingOrder="0"/>
    </dxf>
    <dxf>
      <fill>
        <patternFill patternType="none">
          <fgColor indexed="64"/>
          <bgColor auto="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font>
      <numFmt numFmtId="165" formatCode="##0.0"/>
    </dxf>
    <dxf>
      <font>
        <b val="0"/>
      </font>
      <numFmt numFmtId="3" formatCode="#,##0"/>
    </dxf>
    <dxf>
      <font>
        <b val="0"/>
      </font>
      <numFmt numFmtId="165" formatCode="##0.0"/>
    </dxf>
    <dxf>
      <font>
        <b val="0"/>
      </font>
      <numFmt numFmtId="3" formatCode="#,##0"/>
    </dxf>
    <dxf>
      <font>
        <b val="0"/>
      </font>
      <numFmt numFmtId="165" formatCode="##0.0"/>
    </dxf>
    <dxf>
      <font>
        <b val="0"/>
      </font>
      <numFmt numFmtId="3" formatCode="#,##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font>
        <b val="0"/>
        <family val="2"/>
      </font>
      <numFmt numFmtId="165" formatCode="##0.0"/>
      <alignment horizontal="right" vertical="center" textRotation="0" wrapText="1" indent="0" justifyLastLine="0" shrinkToFit="0" readingOrder="0"/>
    </dxf>
    <dxf>
      <font>
        <b val="0"/>
        <family val="2"/>
      </font>
      <numFmt numFmtId="3" formatCode="#,##0"/>
      <alignment horizontal="right" vertical="center" textRotation="0" wrapText="1" indent="0" justifyLastLine="0" shrinkToFit="0" readingOrder="0"/>
    </dxf>
    <dxf>
      <font>
        <b val="0"/>
        <family val="2"/>
      </font>
      <numFmt numFmtId="165" formatCode="##0.0"/>
      <alignment horizontal="right" vertical="center" textRotation="0" wrapText="1" indent="0" justifyLastLine="0" shrinkToFit="0" readingOrder="0"/>
    </dxf>
    <dxf>
      <font>
        <b val="0"/>
        <family val="2"/>
      </font>
      <numFmt numFmtId="3" formatCode="#,##0"/>
      <alignment horizontal="right" vertical="center" textRotation="0" wrapText="1" indent="0" justifyLastLine="0" shrinkToFit="0" readingOrder="0"/>
    </dxf>
    <dxf>
      <font>
        <b val="0"/>
        <family val="2"/>
      </font>
      <numFmt numFmtId="165" formatCode="##0.0"/>
      <alignment horizontal="right" vertical="center" textRotation="0" wrapText="1" indent="0" justifyLastLine="0" shrinkToFit="0" readingOrder="0"/>
    </dxf>
    <dxf>
      <font>
        <b val="0"/>
        <family val="2"/>
      </font>
      <numFmt numFmtId="3" formatCode="#,##0"/>
      <alignment horizontal="right" vertical="center"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610272487689303E-2"/>
          <c:y val="1.7256024815079932E-2"/>
          <c:w val="0.84264433680692674"/>
          <c:h val="0.93227474308658131"/>
        </c:manualLayout>
      </c:layout>
      <c:lineChart>
        <c:grouping val="standard"/>
        <c:varyColors val="0"/>
        <c:ser>
          <c:idx val="2"/>
          <c:order val="0"/>
          <c:tx>
            <c:v>Households</c:v>
          </c:tx>
          <c:spPr>
            <a:ln w="38100" cap="rnd">
              <a:solidFill>
                <a:srgbClr val="6C297F"/>
              </a:solidFill>
              <a:round/>
            </a:ln>
            <a:effectLst/>
          </c:spPr>
          <c:marker>
            <c:symbol val="none"/>
          </c:marker>
          <c:dPt>
            <c:idx val="0"/>
            <c:marker>
              <c:symbol val="circle"/>
              <c:size val="10"/>
              <c:spPr>
                <a:solidFill>
                  <a:srgbClr val="6C297F"/>
                </a:solidFill>
                <a:ln w="28575">
                  <a:solidFill>
                    <a:srgbClr val="6C297F"/>
                  </a:solidFill>
                </a:ln>
                <a:effectLst/>
              </c:spPr>
            </c:marker>
            <c:bubble3D val="0"/>
            <c:extLst>
              <c:ext xmlns:c16="http://schemas.microsoft.com/office/drawing/2014/chart" uri="{C3380CC4-5D6E-409C-BE32-E72D297353CC}">
                <c16:uniqueId val="{00000000-D3DE-4D82-A25D-FF18354E3855}"/>
              </c:ext>
            </c:extLst>
          </c:dPt>
          <c:dPt>
            <c:idx val="10"/>
            <c:marker>
              <c:symbol val="none"/>
            </c:marker>
            <c:bubble3D val="0"/>
            <c:extLst>
              <c:ext xmlns:c16="http://schemas.microsoft.com/office/drawing/2014/chart" uri="{C3380CC4-5D6E-409C-BE32-E72D297353CC}">
                <c16:uniqueId val="{00000001-D3DE-4D82-A25D-FF18354E3855}"/>
              </c:ext>
            </c:extLst>
          </c:dPt>
          <c:dPt>
            <c:idx val="19"/>
            <c:marker>
              <c:symbol val="circle"/>
              <c:size val="10"/>
              <c:spPr>
                <a:solidFill>
                  <a:srgbClr val="7030A0"/>
                </a:solidFill>
                <a:ln w="9525">
                  <a:solidFill>
                    <a:schemeClr val="accent3"/>
                  </a:solidFill>
                </a:ln>
                <a:effectLst/>
              </c:spPr>
            </c:marker>
            <c:bubble3D val="0"/>
            <c:extLst>
              <c:ext xmlns:c16="http://schemas.microsoft.com/office/drawing/2014/chart" uri="{C3380CC4-5D6E-409C-BE32-E72D297353CC}">
                <c16:uniqueId val="{00000004-9E9C-4C75-9EBC-4CA179AD7751}"/>
              </c:ext>
            </c:extLst>
          </c:dPt>
          <c:dPt>
            <c:idx val="20"/>
            <c:marker>
              <c:symbol val="circle"/>
              <c:size val="10"/>
              <c:spPr>
                <a:solidFill>
                  <a:srgbClr val="6C297F"/>
                </a:solidFill>
                <a:ln w="31750">
                  <a:solidFill>
                    <a:srgbClr val="6C297F"/>
                  </a:solidFill>
                </a:ln>
                <a:effectLst/>
              </c:spPr>
            </c:marker>
            <c:bubble3D val="0"/>
            <c:extLst>
              <c:ext xmlns:c16="http://schemas.microsoft.com/office/drawing/2014/chart" uri="{C3380CC4-5D6E-409C-BE32-E72D297353CC}">
                <c16:uniqueId val="{00000002-D3DE-4D82-A25D-FF18354E3855}"/>
              </c:ext>
            </c:extLst>
          </c:dPt>
          <c:dPt>
            <c:idx val="21"/>
            <c:marker>
              <c:symbol val="circle"/>
              <c:size val="10"/>
              <c:spPr>
                <a:solidFill>
                  <a:srgbClr val="6C297F"/>
                </a:solidFill>
                <a:ln w="31750">
                  <a:solidFill>
                    <a:srgbClr val="6C297F"/>
                  </a:solidFill>
                </a:ln>
                <a:effectLst/>
              </c:spPr>
            </c:marker>
            <c:bubble3D val="0"/>
            <c:extLst>
              <c:ext xmlns:c16="http://schemas.microsoft.com/office/drawing/2014/chart" uri="{C3380CC4-5D6E-409C-BE32-E72D297353CC}">
                <c16:uniqueId val="{00000003-D3DE-4D82-A25D-FF18354E3855}"/>
              </c:ext>
            </c:extLst>
          </c:dPt>
          <c:dLbls>
            <c:dLbl>
              <c:idx val="0"/>
              <c:layout>
                <c:manualLayout>
                  <c:x val="-3.7385445547506189E-2"/>
                  <c:y val="4.23551097393689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E-4D82-A25D-FF18354E3855}"/>
                </c:ext>
              </c:extLst>
            </c:dLbl>
            <c:dLbl>
              <c:idx val="19"/>
              <c:layout>
                <c:manualLayout>
                  <c:x val="3.0005266871379025E-3"/>
                  <c:y val="9.7993827160493827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9C-4C75-9EBC-4CA179AD7751}"/>
                </c:ext>
              </c:extLst>
            </c:dLbl>
            <c:dLbl>
              <c:idx val="20"/>
              <c:layout>
                <c:manualLayout>
                  <c:x val="0"/>
                  <c:y val="-6.269592476489028E-3"/>
                </c:manualLayout>
              </c:layout>
              <c:tx>
                <c:rich>
                  <a:bodyPr/>
                  <a:lstStyle/>
                  <a:p>
                    <a:fld id="{9776A1AC-DBA6-490F-BE75-4ED5B32AB5D4}" type="SERIESNAME">
                      <a:rPr lang="en-US" b="1"/>
                      <a:pPr/>
                      <a:t>[SERIES NAME]</a:t>
                    </a:fld>
                    <a:endParaRPr lang="en-US" b="1" baseline="0"/>
                  </a:p>
                  <a:p>
                    <a:r>
                      <a:rPr lang="en-US" b="1" baseline="0"/>
                      <a:t>+ 0.7 %</a:t>
                    </a:r>
                  </a:p>
                </c:rich>
              </c:tx>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3DE-4D82-A25D-FF18354E385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Lit>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Lit>
          </c:cat>
          <c:val>
            <c:numRef>
              <c:f>'Figure 1a data'!$B$6:$B$25</c:f>
              <c:numCache>
                <c:formatCode>0.00</c:formatCode>
                <c:ptCount val="20"/>
                <c:pt idx="0">
                  <c:v>0.92</c:v>
                </c:pt>
                <c:pt idx="1">
                  <c:v>1.04</c:v>
                </c:pt>
                <c:pt idx="2">
                  <c:v>0.82</c:v>
                </c:pt>
                <c:pt idx="3">
                  <c:v>0.59</c:v>
                </c:pt>
                <c:pt idx="4">
                  <c:v>0.56000000000000005</c:v>
                </c:pt>
                <c:pt idx="5">
                  <c:v>0.49</c:v>
                </c:pt>
                <c:pt idx="6">
                  <c:v>0.28000000000000003</c:v>
                </c:pt>
                <c:pt idx="7">
                  <c:v>0.44</c:v>
                </c:pt>
                <c:pt idx="8">
                  <c:v>0.51</c:v>
                </c:pt>
                <c:pt idx="9">
                  <c:v>0.47</c:v>
                </c:pt>
                <c:pt idx="10">
                  <c:v>0.56000000000000005</c:v>
                </c:pt>
                <c:pt idx="11">
                  <c:v>0.61</c:v>
                </c:pt>
                <c:pt idx="12">
                  <c:v>0.52</c:v>
                </c:pt>
                <c:pt idx="13">
                  <c:v>0.63</c:v>
                </c:pt>
                <c:pt idx="14">
                  <c:v>0.34</c:v>
                </c:pt>
                <c:pt idx="15">
                  <c:v>0.66</c:v>
                </c:pt>
                <c:pt idx="16">
                  <c:v>0.69</c:v>
                </c:pt>
                <c:pt idx="17">
                  <c:v>0.79</c:v>
                </c:pt>
                <c:pt idx="18">
                  <c:v>0.67</c:v>
                </c:pt>
                <c:pt idx="19">
                  <c:v>0.72</c:v>
                </c:pt>
              </c:numCache>
            </c:numRef>
          </c:val>
          <c:smooth val="0"/>
          <c:extLst>
            <c:ext xmlns:c16="http://schemas.microsoft.com/office/drawing/2014/chart" uri="{C3380CC4-5D6E-409C-BE32-E72D297353CC}">
              <c16:uniqueId val="{00000004-D3DE-4D82-A25D-FF18354E3855}"/>
            </c:ext>
          </c:extLst>
        </c:ser>
        <c:dLbls>
          <c:showLegendKey val="0"/>
          <c:showVal val="0"/>
          <c:showCatName val="0"/>
          <c:showSerName val="0"/>
          <c:showPercent val="0"/>
          <c:showBubbleSize val="0"/>
        </c:dLbls>
        <c:smooth val="0"/>
        <c:axId val="374400488"/>
        <c:axId val="374401144"/>
      </c:lineChart>
      <c:dateAx>
        <c:axId val="374400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401144"/>
        <c:crosses val="autoZero"/>
        <c:auto val="0"/>
        <c:lblOffset val="100"/>
        <c:baseTimeUnit val="days"/>
        <c:majorUnit val="2"/>
        <c:majorTimeUnit val="days"/>
      </c:dateAx>
      <c:valAx>
        <c:axId val="374401144"/>
        <c:scaling>
          <c:orientation val="minMax"/>
          <c:max val="1.1000000000000001"/>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400488"/>
        <c:crossesAt val="2001"/>
        <c:crossBetween val="between"/>
      </c:valAx>
      <c:spPr>
        <a:noFill/>
        <a:ln>
          <a:noFill/>
          <a:prstDash val="solid"/>
        </a:ln>
        <a:effectLst/>
      </c:spPr>
    </c:plotArea>
    <c:plotVisOnly val="1"/>
    <c:dispBlanksAs val="gap"/>
    <c:showDLblsOverMax val="0"/>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6C297F"/>
            </a:solidFill>
            <a:ln>
              <a:noFill/>
            </a:ln>
            <a:effectLst/>
          </c:spPr>
          <c:invertIfNegative val="0"/>
          <c:dLbls>
            <c:dLbl>
              <c:idx val="0"/>
              <c:tx>
                <c:rich>
                  <a:bodyPr/>
                  <a:lstStyle/>
                  <a:p>
                    <a:r>
                      <a:rPr lang="en-US"/>
                      <a:t>13.0%</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68D-4583-8F15-982AC5FB1369}"/>
                </c:ext>
              </c:extLst>
            </c:dLbl>
            <c:dLbl>
              <c:idx val="1"/>
              <c:tx>
                <c:rich>
                  <a:bodyPr/>
                  <a:lstStyle/>
                  <a:p>
                    <a:r>
                      <a:rPr lang="en-US"/>
                      <a:t>8.5%</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68D-4583-8F15-982AC5FB136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1b data'!$A$6:$A$7</c:f>
              <c:strCache>
                <c:ptCount val="2"/>
                <c:pt idx="0">
                  <c:v>Households</c:v>
                </c:pt>
                <c:pt idx="1">
                  <c:v>Population</c:v>
                </c:pt>
              </c:strCache>
            </c:strRef>
          </c:cat>
          <c:val>
            <c:numRef>
              <c:f>'Figure 1b data'!$B$6:$B$7</c:f>
              <c:numCache>
                <c:formatCode>0.0</c:formatCode>
                <c:ptCount val="2"/>
                <c:pt idx="0" formatCode="##0.0">
                  <c:v>13</c:v>
                </c:pt>
                <c:pt idx="1">
                  <c:v>8.5</c:v>
                </c:pt>
              </c:numCache>
            </c:numRef>
          </c:val>
          <c:extLst>
            <c:ext xmlns:c16="http://schemas.microsoft.com/office/drawing/2014/chart" uri="{C3380CC4-5D6E-409C-BE32-E72D297353CC}">
              <c16:uniqueId val="{00000002-468D-4583-8F15-982AC5FB1369}"/>
            </c:ext>
          </c:extLst>
        </c:ser>
        <c:dLbls>
          <c:dLblPos val="outEnd"/>
          <c:showLegendKey val="0"/>
          <c:showVal val="1"/>
          <c:showCatName val="0"/>
          <c:showSerName val="0"/>
          <c:showPercent val="0"/>
          <c:showBubbleSize val="0"/>
        </c:dLbls>
        <c:gapWidth val="219"/>
        <c:overlap val="-27"/>
        <c:axId val="945130896"/>
        <c:axId val="945123216"/>
      </c:barChart>
      <c:catAx>
        <c:axId val="94513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45123216"/>
        <c:crosses val="autoZero"/>
        <c:auto val="1"/>
        <c:lblAlgn val="ctr"/>
        <c:lblOffset val="100"/>
        <c:noMultiLvlLbl val="0"/>
      </c:catAx>
      <c:valAx>
        <c:axId val="9451232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45130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72498981406951"/>
          <c:y val="3.0486968449931411E-2"/>
          <c:w val="0.83196812052191715"/>
          <c:h val="0.86725445816186553"/>
        </c:manualLayout>
      </c:layout>
      <c:barChart>
        <c:barDir val="bar"/>
        <c:grouping val="clustered"/>
        <c:varyColors val="0"/>
        <c:ser>
          <c:idx val="0"/>
          <c:order val="0"/>
          <c:tx>
            <c:v>Households
% change 2004 to 2024</c:v>
          </c:tx>
          <c:spPr>
            <a:noFill/>
            <a:ln>
              <a:noFill/>
            </a:ln>
            <a:effectLst/>
          </c:spPr>
          <c:invertIfNegative val="0"/>
          <c:cat>
            <c:strRef>
              <c:f>'Figure 2 data'!$A$6:$A$37</c:f>
              <c:strCache>
                <c:ptCount val="32"/>
                <c:pt idx="0">
                  <c:v>Inverclyde</c:v>
                </c:pt>
                <c:pt idx="1">
                  <c:v>West Dunbartonshire</c:v>
                </c:pt>
                <c:pt idx="2">
                  <c:v>Argyll and Bute</c:v>
                </c:pt>
                <c:pt idx="3">
                  <c:v>South Ayrshire</c:v>
                </c:pt>
                <c:pt idx="4">
                  <c:v>Dundee City</c:v>
                </c:pt>
                <c:pt idx="5">
                  <c:v>Glasgow City</c:v>
                </c:pt>
                <c:pt idx="6">
                  <c:v>Dumfries and Galloway</c:v>
                </c:pt>
                <c:pt idx="7">
                  <c:v>North Ayrshire</c:v>
                </c:pt>
                <c:pt idx="8">
                  <c:v>East Ayrshire</c:v>
                </c:pt>
                <c:pt idx="9">
                  <c:v>East Dunbartonshire</c:v>
                </c:pt>
                <c:pt idx="10">
                  <c:v>North Lanarkshire</c:v>
                </c:pt>
                <c:pt idx="11">
                  <c:v>Na h-Eileanan Siar</c:v>
                </c:pt>
                <c:pt idx="12">
                  <c:v>Fife</c:v>
                </c:pt>
                <c:pt idx="13">
                  <c:v>Falkirk</c:v>
                </c:pt>
                <c:pt idx="14">
                  <c:v>Stirling</c:v>
                </c:pt>
                <c:pt idx="15">
                  <c:v>Angus</c:v>
                </c:pt>
                <c:pt idx="16">
                  <c:v>East Renfrewshire</c:v>
                </c:pt>
                <c:pt idx="17">
                  <c:v>Clackmannanshire</c:v>
                </c:pt>
                <c:pt idx="18">
                  <c:v>Scottish Borders</c:v>
                </c:pt>
                <c:pt idx="19">
                  <c:v>Aberdeen City</c:v>
                </c:pt>
                <c:pt idx="20">
                  <c:v>Renfrewshire</c:v>
                </c:pt>
                <c:pt idx="21">
                  <c:v>Shetland Islands</c:v>
                </c:pt>
                <c:pt idx="22">
                  <c:v>South Lanarkshire</c:v>
                </c:pt>
                <c:pt idx="23">
                  <c:v>City of Edinburgh</c:v>
                </c:pt>
                <c:pt idx="24">
                  <c:v>Perth and Kinross</c:v>
                </c:pt>
                <c:pt idx="25">
                  <c:v>Moray</c:v>
                </c:pt>
                <c:pt idx="26">
                  <c:v>West Lothian</c:v>
                </c:pt>
                <c:pt idx="27">
                  <c:v>Highland</c:v>
                </c:pt>
                <c:pt idx="28">
                  <c:v>Aberdeenshire</c:v>
                </c:pt>
                <c:pt idx="29">
                  <c:v>Orkney Islands</c:v>
                </c:pt>
                <c:pt idx="30">
                  <c:v>East Lothian</c:v>
                </c:pt>
                <c:pt idx="31">
                  <c:v>Midlothian</c:v>
                </c:pt>
              </c:strCache>
            </c:strRef>
          </c:cat>
          <c:val>
            <c:numRef>
              <c:f>'Figure 2 data'!$B$6:$B$37</c:f>
              <c:numCache>
                <c:formatCode>##0.0</c:formatCode>
                <c:ptCount val="32"/>
                <c:pt idx="0">
                  <c:v>1.8</c:v>
                </c:pt>
                <c:pt idx="1">
                  <c:v>5.3</c:v>
                </c:pt>
                <c:pt idx="2">
                  <c:v>6.3</c:v>
                </c:pt>
                <c:pt idx="3">
                  <c:v>6.5</c:v>
                </c:pt>
                <c:pt idx="4">
                  <c:v>6.6</c:v>
                </c:pt>
                <c:pt idx="5">
                  <c:v>7.4</c:v>
                </c:pt>
                <c:pt idx="6">
                  <c:v>7.7</c:v>
                </c:pt>
                <c:pt idx="7">
                  <c:v>8.4</c:v>
                </c:pt>
                <c:pt idx="8">
                  <c:v>9.6999999999999993</c:v>
                </c:pt>
                <c:pt idx="9">
                  <c:v>9.9</c:v>
                </c:pt>
                <c:pt idx="10">
                  <c:v>10.3</c:v>
                </c:pt>
                <c:pt idx="11">
                  <c:v>11.1</c:v>
                </c:pt>
                <c:pt idx="12">
                  <c:v>11.2</c:v>
                </c:pt>
                <c:pt idx="13">
                  <c:v>11.6</c:v>
                </c:pt>
                <c:pt idx="14">
                  <c:v>12.5</c:v>
                </c:pt>
                <c:pt idx="15">
                  <c:v>12.8</c:v>
                </c:pt>
                <c:pt idx="16">
                  <c:v>13.4</c:v>
                </c:pt>
                <c:pt idx="17">
                  <c:v>13.6</c:v>
                </c:pt>
                <c:pt idx="18">
                  <c:v>13.7</c:v>
                </c:pt>
                <c:pt idx="19">
                  <c:v>14</c:v>
                </c:pt>
                <c:pt idx="20">
                  <c:v>14.3</c:v>
                </c:pt>
                <c:pt idx="21">
                  <c:v>15.2</c:v>
                </c:pt>
                <c:pt idx="22">
                  <c:v>15.6</c:v>
                </c:pt>
                <c:pt idx="23">
                  <c:v>16.399999999999999</c:v>
                </c:pt>
                <c:pt idx="24">
                  <c:v>17.100000000000001</c:v>
                </c:pt>
                <c:pt idx="25">
                  <c:v>18.5</c:v>
                </c:pt>
                <c:pt idx="26">
                  <c:v>18.8</c:v>
                </c:pt>
                <c:pt idx="27">
                  <c:v>21.1</c:v>
                </c:pt>
                <c:pt idx="28">
                  <c:v>21.3</c:v>
                </c:pt>
                <c:pt idx="29">
                  <c:v>22.9</c:v>
                </c:pt>
                <c:pt idx="30">
                  <c:v>30</c:v>
                </c:pt>
                <c:pt idx="31">
                  <c:v>30.7</c:v>
                </c:pt>
              </c:numCache>
            </c:numRef>
          </c:val>
          <c:extLst>
            <c:ext xmlns:c16="http://schemas.microsoft.com/office/drawing/2014/chart" uri="{C3380CC4-5D6E-409C-BE32-E72D297353CC}">
              <c16:uniqueId val="{00000000-3677-4B49-8A1C-725B1C989A35}"/>
            </c:ext>
          </c:extLst>
        </c:ser>
        <c:dLbls>
          <c:showLegendKey val="0"/>
          <c:showVal val="0"/>
          <c:showCatName val="0"/>
          <c:showSerName val="0"/>
          <c:showPercent val="0"/>
          <c:showBubbleSize val="0"/>
        </c:dLbls>
        <c:gapWidth val="182"/>
        <c:axId val="766309128"/>
        <c:axId val="766310440"/>
      </c:barChart>
      <c:scatterChart>
        <c:scatterStyle val="lineMarker"/>
        <c:varyColors val="0"/>
        <c:ser>
          <c:idx val="1"/>
          <c:order val="1"/>
          <c:tx>
            <c:strRef>
              <c:f>'Figure 2 data'!$B$5</c:f>
              <c:strCache>
                <c:ptCount val="1"/>
                <c:pt idx="0">
                  <c:v>Households
% change 2005 to 2025</c:v>
                </c:pt>
              </c:strCache>
            </c:strRef>
          </c:tx>
          <c:spPr>
            <a:ln w="25400" cap="rnd">
              <a:noFill/>
              <a:round/>
            </a:ln>
            <a:effectLst/>
          </c:spPr>
          <c:marker>
            <c:symbol val="circle"/>
            <c:size val="9"/>
            <c:spPr>
              <a:solidFill>
                <a:srgbClr val="6C297F"/>
              </a:solidFill>
              <a:ln w="9525">
                <a:noFill/>
              </a:ln>
              <a:effectLst/>
            </c:spPr>
          </c:marker>
          <c:xVal>
            <c:numRef>
              <c:f>'Figure 2 data'!$B$6:$B$37</c:f>
              <c:numCache>
                <c:formatCode>##0.0</c:formatCode>
                <c:ptCount val="32"/>
                <c:pt idx="0">
                  <c:v>1.8</c:v>
                </c:pt>
                <c:pt idx="1">
                  <c:v>5.3</c:v>
                </c:pt>
                <c:pt idx="2">
                  <c:v>6.3</c:v>
                </c:pt>
                <c:pt idx="3">
                  <c:v>6.5</c:v>
                </c:pt>
                <c:pt idx="4">
                  <c:v>6.6</c:v>
                </c:pt>
                <c:pt idx="5">
                  <c:v>7.4</c:v>
                </c:pt>
                <c:pt idx="6">
                  <c:v>7.7</c:v>
                </c:pt>
                <c:pt idx="7">
                  <c:v>8.4</c:v>
                </c:pt>
                <c:pt idx="8">
                  <c:v>9.6999999999999993</c:v>
                </c:pt>
                <c:pt idx="9">
                  <c:v>9.9</c:v>
                </c:pt>
                <c:pt idx="10">
                  <c:v>10.3</c:v>
                </c:pt>
                <c:pt idx="11">
                  <c:v>11.1</c:v>
                </c:pt>
                <c:pt idx="12">
                  <c:v>11.2</c:v>
                </c:pt>
                <c:pt idx="13">
                  <c:v>11.6</c:v>
                </c:pt>
                <c:pt idx="14">
                  <c:v>12.5</c:v>
                </c:pt>
                <c:pt idx="15">
                  <c:v>12.8</c:v>
                </c:pt>
                <c:pt idx="16">
                  <c:v>13.4</c:v>
                </c:pt>
                <c:pt idx="17">
                  <c:v>13.6</c:v>
                </c:pt>
                <c:pt idx="18">
                  <c:v>13.7</c:v>
                </c:pt>
                <c:pt idx="19">
                  <c:v>14</c:v>
                </c:pt>
                <c:pt idx="20">
                  <c:v>14.3</c:v>
                </c:pt>
                <c:pt idx="21">
                  <c:v>15.2</c:v>
                </c:pt>
                <c:pt idx="22">
                  <c:v>15.6</c:v>
                </c:pt>
                <c:pt idx="23">
                  <c:v>16.399999999999999</c:v>
                </c:pt>
                <c:pt idx="24">
                  <c:v>17.100000000000001</c:v>
                </c:pt>
                <c:pt idx="25">
                  <c:v>18.5</c:v>
                </c:pt>
                <c:pt idx="26">
                  <c:v>18.8</c:v>
                </c:pt>
                <c:pt idx="27">
                  <c:v>21.1</c:v>
                </c:pt>
                <c:pt idx="28">
                  <c:v>21.3</c:v>
                </c:pt>
                <c:pt idx="29">
                  <c:v>22.9</c:v>
                </c:pt>
                <c:pt idx="30">
                  <c:v>30</c:v>
                </c:pt>
                <c:pt idx="31">
                  <c:v>30.7</c:v>
                </c:pt>
              </c:numCache>
            </c:numRef>
          </c:xVal>
          <c:yVal>
            <c:numLit>
              <c:formatCode>General</c:formatCode>
              <c:ptCount val="32"/>
              <c:pt idx="0">
                <c:v>0.984375</c:v>
              </c:pt>
              <c:pt idx="1">
                <c:v>0.953125</c:v>
              </c:pt>
              <c:pt idx="2">
                <c:v>0.921875</c:v>
              </c:pt>
              <c:pt idx="3">
                <c:v>0.890625</c:v>
              </c:pt>
              <c:pt idx="4">
                <c:v>0.859375</c:v>
              </c:pt>
              <c:pt idx="5">
                <c:v>0.828125</c:v>
              </c:pt>
              <c:pt idx="6">
                <c:v>0.796875</c:v>
              </c:pt>
              <c:pt idx="7">
                <c:v>0.765625</c:v>
              </c:pt>
              <c:pt idx="8">
                <c:v>0.734375</c:v>
              </c:pt>
              <c:pt idx="9">
                <c:v>0.703125</c:v>
              </c:pt>
              <c:pt idx="10">
                <c:v>0.671875</c:v>
              </c:pt>
              <c:pt idx="11">
                <c:v>0.640625</c:v>
              </c:pt>
              <c:pt idx="12">
                <c:v>0.609375</c:v>
              </c:pt>
              <c:pt idx="13">
                <c:v>0.578125</c:v>
              </c:pt>
              <c:pt idx="14">
                <c:v>0.546875</c:v>
              </c:pt>
              <c:pt idx="15">
                <c:v>0.515625</c:v>
              </c:pt>
              <c:pt idx="16">
                <c:v>0.484375</c:v>
              </c:pt>
              <c:pt idx="17">
                <c:v>0.453125</c:v>
              </c:pt>
              <c:pt idx="18">
                <c:v>0.421875</c:v>
              </c:pt>
              <c:pt idx="19">
                <c:v>0.390625</c:v>
              </c:pt>
              <c:pt idx="20">
                <c:v>0.359375</c:v>
              </c:pt>
              <c:pt idx="21">
                <c:v>0.328125</c:v>
              </c:pt>
              <c:pt idx="22">
                <c:v>0.296875</c:v>
              </c:pt>
              <c:pt idx="23">
                <c:v>0.265625</c:v>
              </c:pt>
              <c:pt idx="24">
                <c:v>0.234375</c:v>
              </c:pt>
              <c:pt idx="25">
                <c:v>0.203125</c:v>
              </c:pt>
              <c:pt idx="26">
                <c:v>0.171875</c:v>
              </c:pt>
              <c:pt idx="27">
                <c:v>0.140625</c:v>
              </c:pt>
              <c:pt idx="28">
                <c:v>0.109375</c:v>
              </c:pt>
              <c:pt idx="29">
                <c:v>7.8125E-2</c:v>
              </c:pt>
              <c:pt idx="30">
                <c:v>4.6875E-2</c:v>
              </c:pt>
              <c:pt idx="31">
                <c:v>1.5625E-2</c:v>
              </c:pt>
            </c:numLit>
          </c:yVal>
          <c:smooth val="0"/>
          <c:extLst>
            <c:ext xmlns:c16="http://schemas.microsoft.com/office/drawing/2014/chart" uri="{C3380CC4-5D6E-409C-BE32-E72D297353CC}">
              <c16:uniqueId val="{00000001-3677-4B49-8A1C-725B1C989A35}"/>
            </c:ext>
          </c:extLst>
        </c:ser>
        <c:ser>
          <c:idx val="2"/>
          <c:order val="2"/>
          <c:tx>
            <c:strRef>
              <c:f>'Figure 2 data'!$C$5</c:f>
              <c:strCache>
                <c:ptCount val="1"/>
                <c:pt idx="0">
                  <c:v>Population
% change 2005 to 2025</c:v>
                </c:pt>
              </c:strCache>
            </c:strRef>
          </c:tx>
          <c:spPr>
            <a:ln w="25400" cap="rnd">
              <a:noFill/>
              <a:round/>
            </a:ln>
            <a:effectLst/>
          </c:spPr>
          <c:marker>
            <c:symbol val="circle"/>
            <c:size val="9"/>
            <c:spPr>
              <a:solidFill>
                <a:srgbClr val="BF78D3"/>
              </a:solidFill>
              <a:ln w="9525">
                <a:noFill/>
              </a:ln>
              <a:effectLst/>
            </c:spPr>
          </c:marker>
          <c:dPt>
            <c:idx val="0"/>
            <c:marker>
              <c:symbol val="circle"/>
              <c:size val="9"/>
              <c:spPr>
                <a:solidFill>
                  <a:srgbClr val="BF78D3"/>
                </a:solidFill>
                <a:ln w="9525">
                  <a:noFill/>
                </a:ln>
                <a:effectLst/>
              </c:spPr>
            </c:marker>
            <c:bubble3D val="0"/>
            <c:extLst>
              <c:ext xmlns:c16="http://schemas.microsoft.com/office/drawing/2014/chart" uri="{C3380CC4-5D6E-409C-BE32-E72D297353CC}">
                <c16:uniqueId val="{00000002-3677-4B49-8A1C-725B1C989A35}"/>
              </c:ext>
            </c:extLst>
          </c:dPt>
          <c:dPt>
            <c:idx val="1"/>
            <c:marker>
              <c:symbol val="circle"/>
              <c:size val="9"/>
              <c:spPr>
                <a:solidFill>
                  <a:srgbClr val="BF78D3"/>
                </a:solidFill>
                <a:ln w="9525">
                  <a:noFill/>
                </a:ln>
                <a:effectLst/>
              </c:spPr>
            </c:marker>
            <c:bubble3D val="0"/>
            <c:extLst>
              <c:ext xmlns:c16="http://schemas.microsoft.com/office/drawing/2014/chart" uri="{C3380CC4-5D6E-409C-BE32-E72D297353CC}">
                <c16:uniqueId val="{00000003-3677-4B49-8A1C-725B1C989A35}"/>
              </c:ext>
            </c:extLst>
          </c:dPt>
          <c:dPt>
            <c:idx val="4"/>
            <c:marker>
              <c:symbol val="circle"/>
              <c:size val="9"/>
              <c:spPr>
                <a:solidFill>
                  <a:srgbClr val="BF78D3"/>
                </a:solidFill>
                <a:ln w="9525">
                  <a:noFill/>
                </a:ln>
                <a:effectLst/>
              </c:spPr>
            </c:marker>
            <c:bubble3D val="0"/>
            <c:extLst>
              <c:ext xmlns:c16="http://schemas.microsoft.com/office/drawing/2014/chart" uri="{C3380CC4-5D6E-409C-BE32-E72D297353CC}">
                <c16:uniqueId val="{00000004-3677-4B49-8A1C-725B1C989A35}"/>
              </c:ext>
            </c:extLst>
          </c:dPt>
          <c:dPt>
            <c:idx val="5"/>
            <c:marker>
              <c:symbol val="circle"/>
              <c:size val="9"/>
              <c:spPr>
                <a:solidFill>
                  <a:srgbClr val="BF78D3"/>
                </a:solidFill>
                <a:ln w="9525">
                  <a:noFill/>
                </a:ln>
                <a:effectLst/>
              </c:spPr>
            </c:marker>
            <c:bubble3D val="0"/>
            <c:extLst>
              <c:ext xmlns:c16="http://schemas.microsoft.com/office/drawing/2014/chart" uri="{C3380CC4-5D6E-409C-BE32-E72D297353CC}">
                <c16:uniqueId val="{00000005-3677-4B49-8A1C-725B1C989A35}"/>
              </c:ext>
            </c:extLst>
          </c:dPt>
          <c:dPt>
            <c:idx val="7"/>
            <c:marker>
              <c:symbol val="circle"/>
              <c:size val="9"/>
              <c:spPr>
                <a:solidFill>
                  <a:srgbClr val="BF78D3"/>
                </a:solidFill>
                <a:ln w="9525">
                  <a:noFill/>
                </a:ln>
                <a:effectLst/>
              </c:spPr>
            </c:marker>
            <c:bubble3D val="0"/>
            <c:extLst>
              <c:ext xmlns:c16="http://schemas.microsoft.com/office/drawing/2014/chart" uri="{C3380CC4-5D6E-409C-BE32-E72D297353CC}">
                <c16:uniqueId val="{00000006-3677-4B49-8A1C-725B1C989A35}"/>
              </c:ext>
            </c:extLst>
          </c:dPt>
          <c:xVal>
            <c:numRef>
              <c:f>'Figure 2 data'!$C$6:$C$37</c:f>
              <c:numCache>
                <c:formatCode>0.00</c:formatCode>
                <c:ptCount val="32"/>
                <c:pt idx="0">
                  <c:v>-5</c:v>
                </c:pt>
                <c:pt idx="1">
                  <c:v>-3.5</c:v>
                </c:pt>
                <c:pt idx="2">
                  <c:v>-3.4</c:v>
                </c:pt>
                <c:pt idx="3">
                  <c:v>0.2</c:v>
                </c:pt>
                <c:pt idx="4">
                  <c:v>3.3</c:v>
                </c:pt>
                <c:pt idx="5">
                  <c:v>14.9</c:v>
                </c:pt>
                <c:pt idx="6">
                  <c:v>-2.8</c:v>
                </c:pt>
                <c:pt idx="7">
                  <c:v>-2.2000000000000002</c:v>
                </c:pt>
                <c:pt idx="8">
                  <c:v>0.9</c:v>
                </c:pt>
                <c:pt idx="9">
                  <c:v>3.3</c:v>
                </c:pt>
                <c:pt idx="10">
                  <c:v>5.0999999999999996</c:v>
                </c:pt>
                <c:pt idx="11">
                  <c:v>-4.3</c:v>
                </c:pt>
                <c:pt idx="12">
                  <c:v>5.2</c:v>
                </c:pt>
                <c:pt idx="13">
                  <c:v>6.7</c:v>
                </c:pt>
                <c:pt idx="14">
                  <c:v>7.5</c:v>
                </c:pt>
                <c:pt idx="15">
                  <c:v>2.9</c:v>
                </c:pt>
                <c:pt idx="16">
                  <c:v>11.1</c:v>
                </c:pt>
                <c:pt idx="17">
                  <c:v>5</c:v>
                </c:pt>
                <c:pt idx="18">
                  <c:v>5.9</c:v>
                </c:pt>
                <c:pt idx="19">
                  <c:v>10.3</c:v>
                </c:pt>
                <c:pt idx="20">
                  <c:v>10.4</c:v>
                </c:pt>
                <c:pt idx="21">
                  <c:v>2.1</c:v>
                </c:pt>
                <c:pt idx="22">
                  <c:v>9</c:v>
                </c:pt>
                <c:pt idx="23">
                  <c:v>18.2</c:v>
                </c:pt>
                <c:pt idx="24">
                  <c:v>12.2</c:v>
                </c:pt>
                <c:pt idx="25">
                  <c:v>5.0999999999999996</c:v>
                </c:pt>
                <c:pt idx="26">
                  <c:v>13.5</c:v>
                </c:pt>
                <c:pt idx="27">
                  <c:v>8.8000000000000007</c:v>
                </c:pt>
                <c:pt idx="28">
                  <c:v>11.4</c:v>
                </c:pt>
                <c:pt idx="29">
                  <c:v>9.1999999999999993</c:v>
                </c:pt>
                <c:pt idx="30">
                  <c:v>25.6</c:v>
                </c:pt>
                <c:pt idx="31">
                  <c:v>25.4</c:v>
                </c:pt>
              </c:numCache>
            </c:numRef>
          </c:xVal>
          <c:yVal>
            <c:numRef>
              <c:f>'Figure 2 data'!$E$6:$E$37</c:f>
              <c:numCache>
                <c:formatCode>0.00</c:formatCode>
                <c:ptCount val="32"/>
                <c:pt idx="0">
                  <c:v>0.984375</c:v>
                </c:pt>
                <c:pt idx="1">
                  <c:v>0.953125</c:v>
                </c:pt>
                <c:pt idx="2">
                  <c:v>0.921875</c:v>
                </c:pt>
                <c:pt idx="3">
                  <c:v>0.890625</c:v>
                </c:pt>
                <c:pt idx="4">
                  <c:v>0.859375</c:v>
                </c:pt>
                <c:pt idx="5">
                  <c:v>0.828125</c:v>
                </c:pt>
                <c:pt idx="6">
                  <c:v>0.796875</c:v>
                </c:pt>
                <c:pt idx="7">
                  <c:v>0.765625</c:v>
                </c:pt>
                <c:pt idx="8">
                  <c:v>0.734375</c:v>
                </c:pt>
                <c:pt idx="9">
                  <c:v>0.703125</c:v>
                </c:pt>
                <c:pt idx="10">
                  <c:v>0.671875</c:v>
                </c:pt>
                <c:pt idx="11">
                  <c:v>0.640625</c:v>
                </c:pt>
                <c:pt idx="12">
                  <c:v>0.609375</c:v>
                </c:pt>
                <c:pt idx="13">
                  <c:v>0.578125</c:v>
                </c:pt>
                <c:pt idx="14">
                  <c:v>0.546875</c:v>
                </c:pt>
                <c:pt idx="15">
                  <c:v>0.515625</c:v>
                </c:pt>
                <c:pt idx="16">
                  <c:v>0.484375</c:v>
                </c:pt>
                <c:pt idx="17">
                  <c:v>0.453125</c:v>
                </c:pt>
                <c:pt idx="18">
                  <c:v>0.421875</c:v>
                </c:pt>
                <c:pt idx="19">
                  <c:v>0.390625</c:v>
                </c:pt>
                <c:pt idx="20">
                  <c:v>0.359375</c:v>
                </c:pt>
                <c:pt idx="21">
                  <c:v>0.328125</c:v>
                </c:pt>
                <c:pt idx="22">
                  <c:v>0.296875</c:v>
                </c:pt>
                <c:pt idx="23">
                  <c:v>0.265625</c:v>
                </c:pt>
                <c:pt idx="24">
                  <c:v>0.234375</c:v>
                </c:pt>
                <c:pt idx="25">
                  <c:v>0.203125</c:v>
                </c:pt>
                <c:pt idx="26">
                  <c:v>0.171875</c:v>
                </c:pt>
                <c:pt idx="27">
                  <c:v>0.140625</c:v>
                </c:pt>
                <c:pt idx="28">
                  <c:v>0.109375</c:v>
                </c:pt>
                <c:pt idx="29">
                  <c:v>7.8125E-2</c:v>
                </c:pt>
                <c:pt idx="30">
                  <c:v>4.6875E-2</c:v>
                </c:pt>
                <c:pt idx="31">
                  <c:v>1.5625E-2</c:v>
                </c:pt>
              </c:numCache>
            </c:numRef>
          </c:yVal>
          <c:smooth val="0"/>
          <c:extLst>
            <c:ext xmlns:c16="http://schemas.microsoft.com/office/drawing/2014/chart" uri="{C3380CC4-5D6E-409C-BE32-E72D297353CC}">
              <c16:uniqueId val="{00000007-3677-4B49-8A1C-725B1C989A35}"/>
            </c:ext>
          </c:extLst>
        </c:ser>
        <c:dLbls>
          <c:showLegendKey val="0"/>
          <c:showVal val="0"/>
          <c:showCatName val="0"/>
          <c:showSerName val="0"/>
          <c:showPercent val="0"/>
          <c:showBubbleSize val="0"/>
        </c:dLbls>
        <c:axId val="375257928"/>
        <c:axId val="375265144"/>
        <c:extLst>
          <c:ext xmlns:c15="http://schemas.microsoft.com/office/drawing/2012/chart" uri="{02D57815-91ED-43cb-92C2-25804820EDAC}">
            <c15:filteredScatterSeries>
              <c15:ser>
                <c:idx val="3"/>
                <c:order val="3"/>
                <c:tx>
                  <c:strRef>
                    <c:extLst>
                      <c:ext uri="{02D57815-91ED-43cb-92C2-25804820EDAC}">
                        <c15:formulaRef>
                          <c15:sqref>'Figure 2 data'!$C$5</c15:sqref>
                        </c15:formulaRef>
                      </c:ext>
                    </c:extLst>
                    <c:strCache>
                      <c:ptCount val="1"/>
                      <c:pt idx="0">
                        <c:v>Population
% change 2005 to 2025</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'Figure 2 data'!$E$6:$E$37</c15:sqref>
                        </c15:formulaRef>
                      </c:ext>
                    </c:extLst>
                    <c:numCache>
                      <c:formatCode>0.00</c:formatCode>
                      <c:ptCount val="32"/>
                      <c:pt idx="0">
                        <c:v>0.984375</c:v>
                      </c:pt>
                      <c:pt idx="1">
                        <c:v>0.953125</c:v>
                      </c:pt>
                      <c:pt idx="2">
                        <c:v>0.921875</c:v>
                      </c:pt>
                      <c:pt idx="3">
                        <c:v>0.890625</c:v>
                      </c:pt>
                      <c:pt idx="4">
                        <c:v>0.859375</c:v>
                      </c:pt>
                      <c:pt idx="5">
                        <c:v>0.828125</c:v>
                      </c:pt>
                      <c:pt idx="6">
                        <c:v>0.796875</c:v>
                      </c:pt>
                      <c:pt idx="7">
                        <c:v>0.765625</c:v>
                      </c:pt>
                      <c:pt idx="8">
                        <c:v>0.734375</c:v>
                      </c:pt>
                      <c:pt idx="9">
                        <c:v>0.703125</c:v>
                      </c:pt>
                      <c:pt idx="10">
                        <c:v>0.671875</c:v>
                      </c:pt>
                      <c:pt idx="11">
                        <c:v>0.640625</c:v>
                      </c:pt>
                      <c:pt idx="12">
                        <c:v>0.609375</c:v>
                      </c:pt>
                      <c:pt idx="13">
                        <c:v>0.578125</c:v>
                      </c:pt>
                      <c:pt idx="14">
                        <c:v>0.546875</c:v>
                      </c:pt>
                      <c:pt idx="15">
                        <c:v>0.515625</c:v>
                      </c:pt>
                      <c:pt idx="16">
                        <c:v>0.484375</c:v>
                      </c:pt>
                      <c:pt idx="17">
                        <c:v>0.453125</c:v>
                      </c:pt>
                      <c:pt idx="18">
                        <c:v>0.421875</c:v>
                      </c:pt>
                      <c:pt idx="19">
                        <c:v>0.390625</c:v>
                      </c:pt>
                      <c:pt idx="20">
                        <c:v>0.359375</c:v>
                      </c:pt>
                      <c:pt idx="21">
                        <c:v>0.328125</c:v>
                      </c:pt>
                      <c:pt idx="22">
                        <c:v>0.296875</c:v>
                      </c:pt>
                      <c:pt idx="23">
                        <c:v>0.265625</c:v>
                      </c:pt>
                      <c:pt idx="24">
                        <c:v>0.234375</c:v>
                      </c:pt>
                      <c:pt idx="25">
                        <c:v>0.203125</c:v>
                      </c:pt>
                      <c:pt idx="26">
                        <c:v>0.171875</c:v>
                      </c:pt>
                      <c:pt idx="27">
                        <c:v>0.140625</c:v>
                      </c:pt>
                      <c:pt idx="28">
                        <c:v>0.109375</c:v>
                      </c:pt>
                      <c:pt idx="29">
                        <c:v>7.8125E-2</c:v>
                      </c:pt>
                      <c:pt idx="30">
                        <c:v>4.6875E-2</c:v>
                      </c:pt>
                      <c:pt idx="31">
                        <c:v>1.5625E-2</c:v>
                      </c:pt>
                    </c:numCache>
                  </c:numRef>
                </c:xVal>
                <c:yVal>
                  <c:numRef>
                    <c:extLst>
                      <c:ext uri="{02D57815-91ED-43cb-92C2-25804820EDAC}">
                        <c15:formulaRef>
                          <c15:sqref>'Figure 2 data'!$C$6:$C$37</c15:sqref>
                        </c15:formulaRef>
                      </c:ext>
                    </c:extLst>
                    <c:numCache>
                      <c:formatCode>0.00</c:formatCode>
                      <c:ptCount val="32"/>
                      <c:pt idx="0">
                        <c:v>-5</c:v>
                      </c:pt>
                      <c:pt idx="1">
                        <c:v>-3.5</c:v>
                      </c:pt>
                      <c:pt idx="2">
                        <c:v>-3.4</c:v>
                      </c:pt>
                      <c:pt idx="3">
                        <c:v>0.2</c:v>
                      </c:pt>
                      <c:pt idx="4">
                        <c:v>3.3</c:v>
                      </c:pt>
                      <c:pt idx="5">
                        <c:v>14.9</c:v>
                      </c:pt>
                      <c:pt idx="6">
                        <c:v>-2.8</c:v>
                      </c:pt>
                      <c:pt idx="7">
                        <c:v>-2.2000000000000002</c:v>
                      </c:pt>
                      <c:pt idx="8">
                        <c:v>0.9</c:v>
                      </c:pt>
                      <c:pt idx="9">
                        <c:v>3.3</c:v>
                      </c:pt>
                      <c:pt idx="10">
                        <c:v>5.0999999999999996</c:v>
                      </c:pt>
                      <c:pt idx="11">
                        <c:v>-4.3</c:v>
                      </c:pt>
                      <c:pt idx="12">
                        <c:v>5.2</c:v>
                      </c:pt>
                      <c:pt idx="13">
                        <c:v>6.7</c:v>
                      </c:pt>
                      <c:pt idx="14">
                        <c:v>7.5</c:v>
                      </c:pt>
                      <c:pt idx="15">
                        <c:v>2.9</c:v>
                      </c:pt>
                      <c:pt idx="16">
                        <c:v>11.1</c:v>
                      </c:pt>
                      <c:pt idx="17">
                        <c:v>5</c:v>
                      </c:pt>
                      <c:pt idx="18">
                        <c:v>5.9</c:v>
                      </c:pt>
                      <c:pt idx="19">
                        <c:v>10.3</c:v>
                      </c:pt>
                      <c:pt idx="20">
                        <c:v>10.4</c:v>
                      </c:pt>
                      <c:pt idx="21">
                        <c:v>2.1</c:v>
                      </c:pt>
                      <c:pt idx="22">
                        <c:v>9</c:v>
                      </c:pt>
                      <c:pt idx="23">
                        <c:v>18.2</c:v>
                      </c:pt>
                      <c:pt idx="24">
                        <c:v>12.2</c:v>
                      </c:pt>
                      <c:pt idx="25">
                        <c:v>5.0999999999999996</c:v>
                      </c:pt>
                      <c:pt idx="26">
                        <c:v>13.5</c:v>
                      </c:pt>
                      <c:pt idx="27">
                        <c:v>8.8000000000000007</c:v>
                      </c:pt>
                      <c:pt idx="28">
                        <c:v>11.4</c:v>
                      </c:pt>
                      <c:pt idx="29">
                        <c:v>9.1999999999999993</c:v>
                      </c:pt>
                      <c:pt idx="30">
                        <c:v>25.6</c:v>
                      </c:pt>
                      <c:pt idx="31">
                        <c:v>25.4</c:v>
                      </c:pt>
                    </c:numCache>
                  </c:numRef>
                </c:yVal>
                <c:smooth val="0"/>
                <c:extLst>
                  <c:ext xmlns:c16="http://schemas.microsoft.com/office/drawing/2014/chart" uri="{C3380CC4-5D6E-409C-BE32-E72D297353CC}">
                    <c16:uniqueId val="{00000005-812C-46F8-AC40-07C15A79DA25}"/>
                  </c:ext>
                </c:extLst>
              </c15:ser>
            </c15:filteredScatterSeries>
          </c:ext>
        </c:extLst>
      </c:scatterChart>
      <c:catAx>
        <c:axId val="766309128"/>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low"/>
        <c:spPr>
          <a:noFill/>
          <a:ln w="19050"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66310440"/>
        <c:crosses val="autoZero"/>
        <c:auto val="1"/>
        <c:lblAlgn val="r"/>
        <c:lblOffset val="0"/>
        <c:noMultiLvlLbl val="0"/>
      </c:catAx>
      <c:valAx>
        <c:axId val="766310440"/>
        <c:scaling>
          <c:orientation val="minMax"/>
          <c:max val="35"/>
          <c:min val="-10"/>
        </c:scaling>
        <c:delete val="0"/>
        <c:axPos val="b"/>
        <c:majorGridlines>
          <c:spPr>
            <a:ln w="9525" cap="flat" cmpd="sng" algn="ctr">
              <a:solidFill>
                <a:schemeClr val="bg1">
                  <a:lumMod val="7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latin typeface="Arial" panose="020B0604020202020204" pitchFamily="34" charset="0"/>
                    <a:cs typeface="Arial" panose="020B0604020202020204" pitchFamily="34" charset="0"/>
                  </a:rPr>
                  <a:t>% change</a:t>
                </a:r>
              </a:p>
            </c:rich>
          </c:tx>
          <c:layout>
            <c:manualLayout>
              <c:xMode val="edge"/>
              <c:yMode val="edge"/>
              <c:x val="0.33001437256371613"/>
              <c:y val="0.9505238647676876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66309128"/>
        <c:crosses val="autoZero"/>
        <c:crossBetween val="between"/>
        <c:majorUnit val="10"/>
      </c:valAx>
      <c:valAx>
        <c:axId val="375265144"/>
        <c:scaling>
          <c:orientation val="maxMin"/>
          <c:max val="1"/>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57928"/>
        <c:crosses val="max"/>
        <c:crossBetween val="midCat"/>
      </c:valAx>
      <c:valAx>
        <c:axId val="375257928"/>
        <c:scaling>
          <c:orientation val="minMax"/>
        </c:scaling>
        <c:delete val="1"/>
        <c:axPos val="b"/>
        <c:numFmt formatCode="##0.0" sourceLinked="1"/>
        <c:majorTickMark val="out"/>
        <c:minorTickMark val="none"/>
        <c:tickLblPos val="nextTo"/>
        <c:crossAx val="375265144"/>
        <c:crosses val="max"/>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92061509199784"/>
          <c:y val="0.20639942734430924"/>
          <c:w val="0.88449305146989698"/>
          <c:h val="0.77859913278865234"/>
        </c:manualLayout>
      </c:layout>
      <c:barChart>
        <c:barDir val="bar"/>
        <c:grouping val="stacked"/>
        <c:varyColors val="0"/>
        <c:ser>
          <c:idx val="2"/>
          <c:order val="0"/>
          <c:tx>
            <c:v>Long-term empty  </c:v>
          </c:tx>
          <c:spPr>
            <a:solidFill>
              <a:srgbClr val="6C297F"/>
            </a:solidFill>
            <a:ln w="12700">
              <a:solidFill>
                <a:schemeClr val="tx1"/>
              </a:solid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3 data'!$A$5:$A$15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3 data'!$C$5:$C$15</c:f>
              <c:numCache>
                <c:formatCode>General</c:formatCode>
                <c:ptCount val="11"/>
                <c:pt idx="0">
                  <c:v>36</c:v>
                </c:pt>
                <c:pt idx="1">
                  <c:v>36</c:v>
                </c:pt>
                <c:pt idx="2">
                  <c:v>37</c:v>
                </c:pt>
                <c:pt idx="3">
                  <c:v>39</c:v>
                </c:pt>
                <c:pt idx="4">
                  <c:v>41</c:v>
                </c:pt>
                <c:pt idx="5">
                  <c:v>47</c:v>
                </c:pt>
                <c:pt idx="6">
                  <c:v>44</c:v>
                </c:pt>
                <c:pt idx="7">
                  <c:v>45</c:v>
                </c:pt>
                <c:pt idx="8">
                  <c:v>46</c:v>
                </c:pt>
                <c:pt idx="9">
                  <c:v>44</c:v>
                </c:pt>
                <c:pt idx="10">
                  <c:v>44</c:v>
                </c:pt>
              </c:numCache>
            </c:numRef>
          </c:val>
          <c:extLst>
            <c:ext xmlns:c16="http://schemas.microsoft.com/office/drawing/2014/chart" uri="{C3380CC4-5D6E-409C-BE32-E72D297353CC}">
              <c16:uniqueId val="{00000000-3378-45A6-B58E-9B0AAD1AFA46}"/>
            </c:ext>
          </c:extLst>
        </c:ser>
        <c:ser>
          <c:idx val="1"/>
          <c:order val="1"/>
          <c:tx>
            <c:v>With 'unoccupied exemptions' </c:v>
          </c:tx>
          <c:spPr>
            <a:solidFill>
              <a:schemeClr val="bg1"/>
            </a:solidFill>
            <a:ln w="12700">
              <a:solidFill>
                <a:schemeClr val="tx1"/>
              </a:solidFill>
            </a:ln>
            <a:effectLst/>
          </c:spPr>
          <c:invertIfNegative val="0"/>
          <c:dLbls>
            <c:numFmt formatCode="#,##0" sourceLinked="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3 data'!$A$5:$A$15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3 data'!$C$16:$C$26</c:f>
              <c:numCache>
                <c:formatCode>General</c:formatCode>
                <c:ptCount val="11"/>
                <c:pt idx="0">
                  <c:v>43</c:v>
                </c:pt>
                <c:pt idx="1">
                  <c:v>43</c:v>
                </c:pt>
                <c:pt idx="2">
                  <c:v>42</c:v>
                </c:pt>
                <c:pt idx="3">
                  <c:v>44</c:v>
                </c:pt>
                <c:pt idx="4">
                  <c:v>44</c:v>
                </c:pt>
                <c:pt idx="5">
                  <c:v>43</c:v>
                </c:pt>
                <c:pt idx="6">
                  <c:v>45</c:v>
                </c:pt>
                <c:pt idx="7">
                  <c:v>46</c:v>
                </c:pt>
                <c:pt idx="8">
                  <c:v>46</c:v>
                </c:pt>
                <c:pt idx="9">
                  <c:v>48</c:v>
                </c:pt>
                <c:pt idx="10">
                  <c:v>45</c:v>
                </c:pt>
              </c:numCache>
            </c:numRef>
          </c:val>
          <c:extLst>
            <c:ext xmlns:c16="http://schemas.microsoft.com/office/drawing/2014/chart" uri="{C3380CC4-5D6E-409C-BE32-E72D297353CC}">
              <c16:uniqueId val="{00000001-3378-45A6-B58E-9B0AAD1AFA46}"/>
            </c:ext>
          </c:extLst>
        </c:ser>
        <c:ser>
          <c:idx val="0"/>
          <c:order val="2"/>
          <c:tx>
            <c:v>Second homes </c:v>
          </c:tx>
          <c:spPr>
            <a:solidFill>
              <a:srgbClr val="BF78D3"/>
            </a:solidFill>
            <a:ln w="12700">
              <a:solidFill>
                <a:srgbClr val="BF78D3"/>
              </a:solidFill>
            </a:ln>
            <a:effectLst/>
          </c:spPr>
          <c:invertIfNegative val="0"/>
          <c:dPt>
            <c:idx val="8"/>
            <c:invertIfNegative val="0"/>
            <c:bubble3D val="0"/>
            <c:spPr>
              <a:solidFill>
                <a:srgbClr val="BF78D3"/>
              </a:solidFill>
              <a:ln w="12700">
                <a:solidFill>
                  <a:srgbClr val="BF78D3"/>
                </a:solidFill>
              </a:ln>
              <a:effectLst/>
            </c:spPr>
            <c:extLst>
              <c:ext xmlns:c16="http://schemas.microsoft.com/office/drawing/2014/chart" uri="{C3380CC4-5D6E-409C-BE32-E72D297353CC}">
                <c16:uniqueId val="{00000003-3378-45A6-B58E-9B0AAD1AFA4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 3 data'!$A$5:$A$15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'Figure 3 data'!$C$27:$C$37</c:f>
              <c:numCache>
                <c:formatCode>General</c:formatCode>
                <c:ptCount val="11"/>
                <c:pt idx="0">
                  <c:v>27</c:v>
                </c:pt>
                <c:pt idx="1">
                  <c:v>26</c:v>
                </c:pt>
                <c:pt idx="2">
                  <c:v>26</c:v>
                </c:pt>
                <c:pt idx="3">
                  <c:v>25</c:v>
                </c:pt>
                <c:pt idx="4">
                  <c:v>25</c:v>
                </c:pt>
                <c:pt idx="5">
                  <c:v>25</c:v>
                </c:pt>
                <c:pt idx="6">
                  <c:v>24</c:v>
                </c:pt>
                <c:pt idx="7">
                  <c:v>24</c:v>
                </c:pt>
                <c:pt idx="8">
                  <c:v>24</c:v>
                </c:pt>
                <c:pt idx="9">
                  <c:v>22</c:v>
                </c:pt>
                <c:pt idx="10">
                  <c:v>21</c:v>
                </c:pt>
              </c:numCache>
            </c:numRef>
          </c:val>
          <c:extLst>
            <c:ext xmlns:c16="http://schemas.microsoft.com/office/drawing/2014/chart" uri="{C3380CC4-5D6E-409C-BE32-E72D297353CC}">
              <c16:uniqueId val="{00000004-3378-45A6-B58E-9B0AAD1AFA46}"/>
            </c:ext>
          </c:extLst>
        </c:ser>
        <c:dLbls>
          <c:showLegendKey val="0"/>
          <c:showVal val="0"/>
          <c:showCatName val="0"/>
          <c:showSerName val="0"/>
          <c:showPercent val="0"/>
          <c:showBubbleSize val="0"/>
        </c:dLbls>
        <c:gapWidth val="50"/>
        <c:overlap val="100"/>
        <c:axId val="1214174064"/>
        <c:axId val="1214175376"/>
      </c:barChart>
      <c:catAx>
        <c:axId val="1214174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4175376"/>
        <c:crosses val="autoZero"/>
        <c:auto val="1"/>
        <c:lblAlgn val="ctr"/>
        <c:lblOffset val="100"/>
        <c:noMultiLvlLbl val="0"/>
      </c:catAx>
      <c:valAx>
        <c:axId val="1214175376"/>
        <c:scaling>
          <c:orientation val="minMax"/>
          <c:max val="120"/>
          <c:min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sz="1400"/>
                  <a:t>Number</a:t>
                </a:r>
                <a:r>
                  <a:rPr lang="en-GB" sz="1400" baseline="0"/>
                  <a:t> of dwellings (t</a:t>
                </a:r>
                <a:r>
                  <a:rPr lang="en-GB" sz="1400"/>
                  <a:t>housands)</a:t>
                </a:r>
              </a:p>
            </c:rich>
          </c:tx>
          <c:layout>
            <c:manualLayout>
              <c:xMode val="edge"/>
              <c:yMode val="edge"/>
              <c:x val="0.48758662551440329"/>
              <c:y val="0.1607594307270233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4174064"/>
        <c:crosses val="autoZero"/>
        <c:crossBetween val="between"/>
        <c:majorUnit val="20000"/>
      </c:valAx>
      <c:spPr>
        <a:noFill/>
        <a:ln>
          <a:noFill/>
        </a:ln>
        <a:effectLst/>
      </c:spPr>
    </c:plotArea>
    <c:legend>
      <c:legendPos val="l"/>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2"/>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5.2263374485596705E-3"/>
          <c:y val="1.7074759945130313E-2"/>
          <c:w val="0.40047139917695473"/>
          <c:h val="0.1706488340192044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367241837861361E-2"/>
          <c:y val="5.4581492360476873E-2"/>
          <c:w val="0.78488253451430123"/>
          <c:h val="0.89718608841606395"/>
        </c:manualLayout>
      </c:layout>
      <c:lineChart>
        <c:grouping val="standard"/>
        <c:varyColors val="0"/>
        <c:ser>
          <c:idx val="1"/>
          <c:order val="0"/>
          <c:tx>
            <c:v>Increase in dwellings</c:v>
          </c:tx>
          <c:spPr>
            <a:ln w="38100" cap="rnd">
              <a:solidFill>
                <a:srgbClr val="6C297F"/>
              </a:solidFill>
              <a:prstDash val="sysDash"/>
              <a:round/>
            </a:ln>
            <a:effectLst/>
          </c:spPr>
          <c:marker>
            <c:symbol val="circle"/>
            <c:size val="6"/>
            <c:spPr>
              <a:solidFill>
                <a:srgbClr val="6C297F"/>
              </a:solidFill>
              <a:ln w="9525">
                <a:noFill/>
              </a:ln>
              <a:effectLst/>
            </c:spPr>
          </c:marker>
          <c:dLbls>
            <c:dLbl>
              <c:idx val="19"/>
              <c:layout>
                <c:manualLayout>
                  <c:x val="3.3334670781892908E-2"/>
                  <c:y val="4.7476463952854993E-2"/>
                </c:manualLayout>
              </c:layout>
              <c:tx>
                <c:rich>
                  <a:bodyPr/>
                  <a:lstStyle/>
                  <a:p>
                    <a:fld id="{8DE10C3D-4AE9-4B93-8CF8-43DB396506BD}" type="SERIESNAME">
                      <a:rPr lang="en-US"/>
                      <a:pPr/>
                      <a:t>[SERIES NAME]</a:t>
                    </a:fld>
                    <a:endParaRPr lang="en-GB"/>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191-43BE-A4A4-97B02E8D183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Lit>
              <c:formatCode>General</c:formatCod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numLit>
          </c:cat>
          <c:val>
            <c:numLit>
              <c:formatCode>General</c:formatCode>
              <c:ptCount val="21"/>
              <c:pt idx="0">
                <c:v>20739</c:v>
              </c:pt>
              <c:pt idx="1">
                <c:v>19867</c:v>
              </c:pt>
              <c:pt idx="2">
                <c:v>19289</c:v>
              </c:pt>
              <c:pt idx="3">
                <c:v>24525</c:v>
              </c:pt>
              <c:pt idx="4">
                <c:v>20287</c:v>
              </c:pt>
              <c:pt idx="5">
                <c:v>15274</c:v>
              </c:pt>
              <c:pt idx="6">
                <c:v>12339</c:v>
              </c:pt>
              <c:pt idx="7">
                <c:v>12353</c:v>
              </c:pt>
              <c:pt idx="8">
                <c:v>14193</c:v>
              </c:pt>
              <c:pt idx="9">
                <c:v>11828</c:v>
              </c:pt>
              <c:pt idx="10">
                <c:v>13691</c:v>
              </c:pt>
              <c:pt idx="11">
                <c:v>17021</c:v>
              </c:pt>
              <c:pt idx="12">
                <c:v>18085</c:v>
              </c:pt>
              <c:pt idx="13">
                <c:v>19364</c:v>
              </c:pt>
              <c:pt idx="14">
                <c:v>20154</c:v>
              </c:pt>
              <c:pt idx="15">
                <c:v>21686</c:v>
              </c:pt>
              <c:pt idx="16">
                <c:v>16854</c:v>
              </c:pt>
              <c:pt idx="17">
                <c:v>21268</c:v>
              </c:pt>
              <c:pt idx="18">
                <c:v>24386</c:v>
              </c:pt>
              <c:pt idx="19">
                <c:v>21846</c:v>
              </c:pt>
              <c:pt idx="20">
                <c:v>19748</c:v>
              </c:pt>
            </c:numLit>
          </c:val>
          <c:smooth val="0"/>
          <c:extLst>
            <c:ext xmlns:c16="http://schemas.microsoft.com/office/drawing/2014/chart" uri="{C3380CC4-5D6E-409C-BE32-E72D297353CC}">
              <c16:uniqueId val="{00000001-6191-43BE-A4A4-97B02E8D1839}"/>
            </c:ext>
          </c:extLst>
        </c:ser>
        <c:ser>
          <c:idx val="2"/>
          <c:order val="1"/>
          <c:tx>
            <c:v>New build completions</c:v>
          </c:tx>
          <c:spPr>
            <a:ln w="38100" cap="rnd">
              <a:solidFill>
                <a:srgbClr val="BF78D3"/>
              </a:solidFill>
              <a:round/>
            </a:ln>
            <a:effectLst/>
          </c:spPr>
          <c:marker>
            <c:symbol val="circle"/>
            <c:size val="5"/>
            <c:spPr>
              <a:solidFill>
                <a:srgbClr val="BF78D3"/>
              </a:solidFill>
              <a:ln w="9525">
                <a:noFill/>
              </a:ln>
              <a:effectLst/>
            </c:spPr>
          </c:marker>
          <c:dLbls>
            <c:dLbl>
              <c:idx val="19"/>
              <c:layout>
                <c:manualLayout>
                  <c:x val="3.0605246913580245E-2"/>
                  <c:y val="8.599812140525744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6191-43BE-A4A4-97B02E8D183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Lit>
              <c:formatCode>General</c:formatCod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numLit>
          </c:cat>
          <c:val>
            <c:numLit>
              <c:formatCode>General</c:formatCode>
              <c:ptCount val="21"/>
              <c:pt idx="0">
                <c:v>25048</c:v>
              </c:pt>
              <c:pt idx="1">
                <c:v>25710</c:v>
              </c:pt>
              <c:pt idx="2">
                <c:v>24716</c:v>
              </c:pt>
              <c:pt idx="3">
                <c:v>25271</c:v>
              </c:pt>
              <c:pt idx="4">
                <c:v>23680</c:v>
              </c:pt>
              <c:pt idx="5">
                <c:v>18279</c:v>
              </c:pt>
              <c:pt idx="6">
                <c:v>17073</c:v>
              </c:pt>
              <c:pt idx="7">
                <c:v>15762</c:v>
              </c:pt>
              <c:pt idx="8">
                <c:v>15451</c:v>
              </c:pt>
              <c:pt idx="9">
                <c:v>14814</c:v>
              </c:pt>
              <c:pt idx="10">
                <c:v>15555</c:v>
              </c:pt>
              <c:pt idx="11">
                <c:v>17138</c:v>
              </c:pt>
              <c:pt idx="12">
                <c:v>16686</c:v>
              </c:pt>
              <c:pt idx="13">
                <c:v>17951</c:v>
              </c:pt>
              <c:pt idx="14">
                <c:v>18791</c:v>
              </c:pt>
              <c:pt idx="15">
                <c:v>22028</c:v>
              </c:pt>
              <c:pt idx="16">
                <c:v>16350</c:v>
              </c:pt>
              <c:pt idx="17">
                <c:v>20939</c:v>
              </c:pt>
              <c:pt idx="18">
                <c:v>22832</c:v>
              </c:pt>
              <c:pt idx="19">
                <c:v>22260</c:v>
              </c:pt>
              <c:pt idx="20">
                <c:v>19861</c:v>
              </c:pt>
            </c:numLit>
          </c:val>
          <c:smooth val="0"/>
          <c:extLst>
            <c:ext xmlns:c16="http://schemas.microsoft.com/office/drawing/2014/chart" uri="{C3380CC4-5D6E-409C-BE32-E72D297353CC}">
              <c16:uniqueId val="{00000003-6191-43BE-A4A4-97B02E8D1839}"/>
            </c:ext>
          </c:extLst>
        </c:ser>
        <c:dLbls>
          <c:showLegendKey val="0"/>
          <c:showVal val="0"/>
          <c:showCatName val="0"/>
          <c:showSerName val="0"/>
          <c:showPercent val="0"/>
          <c:showBubbleSize val="0"/>
        </c:dLbls>
        <c:marker val="1"/>
        <c:smooth val="0"/>
        <c:axId val="374184240"/>
        <c:axId val="374184568"/>
      </c:lineChart>
      <c:dateAx>
        <c:axId val="37418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184568"/>
        <c:crosses val="autoZero"/>
        <c:auto val="0"/>
        <c:lblOffset val="100"/>
        <c:baseTimeUnit val="days"/>
        <c:majorUnit val="2"/>
        <c:majorTimeUnit val="days"/>
      </c:dateAx>
      <c:valAx>
        <c:axId val="374184568"/>
        <c:scaling>
          <c:orientation val="minMax"/>
          <c:max val="26000"/>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1000" b="0" i="0" u="none" strike="noStrike" kern="1200" baseline="0">
                    <a:solidFill>
                      <a:schemeClr val="tx1"/>
                    </a:solidFill>
                    <a:latin typeface="+mn-lt"/>
                    <a:ea typeface="+mn-ea"/>
                    <a:cs typeface="+mn-cs"/>
                  </a:defRPr>
                </a:pPr>
                <a:r>
                  <a:rPr lang="en-GB" sz="1200">
                    <a:solidFill>
                      <a:schemeClr val="tx1"/>
                    </a:solidFill>
                    <a:latin typeface="Arial" panose="020B0604020202020204" pitchFamily="34" charset="0"/>
                    <a:cs typeface="Arial" panose="020B0604020202020204" pitchFamily="34" charset="0"/>
                  </a:rPr>
                  <a:t>Number of</a:t>
                </a:r>
                <a:r>
                  <a:rPr lang="en-GB" sz="1200" baseline="0">
                    <a:solidFill>
                      <a:schemeClr val="tx1"/>
                    </a:solidFill>
                    <a:latin typeface="Arial" panose="020B0604020202020204" pitchFamily="34" charset="0"/>
                    <a:cs typeface="Arial" panose="020B0604020202020204" pitchFamily="34" charset="0"/>
                  </a:rPr>
                  <a:t> dwellings (thousands)</a:t>
                </a:r>
                <a:endParaRPr lang="en-GB" sz="1200">
                  <a:solidFill>
                    <a:schemeClr val="tx1"/>
                  </a:solidFill>
                  <a:latin typeface="Arial" panose="020B0604020202020204" pitchFamily="34" charset="0"/>
                  <a:cs typeface="Arial" panose="020B0604020202020204" pitchFamily="34" charset="0"/>
                </a:endParaRPr>
              </a:p>
            </c:rich>
          </c:tx>
          <c:layout>
            <c:manualLayout>
              <c:xMode val="edge"/>
              <c:yMode val="edge"/>
              <c:x val="2.7338496710429109E-3"/>
              <c:y val="4.8767885205571876E-3"/>
            </c:manualLayout>
          </c:layout>
          <c:overlay val="0"/>
          <c:spPr>
            <a:noFill/>
            <a:ln>
              <a:noFill/>
            </a:ln>
            <a:effectLst/>
          </c:spPr>
          <c:txPr>
            <a:bodyPr rot="0" spcFirstLastPara="1" vertOverflow="ellipsis" wrap="square" anchor="ctr" anchorCtr="1"/>
            <a:lstStyle/>
            <a:p>
              <a:pPr algn="l">
                <a:defRPr sz="1000" b="0" i="0" u="none" strike="noStrike" kern="1200" baseline="0">
                  <a:solidFill>
                    <a:schemeClr val="tx1"/>
                  </a:solidFill>
                  <a:latin typeface="+mn-lt"/>
                  <a:ea typeface="+mn-ea"/>
                  <a:cs typeface="+mn-cs"/>
                </a:defRPr>
              </a:pPr>
              <a:endParaRPr lang="en-GB"/>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74184240"/>
        <c:crosses val="autoZero"/>
        <c:crossBetween val="between"/>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Second homes</a:t>
            </a:r>
            <a:r>
              <a:rPr lang="en-US" b="1" baseline="0">
                <a:latin typeface="Arial" panose="020B0604020202020204" pitchFamily="34" charset="0"/>
                <a:cs typeface="Arial" panose="020B0604020202020204" pitchFamily="34" charset="0"/>
              </a:rPr>
              <a:t> </a:t>
            </a:r>
            <a:r>
              <a:rPr lang="en-US" b="1">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val>
            <c:numRef>
              <c:f>'Figure 6'!#REF!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'Figure 6'!#REF!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'Figure 6'!#REF!</c15:sqref>
                        </c15:formulaRef>
                      </c:ext>
                    </c:extLst>
                  </c:multiLvlStrRef>
                </c15:cat>
              </c15:filteredCategoryTitle>
            </c:ext>
            <c:ext xmlns:c16="http://schemas.microsoft.com/office/drawing/2014/chart" uri="{C3380CC4-5D6E-409C-BE32-E72D297353CC}">
              <c16:uniqueId val="{00000000-FE29-4658-976B-E30DA2008524}"/>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General" sourceLinked="1"/>
        <c:majorTickMark val="out"/>
        <c:minorTickMark val="none"/>
        <c:tickLblPos val="nextTo"/>
        <c:crossAx val="1388380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Vacant dwellings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rgbClr val="949494"/>
            </a:solidFill>
            <a:ln>
              <a:noFill/>
            </a:ln>
            <a:effectLst/>
          </c:spPr>
          <c:invertIfNegative val="0"/>
          <c:dPt>
            <c:idx val="16"/>
            <c:invertIfNegative val="0"/>
            <c:bubble3D val="0"/>
            <c:spPr>
              <a:solidFill>
                <a:srgbClr val="6C297F"/>
              </a:solidFill>
              <a:ln>
                <a:noFill/>
              </a:ln>
              <a:effectLst/>
            </c:spPr>
            <c:extLst>
              <c:ext xmlns:c16="http://schemas.microsoft.com/office/drawing/2014/chart" uri="{C3380CC4-5D6E-409C-BE32-E72D297353CC}">
                <c16:uniqueId val="{00000001-F150-40EF-AF0E-39A0F6404C84}"/>
              </c:ext>
            </c:extLst>
          </c:dPt>
          <c:dPt>
            <c:idx val="17"/>
            <c:invertIfNegative val="0"/>
            <c:bubble3D val="0"/>
            <c:spPr>
              <a:solidFill>
                <a:sysClr val="window" lastClr="FFFFFF">
                  <a:lumMod val="50000"/>
                </a:sysClr>
              </a:solidFill>
              <a:ln>
                <a:noFill/>
              </a:ln>
              <a:effectLst/>
            </c:spPr>
            <c:extLst>
              <c:ext xmlns:c16="http://schemas.microsoft.com/office/drawing/2014/chart" uri="{C3380CC4-5D6E-409C-BE32-E72D297353CC}">
                <c16:uniqueId val="{00000003-F150-40EF-AF0E-39A0F6404C84}"/>
              </c:ext>
            </c:extLst>
          </c:dPt>
          <c:dLbls>
            <c:dLbl>
              <c:idx val="22"/>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F150-40EF-AF0E-39A0F6404C84}"/>
                </c:ext>
              </c:extLst>
            </c:dLbl>
            <c:dLbl>
              <c:idx val="23"/>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150-40EF-AF0E-39A0F6404C84}"/>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 data'!$A$5:$A$37</c:f>
              <c:strCache>
                <c:ptCount val="33"/>
                <c:pt idx="0">
                  <c:v>Na h-Eileanan Siar</c:v>
                </c:pt>
                <c:pt idx="1">
                  <c:v>Argyll and Bute</c:v>
                </c:pt>
                <c:pt idx="2">
                  <c:v>Aberdeen City</c:v>
                </c:pt>
                <c:pt idx="3">
                  <c:v>Orkney Islands</c:v>
                </c:pt>
                <c:pt idx="4">
                  <c:v>Shetland Islands</c:v>
                </c:pt>
                <c:pt idx="5">
                  <c:v>Highland</c:v>
                </c:pt>
                <c:pt idx="6">
                  <c:v>Angus</c:v>
                </c:pt>
                <c:pt idx="7">
                  <c:v>Inverclyde</c:v>
                </c:pt>
                <c:pt idx="8">
                  <c:v>Scottish Borders</c:v>
                </c:pt>
                <c:pt idx="9">
                  <c:v>Aberdeenshire</c:v>
                </c:pt>
                <c:pt idx="10">
                  <c:v>Dumfries and Galloway</c:v>
                </c:pt>
                <c:pt idx="11">
                  <c:v>Dundee City</c:v>
                </c:pt>
                <c:pt idx="12">
                  <c:v>Perth and Kinross</c:v>
                </c:pt>
                <c:pt idx="13">
                  <c:v>Moray</c:v>
                </c:pt>
                <c:pt idx="14">
                  <c:v>South Ayrshire</c:v>
                </c:pt>
                <c:pt idx="15">
                  <c:v>Fife</c:v>
                </c:pt>
                <c:pt idx="16">
                  <c:v>Scotland</c:v>
                </c:pt>
                <c:pt idx="17">
                  <c:v>Renfrewshire</c:v>
                </c:pt>
                <c:pt idx="18">
                  <c:v>Stirling</c:v>
                </c:pt>
                <c:pt idx="19">
                  <c:v>North Ayrshire</c:v>
                </c:pt>
                <c:pt idx="20">
                  <c:v>North Lanarkshire</c:v>
                </c:pt>
                <c:pt idx="21">
                  <c:v>Glasgow City</c:v>
                </c:pt>
                <c:pt idx="22">
                  <c:v>City of Edinburgh</c:v>
                </c:pt>
                <c:pt idx="23">
                  <c:v>Clackmannanshire</c:v>
                </c:pt>
                <c:pt idx="24">
                  <c:v>East Ayrshire</c:v>
                </c:pt>
                <c:pt idx="25">
                  <c:v>South Lanarkshire</c:v>
                </c:pt>
                <c:pt idx="26">
                  <c:v>Falkirk</c:v>
                </c:pt>
                <c:pt idx="27">
                  <c:v>West Dunbartonshire</c:v>
                </c:pt>
                <c:pt idx="28">
                  <c:v>East Lothian</c:v>
                </c:pt>
                <c:pt idx="29">
                  <c:v>Midlothian</c:v>
                </c:pt>
                <c:pt idx="30">
                  <c:v>West Lothian</c:v>
                </c:pt>
                <c:pt idx="31">
                  <c:v>East Dunbartonshire</c:v>
                </c:pt>
                <c:pt idx="32">
                  <c:v>East Renfrewshire</c:v>
                </c:pt>
              </c:strCache>
            </c:strRef>
          </c:cat>
          <c:val>
            <c:numRef>
              <c:f>'Figure 5 data'!$B$5:$B$37</c:f>
              <c:numCache>
                <c:formatCode>##0.0</c:formatCode>
                <c:ptCount val="33"/>
                <c:pt idx="0">
                  <c:v>8</c:v>
                </c:pt>
                <c:pt idx="1">
                  <c:v>6.7</c:v>
                </c:pt>
                <c:pt idx="2">
                  <c:v>6.6</c:v>
                </c:pt>
                <c:pt idx="3">
                  <c:v>6.1</c:v>
                </c:pt>
                <c:pt idx="4">
                  <c:v>6.1</c:v>
                </c:pt>
                <c:pt idx="5">
                  <c:v>4.8</c:v>
                </c:pt>
                <c:pt idx="6">
                  <c:v>4.4000000000000004</c:v>
                </c:pt>
                <c:pt idx="7">
                  <c:v>4.4000000000000004</c:v>
                </c:pt>
                <c:pt idx="8">
                  <c:v>4.4000000000000004</c:v>
                </c:pt>
                <c:pt idx="9">
                  <c:v>4.3</c:v>
                </c:pt>
                <c:pt idx="10">
                  <c:v>4.0999999999999996</c:v>
                </c:pt>
                <c:pt idx="11">
                  <c:v>3.7</c:v>
                </c:pt>
                <c:pt idx="12">
                  <c:v>3.6</c:v>
                </c:pt>
                <c:pt idx="13">
                  <c:v>3.5</c:v>
                </c:pt>
                <c:pt idx="14">
                  <c:v>3.5</c:v>
                </c:pt>
                <c:pt idx="15">
                  <c:v>3.3</c:v>
                </c:pt>
                <c:pt idx="16">
                  <c:v>3.2</c:v>
                </c:pt>
                <c:pt idx="17">
                  <c:v>3</c:v>
                </c:pt>
                <c:pt idx="18">
                  <c:v>3</c:v>
                </c:pt>
                <c:pt idx="19">
                  <c:v>2.9</c:v>
                </c:pt>
                <c:pt idx="20">
                  <c:v>2.7</c:v>
                </c:pt>
                <c:pt idx="21">
                  <c:v>2.5</c:v>
                </c:pt>
                <c:pt idx="22">
                  <c:v>2.4</c:v>
                </c:pt>
                <c:pt idx="23">
                  <c:v>2.4</c:v>
                </c:pt>
                <c:pt idx="24">
                  <c:v>2.2999999999999998</c:v>
                </c:pt>
                <c:pt idx="25">
                  <c:v>2.2999999999999998</c:v>
                </c:pt>
                <c:pt idx="26">
                  <c:v>2.2000000000000002</c:v>
                </c:pt>
                <c:pt idx="27">
                  <c:v>2.1</c:v>
                </c:pt>
                <c:pt idx="28">
                  <c:v>2</c:v>
                </c:pt>
                <c:pt idx="29">
                  <c:v>1.9</c:v>
                </c:pt>
                <c:pt idx="30">
                  <c:v>1.9</c:v>
                </c:pt>
                <c:pt idx="31">
                  <c:v>1.6</c:v>
                </c:pt>
                <c:pt idx="32">
                  <c:v>1</c:v>
                </c:pt>
              </c:numCache>
            </c:numRef>
          </c:val>
          <c:extLst>
            <c:ext xmlns:c16="http://schemas.microsoft.com/office/drawing/2014/chart" uri="{C3380CC4-5D6E-409C-BE32-E72D297353CC}">
              <c16:uniqueId val="{00000006-F150-40EF-AF0E-39A0F6404C84}"/>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scaling>
        <c:delete val="1"/>
        <c:axPos val="t"/>
        <c:numFmt formatCode="##0.0" sourceLinked="1"/>
        <c:majorTickMark val="out"/>
        <c:minorTickMark val="none"/>
        <c:tickLblPos val="nextTo"/>
        <c:crossAx val="13883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Long-term empty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51683295087498726"/>
          <c:y val="6.8574628595584275E-2"/>
          <c:w val="0.43426885118286734"/>
          <c:h val="0.91019194417057903"/>
        </c:manualLayout>
      </c:layout>
      <c:barChart>
        <c:barDir val="bar"/>
        <c:grouping val="clustered"/>
        <c:varyColors val="0"/>
        <c:ser>
          <c:idx val="0"/>
          <c:order val="0"/>
          <c:spPr>
            <a:solidFill>
              <a:srgbClr val="949494"/>
            </a:solidFill>
            <a:ln>
              <a:noFill/>
            </a:ln>
            <a:effectLst/>
          </c:spPr>
          <c:invertIfNegative val="0"/>
          <c:dPt>
            <c:idx val="11"/>
            <c:invertIfNegative val="0"/>
            <c:bubble3D val="0"/>
            <c:spPr>
              <a:solidFill>
                <a:srgbClr val="6C297F"/>
              </a:solidFill>
              <a:ln>
                <a:solidFill>
                  <a:srgbClr val="6C297F"/>
                </a:solidFill>
              </a:ln>
              <a:effectLst/>
            </c:spPr>
            <c:extLst>
              <c:ext xmlns:c16="http://schemas.microsoft.com/office/drawing/2014/chart" uri="{C3380CC4-5D6E-409C-BE32-E72D297353CC}">
                <c16:uniqueId val="{00000001-F407-4B19-A11E-A07EC4A2A212}"/>
              </c:ext>
            </c:extLst>
          </c:dPt>
          <c:dPt>
            <c:idx val="12"/>
            <c:invertIfNegative val="0"/>
            <c:bubble3D val="0"/>
            <c:spPr>
              <a:solidFill>
                <a:srgbClr val="949494"/>
              </a:solidFill>
              <a:ln>
                <a:noFill/>
              </a:ln>
              <a:effectLst/>
            </c:spPr>
            <c:extLst>
              <c:ext xmlns:c16="http://schemas.microsoft.com/office/drawing/2014/chart" uri="{C3380CC4-5D6E-409C-BE32-E72D297353CC}">
                <c16:uniqueId val="{00000003-F407-4B19-A11E-A07EC4A2A212}"/>
              </c:ext>
            </c:extLst>
          </c:dPt>
          <c:dPt>
            <c:idx val="13"/>
            <c:invertIfNegative val="0"/>
            <c:bubble3D val="0"/>
            <c:spPr>
              <a:solidFill>
                <a:srgbClr val="949494"/>
              </a:solidFill>
              <a:ln>
                <a:solidFill>
                  <a:srgbClr val="949494"/>
                </a:solidFill>
              </a:ln>
              <a:effectLst/>
            </c:spPr>
            <c:extLst>
              <c:ext xmlns:c16="http://schemas.microsoft.com/office/drawing/2014/chart" uri="{C3380CC4-5D6E-409C-BE32-E72D297353CC}">
                <c16:uniqueId val="{00000005-F407-4B19-A11E-A07EC4A2A212}"/>
              </c:ext>
            </c:extLst>
          </c:dPt>
          <c:dLbls>
            <c:dLbl>
              <c:idx val="22"/>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6-F407-4B19-A11E-A07EC4A2A212}"/>
                </c:ext>
              </c:extLst>
            </c:dLbl>
            <c:dLbl>
              <c:idx val="23"/>
              <c:spPr>
                <a:noFill/>
                <a:ln>
                  <a:noFill/>
                </a:ln>
                <a:effectLst/>
              </c:spPr>
              <c:txPr>
                <a:bodyPr rot="0" spcFirstLastPara="1" vertOverflow="ellipsis" vert="horz" wrap="square" anchor="ctr" anchorCtr="1"/>
                <a:lstStyle/>
                <a:p>
                  <a:pPr algn="ctr" rtl="0">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407-4B19-A11E-A07EC4A2A212}"/>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 data'!$D$5:$D$37</c:f>
              <c:strCache>
                <c:ptCount val="33"/>
                <c:pt idx="0">
                  <c:v>Argyll and Bute</c:v>
                </c:pt>
                <c:pt idx="1">
                  <c:v>Aberdeen City</c:v>
                </c:pt>
                <c:pt idx="2">
                  <c:v>Na h-Eileanan Siar</c:v>
                </c:pt>
                <c:pt idx="3">
                  <c:v>Shetland Islands</c:v>
                </c:pt>
                <c:pt idx="4">
                  <c:v>Highland</c:v>
                </c:pt>
                <c:pt idx="5">
                  <c:v>Orkney Islands</c:v>
                </c:pt>
                <c:pt idx="6">
                  <c:v>Scottish Borders</c:v>
                </c:pt>
                <c:pt idx="7">
                  <c:v>Angus</c:v>
                </c:pt>
                <c:pt idx="8">
                  <c:v>Aberdeenshire</c:v>
                </c:pt>
                <c:pt idx="9">
                  <c:v>Dumfries and Galloway</c:v>
                </c:pt>
                <c:pt idx="10">
                  <c:v>Perth and Kinross</c:v>
                </c:pt>
                <c:pt idx="11">
                  <c:v>Scotland</c:v>
                </c:pt>
                <c:pt idx="12">
                  <c:v>Moray</c:v>
                </c:pt>
                <c:pt idx="13">
                  <c:v>South Ayrshire</c:v>
                </c:pt>
                <c:pt idx="14">
                  <c:v>North Lanarkshire</c:v>
                </c:pt>
                <c:pt idx="15">
                  <c:v>Fife</c:v>
                </c:pt>
                <c:pt idx="16">
                  <c:v>Inverclyde</c:v>
                </c:pt>
                <c:pt idx="17">
                  <c:v>Stirling</c:v>
                </c:pt>
                <c:pt idx="18">
                  <c:v>Dundee City</c:v>
                </c:pt>
                <c:pt idx="19">
                  <c:v>North Ayrshire</c:v>
                </c:pt>
                <c:pt idx="20">
                  <c:v>City of Edinburgh</c:v>
                </c:pt>
                <c:pt idx="21">
                  <c:v>Midlothian</c:v>
                </c:pt>
                <c:pt idx="22">
                  <c:v>East Lothian</c:v>
                </c:pt>
                <c:pt idx="23">
                  <c:v>Glasgow City</c:v>
                </c:pt>
                <c:pt idx="24">
                  <c:v>Renfrewshire</c:v>
                </c:pt>
                <c:pt idx="25">
                  <c:v>South Lanarkshire</c:v>
                </c:pt>
                <c:pt idx="26">
                  <c:v>East Ayrshire</c:v>
                </c:pt>
                <c:pt idx="27">
                  <c:v>Falkirk</c:v>
                </c:pt>
                <c:pt idx="28">
                  <c:v>West Lothian</c:v>
                </c:pt>
                <c:pt idx="29">
                  <c:v>Clackmannanshire</c:v>
                </c:pt>
                <c:pt idx="30">
                  <c:v>West Dunbartonshire</c:v>
                </c:pt>
                <c:pt idx="31">
                  <c:v>East Dunbartonshire</c:v>
                </c:pt>
                <c:pt idx="32">
                  <c:v>East Renfrewshire</c:v>
                </c:pt>
              </c:strCache>
            </c:strRef>
          </c:cat>
          <c:val>
            <c:numRef>
              <c:f>'Figure 5 data'!$E$5:$E$37</c:f>
              <c:numCache>
                <c:formatCode>##0.0</c:formatCode>
                <c:ptCount val="33"/>
                <c:pt idx="0">
                  <c:v>4.9000000000000004</c:v>
                </c:pt>
                <c:pt idx="1">
                  <c:v>4.8</c:v>
                </c:pt>
                <c:pt idx="2">
                  <c:v>4.4000000000000004</c:v>
                </c:pt>
                <c:pt idx="3">
                  <c:v>4.2</c:v>
                </c:pt>
                <c:pt idx="4">
                  <c:v>3.2</c:v>
                </c:pt>
                <c:pt idx="5">
                  <c:v>2.7</c:v>
                </c:pt>
                <c:pt idx="6">
                  <c:v>2.5</c:v>
                </c:pt>
                <c:pt idx="7">
                  <c:v>2.4</c:v>
                </c:pt>
                <c:pt idx="8">
                  <c:v>2.2999999999999998</c:v>
                </c:pt>
                <c:pt idx="9">
                  <c:v>2.2999999999999998</c:v>
                </c:pt>
                <c:pt idx="10">
                  <c:v>1.9</c:v>
                </c:pt>
                <c:pt idx="11">
                  <c:v>1.6</c:v>
                </c:pt>
                <c:pt idx="12">
                  <c:v>1.6</c:v>
                </c:pt>
                <c:pt idx="13">
                  <c:v>1.6</c:v>
                </c:pt>
                <c:pt idx="14">
                  <c:v>1.5</c:v>
                </c:pt>
                <c:pt idx="15">
                  <c:v>1.4</c:v>
                </c:pt>
                <c:pt idx="16">
                  <c:v>1.4</c:v>
                </c:pt>
                <c:pt idx="17">
                  <c:v>1.4</c:v>
                </c:pt>
                <c:pt idx="18">
                  <c:v>1.2</c:v>
                </c:pt>
                <c:pt idx="19">
                  <c:v>1.2</c:v>
                </c:pt>
                <c:pt idx="20">
                  <c:v>1.1000000000000001</c:v>
                </c:pt>
                <c:pt idx="21">
                  <c:v>1</c:v>
                </c:pt>
                <c:pt idx="22">
                  <c:v>0.9</c:v>
                </c:pt>
                <c:pt idx="23">
                  <c:v>0.9</c:v>
                </c:pt>
                <c:pt idx="24">
                  <c:v>0.9</c:v>
                </c:pt>
                <c:pt idx="25">
                  <c:v>0.9</c:v>
                </c:pt>
                <c:pt idx="26">
                  <c:v>0.8</c:v>
                </c:pt>
                <c:pt idx="27">
                  <c:v>0.8</c:v>
                </c:pt>
                <c:pt idx="28">
                  <c:v>0.7</c:v>
                </c:pt>
                <c:pt idx="29">
                  <c:v>0.6</c:v>
                </c:pt>
                <c:pt idx="30">
                  <c:v>0.6</c:v>
                </c:pt>
                <c:pt idx="31">
                  <c:v>0.5</c:v>
                </c:pt>
                <c:pt idx="32">
                  <c:v>0.1</c:v>
                </c:pt>
              </c:numCache>
            </c:numRef>
          </c:val>
          <c:extLst>
            <c:ext xmlns:c16="http://schemas.microsoft.com/office/drawing/2014/chart" uri="{C3380CC4-5D6E-409C-BE32-E72D297353CC}">
              <c16:uniqueId val="{00000008-F407-4B19-A11E-A07EC4A2A212}"/>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0.0" sourceLinked="1"/>
        <c:majorTickMark val="out"/>
        <c:minorTickMark val="none"/>
        <c:tickLblPos val="nextTo"/>
        <c:crossAx val="13883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Second homes</a:t>
            </a:r>
            <a:r>
              <a:rPr lang="en-US" b="1" baseline="0">
                <a:latin typeface="Arial" panose="020B0604020202020204" pitchFamily="34" charset="0"/>
                <a:cs typeface="Arial" panose="020B0604020202020204" pitchFamily="34" charset="0"/>
              </a:rPr>
              <a:t> </a:t>
            </a:r>
            <a:r>
              <a:rPr lang="en-US" b="1">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49736116800629981"/>
          <c:y val="6.2842058781428775E-2"/>
          <c:w val="0.47511160395501206"/>
          <c:h val="0.91466019814365773"/>
        </c:manualLayout>
      </c:layout>
      <c:barChart>
        <c:barDir val="bar"/>
        <c:grouping val="clustered"/>
        <c:varyColors val="0"/>
        <c:ser>
          <c:idx val="0"/>
          <c:order val="0"/>
          <c:spPr>
            <a:solidFill>
              <a:srgbClr val="949494"/>
            </a:solidFill>
            <a:ln>
              <a:noFill/>
            </a:ln>
            <a:effectLst/>
          </c:spPr>
          <c:invertIfNegative val="0"/>
          <c:dPt>
            <c:idx val="12"/>
            <c:invertIfNegative val="0"/>
            <c:bubble3D val="0"/>
            <c:spPr>
              <a:solidFill>
                <a:srgbClr val="949494"/>
              </a:solidFill>
              <a:ln>
                <a:noFill/>
              </a:ln>
              <a:effectLst/>
            </c:spPr>
            <c:extLst>
              <c:ext xmlns:c16="http://schemas.microsoft.com/office/drawing/2014/chart" uri="{C3380CC4-5D6E-409C-BE32-E72D297353CC}">
                <c16:uniqueId val="{00000001-7B8F-4818-871E-DFF7517FB949}"/>
              </c:ext>
            </c:extLst>
          </c:dPt>
          <c:dPt>
            <c:idx val="13"/>
            <c:invertIfNegative val="0"/>
            <c:bubble3D val="0"/>
            <c:spPr>
              <a:solidFill>
                <a:srgbClr val="6C297F"/>
              </a:solidFill>
              <a:ln>
                <a:noFill/>
              </a:ln>
              <a:effectLst/>
            </c:spPr>
            <c:extLst>
              <c:ext xmlns:c16="http://schemas.microsoft.com/office/drawing/2014/chart" uri="{C3380CC4-5D6E-409C-BE32-E72D297353CC}">
                <c16:uniqueId val="{00000003-7B8F-4818-871E-DFF7517FB949}"/>
              </c:ext>
            </c:extLst>
          </c:dPt>
          <c:dLbls>
            <c:dLbl>
              <c:idx val="22"/>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7B8F-4818-871E-DFF7517FB949}"/>
                </c:ext>
              </c:extLst>
            </c:dLbl>
            <c:dLbl>
              <c:idx val="23"/>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B8F-4818-871E-DFF7517FB94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 data'!$G$5:$G$37</c:f>
              <c:strCache>
                <c:ptCount val="33"/>
                <c:pt idx="0">
                  <c:v>Na h-Eileanan Siar</c:v>
                </c:pt>
                <c:pt idx="1">
                  <c:v>Argyll and Bute</c:v>
                </c:pt>
                <c:pt idx="2">
                  <c:v>Orkney Islands</c:v>
                </c:pt>
                <c:pt idx="3">
                  <c:v>Highland</c:v>
                </c:pt>
                <c:pt idx="4">
                  <c:v>North Ayrshire</c:v>
                </c:pt>
                <c:pt idx="5">
                  <c:v>Shetland Islands</c:v>
                </c:pt>
                <c:pt idx="6">
                  <c:v>Dumfries and Galloway</c:v>
                </c:pt>
                <c:pt idx="7">
                  <c:v>Moray</c:v>
                </c:pt>
                <c:pt idx="8">
                  <c:v>Scottish Borders</c:v>
                </c:pt>
                <c:pt idx="9">
                  <c:v>Perth and Kinross</c:v>
                </c:pt>
                <c:pt idx="10">
                  <c:v>Fife</c:v>
                </c:pt>
                <c:pt idx="11">
                  <c:v>East Lothian</c:v>
                </c:pt>
                <c:pt idx="12">
                  <c:v>Aberdeenshire</c:v>
                </c:pt>
                <c:pt idx="13">
                  <c:v>South Ayrshire</c:v>
                </c:pt>
                <c:pt idx="14">
                  <c:v>Scotland</c:v>
                </c:pt>
                <c:pt idx="15">
                  <c:v>Stirling</c:v>
                </c:pt>
                <c:pt idx="16">
                  <c:v>Angus</c:v>
                </c:pt>
                <c:pt idx="17">
                  <c:v>City of Edinburgh</c:v>
                </c:pt>
                <c:pt idx="18">
                  <c:v>Aberdeen City</c:v>
                </c:pt>
                <c:pt idx="19">
                  <c:v>Dundee City</c:v>
                </c:pt>
                <c:pt idx="20">
                  <c:v>Glasgow City</c:v>
                </c:pt>
                <c:pt idx="21">
                  <c:v>Inverclyde</c:v>
                </c:pt>
                <c:pt idx="22">
                  <c:v>Clackmannanshire</c:v>
                </c:pt>
                <c:pt idx="23">
                  <c:v>East Ayrshire</c:v>
                </c:pt>
                <c:pt idx="24">
                  <c:v>East Dunbartonshire</c:v>
                </c:pt>
                <c:pt idx="25">
                  <c:v>East Renfrewshire</c:v>
                </c:pt>
                <c:pt idx="26">
                  <c:v>Falkirk</c:v>
                </c:pt>
                <c:pt idx="27">
                  <c:v>Renfrewshire</c:v>
                </c:pt>
                <c:pt idx="28">
                  <c:v>South Lanarkshire</c:v>
                </c:pt>
                <c:pt idx="29">
                  <c:v>West Lothian</c:v>
                </c:pt>
                <c:pt idx="30">
                  <c:v>Midlothian</c:v>
                </c:pt>
                <c:pt idx="31">
                  <c:v>North Lanarkshire</c:v>
                </c:pt>
                <c:pt idx="32">
                  <c:v>West Dunbartonshire</c:v>
                </c:pt>
              </c:strCache>
            </c:strRef>
          </c:cat>
          <c:val>
            <c:numRef>
              <c:f>'Figure 5 data'!$H$5:$H$37</c:f>
              <c:numCache>
                <c:formatCode>##0.0</c:formatCode>
                <c:ptCount val="33"/>
                <c:pt idx="0">
                  <c:v>5.9</c:v>
                </c:pt>
                <c:pt idx="1">
                  <c:v>5.6</c:v>
                </c:pt>
                <c:pt idx="2">
                  <c:v>3.6</c:v>
                </c:pt>
                <c:pt idx="3">
                  <c:v>2.7</c:v>
                </c:pt>
                <c:pt idx="4">
                  <c:v>1.9</c:v>
                </c:pt>
                <c:pt idx="5">
                  <c:v>1.7</c:v>
                </c:pt>
                <c:pt idx="6">
                  <c:v>1.6</c:v>
                </c:pt>
                <c:pt idx="7">
                  <c:v>1.5</c:v>
                </c:pt>
                <c:pt idx="8">
                  <c:v>1.4</c:v>
                </c:pt>
                <c:pt idx="9">
                  <c:v>1.3</c:v>
                </c:pt>
                <c:pt idx="10">
                  <c:v>1.1000000000000001</c:v>
                </c:pt>
                <c:pt idx="11">
                  <c:v>1</c:v>
                </c:pt>
                <c:pt idx="12">
                  <c:v>0.9</c:v>
                </c:pt>
                <c:pt idx="13">
                  <c:v>0.9</c:v>
                </c:pt>
                <c:pt idx="14">
                  <c:v>0.8</c:v>
                </c:pt>
                <c:pt idx="15">
                  <c:v>0.7</c:v>
                </c:pt>
                <c:pt idx="16">
                  <c:v>0.5</c:v>
                </c:pt>
                <c:pt idx="17">
                  <c:v>0.5</c:v>
                </c:pt>
                <c:pt idx="18">
                  <c:v>0.3</c:v>
                </c:pt>
                <c:pt idx="19">
                  <c:v>0.2</c:v>
                </c:pt>
                <c:pt idx="20">
                  <c:v>0.2</c:v>
                </c:pt>
                <c:pt idx="21">
                  <c:v>0.2</c:v>
                </c:pt>
                <c:pt idx="22">
                  <c:v>0.1</c:v>
                </c:pt>
                <c:pt idx="23">
                  <c:v>0.1</c:v>
                </c:pt>
                <c:pt idx="24">
                  <c:v>0.1</c:v>
                </c:pt>
                <c:pt idx="25">
                  <c:v>0.1</c:v>
                </c:pt>
                <c:pt idx="26">
                  <c:v>0.1</c:v>
                </c:pt>
                <c:pt idx="27">
                  <c:v>0.1</c:v>
                </c:pt>
                <c:pt idx="28">
                  <c:v>0.1</c:v>
                </c:pt>
                <c:pt idx="29">
                  <c:v>0.1</c:v>
                </c:pt>
                <c:pt idx="30">
                  <c:v>0</c:v>
                </c:pt>
                <c:pt idx="31">
                  <c:v>0</c:v>
                </c:pt>
                <c:pt idx="32">
                  <c:v>0</c:v>
                </c:pt>
              </c:numCache>
            </c:numRef>
          </c:val>
          <c:extLst>
            <c:ext xmlns:c16="http://schemas.microsoft.com/office/drawing/2014/chart" uri="{C3380CC4-5D6E-409C-BE32-E72D297353CC}">
              <c16:uniqueId val="{00000006-7B8F-4818-871E-DFF7517FB949}"/>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0.0" sourceLinked="1"/>
        <c:majorTickMark val="out"/>
        <c:minorTickMark val="none"/>
        <c:tickLblPos val="nextTo"/>
        <c:crossAx val="1388380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Second homes</a:t>
            </a:r>
            <a:r>
              <a:rPr lang="en-US" b="1" baseline="0">
                <a:latin typeface="Arial" panose="020B0604020202020204" pitchFamily="34" charset="0"/>
                <a:cs typeface="Arial" panose="020B0604020202020204" pitchFamily="34" charset="0"/>
              </a:rPr>
              <a:t> </a:t>
            </a:r>
            <a:r>
              <a:rPr lang="en-US" b="1">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tx>
            <c:strRef>
              <c:f>'Figure 5 data'!$H$4</c:f>
              <c:strCache>
                <c:ptCount val="1"/>
                <c:pt idx="0">
                  <c:v>Second homes (%)</c:v>
                </c:pt>
              </c:strCache>
            </c:strRef>
          </c:tx>
          <c:spPr>
            <a:solidFill>
              <a:srgbClr val="949494"/>
            </a:solidFill>
            <a:ln>
              <a:noFill/>
            </a:ln>
            <a:effectLst/>
          </c:spPr>
          <c:invertIfNegative val="0"/>
          <c:dPt>
            <c:idx val="12"/>
            <c:invertIfNegative val="0"/>
            <c:bubble3D val="0"/>
            <c:spPr>
              <a:solidFill>
                <a:srgbClr val="6C297F"/>
              </a:solidFill>
              <a:ln>
                <a:noFill/>
              </a:ln>
              <a:effectLst/>
            </c:spPr>
            <c:extLst>
              <c:ext xmlns:c16="http://schemas.microsoft.com/office/drawing/2014/chart" uri="{C3380CC4-5D6E-409C-BE32-E72D297353CC}">
                <c16:uniqueId val="{00000001-539C-4CDF-B74A-3414A27AD4B6}"/>
              </c:ext>
            </c:extLst>
          </c:dPt>
          <c:dLbls>
            <c:dLbl>
              <c:idx val="22"/>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539C-4CDF-B74A-3414A27AD4B6}"/>
                </c:ext>
              </c:extLst>
            </c:dLbl>
            <c:dLbl>
              <c:idx val="23"/>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39C-4CDF-B74A-3414A27AD4B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 data'!$G$5:$G$37</c:f>
              <c:strCache>
                <c:ptCount val="33"/>
                <c:pt idx="0">
                  <c:v>Na h-Eileanan Siar</c:v>
                </c:pt>
                <c:pt idx="1">
                  <c:v>Argyll and Bute</c:v>
                </c:pt>
                <c:pt idx="2">
                  <c:v>Orkney Islands</c:v>
                </c:pt>
                <c:pt idx="3">
                  <c:v>Highland</c:v>
                </c:pt>
                <c:pt idx="4">
                  <c:v>North Ayrshire</c:v>
                </c:pt>
                <c:pt idx="5">
                  <c:v>Shetland Islands</c:v>
                </c:pt>
                <c:pt idx="6">
                  <c:v>Dumfries and Galloway</c:v>
                </c:pt>
                <c:pt idx="7">
                  <c:v>Moray</c:v>
                </c:pt>
                <c:pt idx="8">
                  <c:v>Scottish Borders</c:v>
                </c:pt>
                <c:pt idx="9">
                  <c:v>Perth and Kinross</c:v>
                </c:pt>
                <c:pt idx="10">
                  <c:v>Fife</c:v>
                </c:pt>
                <c:pt idx="11">
                  <c:v>East Lothian</c:v>
                </c:pt>
                <c:pt idx="12">
                  <c:v>Aberdeenshire</c:v>
                </c:pt>
                <c:pt idx="13">
                  <c:v>South Ayrshire</c:v>
                </c:pt>
                <c:pt idx="14">
                  <c:v>Scotland</c:v>
                </c:pt>
                <c:pt idx="15">
                  <c:v>Stirling</c:v>
                </c:pt>
                <c:pt idx="16">
                  <c:v>Angus</c:v>
                </c:pt>
                <c:pt idx="17">
                  <c:v>City of Edinburgh</c:v>
                </c:pt>
                <c:pt idx="18">
                  <c:v>Aberdeen City</c:v>
                </c:pt>
                <c:pt idx="19">
                  <c:v>Dundee City</c:v>
                </c:pt>
                <c:pt idx="20">
                  <c:v>Glasgow City</c:v>
                </c:pt>
                <c:pt idx="21">
                  <c:v>Inverclyde</c:v>
                </c:pt>
                <c:pt idx="22">
                  <c:v>Clackmannanshire</c:v>
                </c:pt>
                <c:pt idx="23">
                  <c:v>East Ayrshire</c:v>
                </c:pt>
                <c:pt idx="24">
                  <c:v>East Dunbartonshire</c:v>
                </c:pt>
                <c:pt idx="25">
                  <c:v>East Renfrewshire</c:v>
                </c:pt>
                <c:pt idx="26">
                  <c:v>Falkirk</c:v>
                </c:pt>
                <c:pt idx="27">
                  <c:v>Renfrewshire</c:v>
                </c:pt>
                <c:pt idx="28">
                  <c:v>South Lanarkshire</c:v>
                </c:pt>
                <c:pt idx="29">
                  <c:v>West Lothian</c:v>
                </c:pt>
                <c:pt idx="30">
                  <c:v>Midlothian</c:v>
                </c:pt>
                <c:pt idx="31">
                  <c:v>North Lanarkshire</c:v>
                </c:pt>
                <c:pt idx="32">
                  <c:v>West Dunbartonshire</c:v>
                </c:pt>
              </c:strCache>
            </c:strRef>
          </c:cat>
          <c:val>
            <c:numRef>
              <c:f>'Figure 5 data'!$H$5:$H$37</c:f>
              <c:numCache>
                <c:formatCode>##0.0</c:formatCode>
                <c:ptCount val="33"/>
                <c:pt idx="0">
                  <c:v>5.9</c:v>
                </c:pt>
                <c:pt idx="1">
                  <c:v>5.6</c:v>
                </c:pt>
                <c:pt idx="2">
                  <c:v>3.6</c:v>
                </c:pt>
                <c:pt idx="3">
                  <c:v>2.7</c:v>
                </c:pt>
                <c:pt idx="4">
                  <c:v>1.9</c:v>
                </c:pt>
                <c:pt idx="5">
                  <c:v>1.7</c:v>
                </c:pt>
                <c:pt idx="6">
                  <c:v>1.6</c:v>
                </c:pt>
                <c:pt idx="7">
                  <c:v>1.5</c:v>
                </c:pt>
                <c:pt idx="8">
                  <c:v>1.4</c:v>
                </c:pt>
                <c:pt idx="9">
                  <c:v>1.3</c:v>
                </c:pt>
                <c:pt idx="10">
                  <c:v>1.1000000000000001</c:v>
                </c:pt>
                <c:pt idx="11">
                  <c:v>1</c:v>
                </c:pt>
                <c:pt idx="12">
                  <c:v>0.9</c:v>
                </c:pt>
                <c:pt idx="13">
                  <c:v>0.9</c:v>
                </c:pt>
                <c:pt idx="14">
                  <c:v>0.8</c:v>
                </c:pt>
                <c:pt idx="15">
                  <c:v>0.7</c:v>
                </c:pt>
                <c:pt idx="16">
                  <c:v>0.5</c:v>
                </c:pt>
                <c:pt idx="17">
                  <c:v>0.5</c:v>
                </c:pt>
                <c:pt idx="18">
                  <c:v>0.3</c:v>
                </c:pt>
                <c:pt idx="19">
                  <c:v>0.2</c:v>
                </c:pt>
                <c:pt idx="20">
                  <c:v>0.2</c:v>
                </c:pt>
                <c:pt idx="21">
                  <c:v>0.2</c:v>
                </c:pt>
                <c:pt idx="22">
                  <c:v>0.1</c:v>
                </c:pt>
                <c:pt idx="23">
                  <c:v>0.1</c:v>
                </c:pt>
                <c:pt idx="24">
                  <c:v>0.1</c:v>
                </c:pt>
                <c:pt idx="25">
                  <c:v>0.1</c:v>
                </c:pt>
                <c:pt idx="26">
                  <c:v>0.1</c:v>
                </c:pt>
                <c:pt idx="27">
                  <c:v>0.1</c:v>
                </c:pt>
                <c:pt idx="28">
                  <c:v>0.1</c:v>
                </c:pt>
                <c:pt idx="29">
                  <c:v>0.1</c:v>
                </c:pt>
                <c:pt idx="30">
                  <c:v>0</c:v>
                </c:pt>
                <c:pt idx="31">
                  <c:v>0</c:v>
                </c:pt>
                <c:pt idx="32">
                  <c:v>0</c:v>
                </c:pt>
              </c:numCache>
            </c:numRef>
          </c:val>
          <c:extLst>
            <c:ext xmlns:c16="http://schemas.microsoft.com/office/drawing/2014/chart" uri="{C3380CC4-5D6E-409C-BE32-E72D297353CC}">
              <c16:uniqueId val="{00000004-539C-4CDF-B74A-3414A27AD4B6}"/>
            </c:ext>
          </c:extLst>
        </c:ser>
        <c:dLbls>
          <c:showLegendKey val="0"/>
          <c:showVal val="0"/>
          <c:showCatName val="0"/>
          <c:showSerName val="0"/>
          <c:showPercent val="0"/>
          <c:showBubbleSize val="0"/>
        </c:dLbls>
        <c:gapWidth val="60"/>
        <c:axId val="1388380223"/>
        <c:axId val="1388359007"/>
      </c:barChart>
      <c:catAx>
        <c:axId val="13883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88359007"/>
        <c:crosses val="autoZero"/>
        <c:auto val="1"/>
        <c:lblAlgn val="ctr"/>
        <c:lblOffset val="100"/>
        <c:noMultiLvlLbl val="0"/>
      </c:catAx>
      <c:valAx>
        <c:axId val="1388359007"/>
        <c:scaling>
          <c:orientation val="minMax"/>
          <c:max val="8"/>
        </c:scaling>
        <c:delete val="1"/>
        <c:axPos val="t"/>
        <c:numFmt formatCode="##0.0" sourceLinked="1"/>
        <c:majorTickMark val="out"/>
        <c:minorTickMark val="none"/>
        <c:tickLblPos val="nextTo"/>
        <c:crossAx val="1388380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760801903375528E-2"/>
          <c:y val="2.5370016663171225E-2"/>
          <c:w val="0.90163513321321798"/>
          <c:h val="0.83937704314159656"/>
        </c:manualLayout>
      </c:layout>
      <c:barChart>
        <c:barDir val="col"/>
        <c:grouping val="clustered"/>
        <c:varyColors val="0"/>
        <c:ser>
          <c:idx val="0"/>
          <c:order val="0"/>
          <c:tx>
            <c:strRef>
              <c:f>'Figure 6 data'!$D$4</c:f>
              <c:strCache>
                <c:ptCount val="1"/>
                <c:pt idx="0">
                  <c:v>Percentage change since 2015</c:v>
                </c:pt>
              </c:strCache>
            </c:strRef>
          </c:tx>
          <c:spPr>
            <a:solidFill>
              <a:srgbClr val="7030A0"/>
            </a:solidFill>
            <a:ln>
              <a:solidFill>
                <a:srgbClr val="7030A0"/>
              </a:solidFill>
            </a:ln>
          </c:spPr>
          <c:invertIfNegative val="0"/>
          <c:dLbls>
            <c:spPr>
              <a:noFill/>
              <a:ln>
                <a:noFill/>
              </a:ln>
              <a:effectLst/>
            </c:spPr>
            <c:txPr>
              <a:bodyPr wrap="square" lIns="38100" tIns="19050" rIns="38100" bIns="19050" anchor="ctr">
                <a:spAutoFit/>
              </a:bodyPr>
              <a:lstStyle/>
              <a:p>
                <a:pPr>
                  <a:defRPr sz="1200">
                    <a:latin typeface="Arial" panose="020B0604020202020204" pitchFamily="34" charset="0"/>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6 data'!$B$5:$B$10</c:f>
              <c:strCache>
                <c:ptCount val="6"/>
                <c:pt idx="0">
                  <c:v>Large Urban Areas</c:v>
                </c:pt>
                <c:pt idx="1">
                  <c:v>Other Urban Areas</c:v>
                </c:pt>
                <c:pt idx="2">
                  <c:v>Accessible Small Towns</c:v>
                </c:pt>
                <c:pt idx="3">
                  <c:v>Remote Small Towns</c:v>
                </c:pt>
                <c:pt idx="4">
                  <c:v>Accessible Rural</c:v>
                </c:pt>
                <c:pt idx="5">
                  <c:v>Remote Rural</c:v>
                </c:pt>
              </c:strCache>
            </c:strRef>
          </c:cat>
          <c:val>
            <c:numRef>
              <c:f>'Figure 6 data'!$D$5:$D$10</c:f>
              <c:numCache>
                <c:formatCode>0.0</c:formatCode>
                <c:ptCount val="6"/>
                <c:pt idx="0">
                  <c:v>6.35</c:v>
                </c:pt>
                <c:pt idx="1">
                  <c:v>6.5</c:v>
                </c:pt>
                <c:pt idx="2">
                  <c:v>10.210000000000001</c:v>
                </c:pt>
                <c:pt idx="3">
                  <c:v>3.74</c:v>
                </c:pt>
                <c:pt idx="4">
                  <c:v>17.2</c:v>
                </c:pt>
                <c:pt idx="5">
                  <c:v>9.48</c:v>
                </c:pt>
              </c:numCache>
            </c:numRef>
          </c:val>
          <c:extLst>
            <c:ext xmlns:c16="http://schemas.microsoft.com/office/drawing/2014/chart" uri="{C3380CC4-5D6E-409C-BE32-E72D297353CC}">
              <c16:uniqueId val="{0000000C-FA94-49D9-865B-6251891F17AC}"/>
            </c:ext>
          </c:extLst>
        </c:ser>
        <c:dLbls>
          <c:showLegendKey val="0"/>
          <c:showVal val="0"/>
          <c:showCatName val="0"/>
          <c:showSerName val="0"/>
          <c:showPercent val="0"/>
          <c:showBubbleSize val="0"/>
        </c:dLbls>
        <c:gapWidth val="150"/>
        <c:overlap val="8"/>
        <c:axId val="1458663903"/>
        <c:axId val="1458659327"/>
      </c:barChart>
      <c:catAx>
        <c:axId val="14586639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659327"/>
        <c:crosses val="autoZero"/>
        <c:auto val="1"/>
        <c:lblAlgn val="ctr"/>
        <c:lblOffset val="100"/>
        <c:tickLblSkip val="1"/>
        <c:noMultiLvlLbl val="0"/>
      </c:catAx>
      <c:valAx>
        <c:axId val="1458659327"/>
        <c:scaling>
          <c:orientation val="minMax"/>
          <c:max val="3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663903"/>
        <c:crosses val="autoZero"/>
        <c:crossBetween val="between"/>
        <c:majorUnit val="4"/>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98490108091327"/>
          <c:y val="0.14532346159906842"/>
          <c:w val="0.75854975117357637"/>
          <c:h val="0.80720947708084689"/>
        </c:manualLayout>
      </c:layout>
      <c:barChart>
        <c:barDir val="bar"/>
        <c:grouping val="stacked"/>
        <c:varyColors val="0"/>
        <c:ser>
          <c:idx val="1"/>
          <c:order val="0"/>
          <c:tx>
            <c:v>Long-term empty dwellings  (%)</c:v>
          </c:tx>
          <c:spPr>
            <a:solidFill>
              <a:srgbClr val="6C297F"/>
            </a:solidFill>
            <a:ln>
              <a:solidFill>
                <a:srgbClr val="6C297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 = most deprived</c:v>
              </c:pt>
              <c:pt idx="1">
                <c:v>2</c:v>
              </c:pt>
              <c:pt idx="2">
                <c:v>3</c:v>
              </c:pt>
              <c:pt idx="3">
                <c:v>4</c:v>
              </c:pt>
              <c:pt idx="4">
                <c:v>5</c:v>
              </c:pt>
              <c:pt idx="5">
                <c:v>6</c:v>
              </c:pt>
              <c:pt idx="6">
                <c:v>7</c:v>
              </c:pt>
              <c:pt idx="7">
                <c:v>8</c:v>
              </c:pt>
              <c:pt idx="8">
                <c:v>9</c:v>
              </c:pt>
              <c:pt idx="9">
                <c:v>10 = least deprived</c:v>
              </c:pt>
            </c:strLit>
          </c:cat>
          <c:val>
            <c:numRef>
              <c:f>'Figure 7 data'!$E$5:$E$14</c:f>
              <c:numCache>
                <c:formatCode>##0.0</c:formatCode>
                <c:ptCount val="10"/>
                <c:pt idx="0">
                  <c:v>1.3</c:v>
                </c:pt>
                <c:pt idx="1">
                  <c:v>1.6</c:v>
                </c:pt>
                <c:pt idx="2">
                  <c:v>1.5</c:v>
                </c:pt>
                <c:pt idx="3">
                  <c:v>1.8</c:v>
                </c:pt>
                <c:pt idx="4">
                  <c:v>2</c:v>
                </c:pt>
                <c:pt idx="5">
                  <c:v>2.2999999999999998</c:v>
                </c:pt>
                <c:pt idx="6">
                  <c:v>1.8</c:v>
                </c:pt>
                <c:pt idx="7">
                  <c:v>1.4</c:v>
                </c:pt>
                <c:pt idx="8">
                  <c:v>1.1000000000000001</c:v>
                </c:pt>
                <c:pt idx="9">
                  <c:v>1.2</c:v>
                </c:pt>
              </c:numCache>
            </c:numRef>
          </c:val>
          <c:extLst>
            <c:ext xmlns:c16="http://schemas.microsoft.com/office/drawing/2014/chart" uri="{C3380CC4-5D6E-409C-BE32-E72D297353CC}">
              <c16:uniqueId val="{00000000-B297-4E4C-902C-B1D0857C6EF0}"/>
            </c:ext>
          </c:extLst>
        </c:ser>
        <c:ser>
          <c:idx val="0"/>
          <c:order val="1"/>
          <c:tx>
            <c:v>Unoccupied dwellings exempt from paying Council Tax (%)</c:v>
          </c:tx>
          <c:spPr>
            <a:solidFill>
              <a:schemeClr val="bg1"/>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 = most deprived</c:v>
              </c:pt>
              <c:pt idx="1">
                <c:v>2</c:v>
              </c:pt>
              <c:pt idx="2">
                <c:v>3</c:v>
              </c:pt>
              <c:pt idx="3">
                <c:v>4</c:v>
              </c:pt>
              <c:pt idx="4">
                <c:v>5</c:v>
              </c:pt>
              <c:pt idx="5">
                <c:v>6</c:v>
              </c:pt>
              <c:pt idx="6">
                <c:v>7</c:v>
              </c:pt>
              <c:pt idx="7">
                <c:v>8</c:v>
              </c:pt>
              <c:pt idx="8">
                <c:v>9</c:v>
              </c:pt>
              <c:pt idx="9">
                <c:v>10 = least deprived</c:v>
              </c:pt>
            </c:strLit>
          </c:cat>
          <c:val>
            <c:numRef>
              <c:f>'Figure 7 data'!$D$5:$D$14</c:f>
              <c:numCache>
                <c:formatCode>##0.0</c:formatCode>
                <c:ptCount val="10"/>
                <c:pt idx="0">
                  <c:v>2.2000000000000002</c:v>
                </c:pt>
                <c:pt idx="1">
                  <c:v>1.9</c:v>
                </c:pt>
                <c:pt idx="2">
                  <c:v>1.7</c:v>
                </c:pt>
                <c:pt idx="3">
                  <c:v>1.7</c:v>
                </c:pt>
                <c:pt idx="4">
                  <c:v>1.8</c:v>
                </c:pt>
                <c:pt idx="5">
                  <c:v>1.7</c:v>
                </c:pt>
                <c:pt idx="6">
                  <c:v>1.6</c:v>
                </c:pt>
                <c:pt idx="7">
                  <c:v>1.4</c:v>
                </c:pt>
                <c:pt idx="8">
                  <c:v>1.2</c:v>
                </c:pt>
                <c:pt idx="9">
                  <c:v>1.2</c:v>
                </c:pt>
              </c:numCache>
            </c:numRef>
          </c:val>
          <c:extLst>
            <c:ext xmlns:c16="http://schemas.microsoft.com/office/drawing/2014/chart" uri="{C3380CC4-5D6E-409C-BE32-E72D297353CC}">
              <c16:uniqueId val="{00000001-B297-4E4C-902C-B1D0857C6EF0}"/>
            </c:ext>
          </c:extLst>
        </c:ser>
        <c:ser>
          <c:idx val="2"/>
          <c:order val="2"/>
          <c:tx>
            <c:v>Second homes (%)</c:v>
          </c:tx>
          <c:spPr>
            <a:solidFill>
              <a:srgbClr val="BF78D3"/>
            </a:solidFill>
            <a:ln>
              <a:solidFill>
                <a:schemeClr val="accent1"/>
              </a:solidFill>
            </a:ln>
            <a:effectLst/>
          </c:spPr>
          <c:invertIfNegative val="0"/>
          <c:dLbls>
            <c:dLbl>
              <c:idx val="0"/>
              <c:layout>
                <c:manualLayout>
                  <c:x val="1.4832261141227652E-2"/>
                  <c:y val="1.900945086686298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37-4E74-AA35-E854784A1E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 = most deprived</c:v>
              </c:pt>
              <c:pt idx="1">
                <c:v>2</c:v>
              </c:pt>
              <c:pt idx="2">
                <c:v>3</c:v>
              </c:pt>
              <c:pt idx="3">
                <c:v>4</c:v>
              </c:pt>
              <c:pt idx="4">
                <c:v>5</c:v>
              </c:pt>
              <c:pt idx="5">
                <c:v>6</c:v>
              </c:pt>
              <c:pt idx="6">
                <c:v>7</c:v>
              </c:pt>
              <c:pt idx="7">
                <c:v>8</c:v>
              </c:pt>
              <c:pt idx="8">
                <c:v>9</c:v>
              </c:pt>
              <c:pt idx="9">
                <c:v>10 = least deprived</c:v>
              </c:pt>
            </c:strLit>
          </c:cat>
          <c:val>
            <c:numRef>
              <c:f>'Figure 7 data'!$F$5:$F$14</c:f>
              <c:numCache>
                <c:formatCode>##0.0</c:formatCode>
                <c:ptCount val="10"/>
                <c:pt idx="0">
                  <c:v>0.1</c:v>
                </c:pt>
                <c:pt idx="1">
                  <c:v>0.3</c:v>
                </c:pt>
                <c:pt idx="2">
                  <c:v>0.2</c:v>
                </c:pt>
                <c:pt idx="3">
                  <c:v>0.6</c:v>
                </c:pt>
                <c:pt idx="4">
                  <c:v>1.5</c:v>
                </c:pt>
                <c:pt idx="5">
                  <c:v>1.6</c:v>
                </c:pt>
                <c:pt idx="6">
                  <c:v>1.4</c:v>
                </c:pt>
                <c:pt idx="7">
                  <c:v>0.8</c:v>
                </c:pt>
                <c:pt idx="8">
                  <c:v>0.5</c:v>
                </c:pt>
                <c:pt idx="9">
                  <c:v>0.7</c:v>
                </c:pt>
              </c:numCache>
            </c:numRef>
          </c:val>
          <c:extLst>
            <c:ext xmlns:c16="http://schemas.microsoft.com/office/drawing/2014/chart" uri="{C3380CC4-5D6E-409C-BE32-E72D297353CC}">
              <c16:uniqueId val="{00000002-B297-4E4C-902C-B1D0857C6EF0}"/>
            </c:ext>
          </c:extLst>
        </c:ser>
        <c:dLbls>
          <c:showLegendKey val="0"/>
          <c:showVal val="0"/>
          <c:showCatName val="0"/>
          <c:showSerName val="0"/>
          <c:showPercent val="0"/>
          <c:showBubbleSize val="0"/>
        </c:dLbls>
        <c:gapWidth val="50"/>
        <c:overlap val="100"/>
        <c:axId val="2064388671"/>
        <c:axId val="2064391167"/>
      </c:barChart>
      <c:catAx>
        <c:axId val="2064388671"/>
        <c:scaling>
          <c:orientation val="maxMin"/>
        </c:scaling>
        <c:delete val="0"/>
        <c:axPos val="l"/>
        <c:numFmt formatCode="@* "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4391167"/>
        <c:crosses val="autoZero"/>
        <c:auto val="0"/>
        <c:lblAlgn val="ctr"/>
        <c:lblOffset val="0"/>
        <c:tickLblSkip val="1"/>
        <c:noMultiLvlLbl val="0"/>
      </c:catAx>
      <c:valAx>
        <c:axId val="2064391167"/>
        <c:scaling>
          <c:orientation val="minMax"/>
          <c:max val="6"/>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high"/>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4388671"/>
        <c:crosses val="autoZero"/>
        <c:crossBetween val="between"/>
      </c:valAx>
    </c:plotArea>
    <c:legend>
      <c:legendPos val="t"/>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
          <c:y val="5.2735358837721052E-3"/>
          <c:w val="0.47858409961685822"/>
          <c:h val="0.1307442866990111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281339200569448E-3"/>
          <c:y val="4.6504321536458559E-3"/>
          <c:w val="0.99317186607994323"/>
          <c:h val="0.85483174012058671"/>
        </c:manualLayout>
      </c:layout>
      <c:barChart>
        <c:barDir val="col"/>
        <c:grouping val="clustered"/>
        <c:varyColors val="0"/>
        <c:ser>
          <c:idx val="0"/>
          <c:order val="0"/>
          <c:tx>
            <c:v>1 = most deprived SIMD decile</c:v>
          </c:tx>
          <c:spPr>
            <a:solidFill>
              <a:srgbClr val="6C297F"/>
            </a:solidFill>
            <a:ln>
              <a:noFill/>
            </a:ln>
            <a:effectLst/>
          </c:spPr>
          <c:invertIfNegative val="0"/>
          <c:dLbls>
            <c:dLbl>
              <c:idx val="0"/>
              <c:tx>
                <c:rich>
                  <a:bodyPr/>
                  <a:lstStyle/>
                  <a:p>
                    <a:r>
                      <a:rPr lang="en-US"/>
                      <a:t>94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C68-4E94-962A-742F0C6C9AFA}"/>
                </c:ext>
              </c:extLst>
            </c:dLbl>
            <c:dLbl>
              <c:idx val="1"/>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fld id="{7873C89F-ADA7-491F-8D16-4A8E0672CA65}" type="VALUE">
                      <a:rPr lang="en-US" sz="1400" b="1">
                        <a:latin typeface="Arial" panose="020B0604020202020204" pitchFamily="34" charset="0"/>
                        <a:cs typeface="Arial" panose="020B0604020202020204" pitchFamily="34" charset="0"/>
                      </a:rPr>
                      <a:pPr>
                        <a:defRPr sz="1400" b="1">
                          <a:latin typeface="Arial" panose="020B0604020202020204" pitchFamily="34" charset="0"/>
                          <a:cs typeface="Arial" panose="020B0604020202020204" pitchFamily="34" charset="0"/>
                        </a:defRPr>
                      </a:pPr>
                      <a:t>[VALUE]</a:t>
                    </a:fld>
                    <a:endParaRPr lang="en-GB"/>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5.0513239103254504E-2"/>
                      <c:h val="5.5362394653513149E-2"/>
                    </c:manualLayout>
                  </c15:layout>
                  <c15:dlblFieldTable/>
                  <c15:showDataLabelsRange val="0"/>
                </c:ext>
                <c:ext xmlns:c16="http://schemas.microsoft.com/office/drawing/2014/chart" uri="{C3380CC4-5D6E-409C-BE32-E72D297353CC}">
                  <c16:uniqueId val="{00000001-6C68-4E94-962A-742F0C6C9AF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68-4E94-962A-742F0C6C9A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In bands A to C (%)</c:v>
              </c:pt>
              <c:pt idx="1">
                <c:v>With a 'single adult' Council Tax discount (%)</c:v>
              </c:pt>
              <c:pt idx="2">
                <c:v>Dwellings per hectare</c:v>
              </c:pt>
            </c:strLit>
          </c:cat>
          <c:val>
            <c:numRef>
              <c:f>'Figure 8 data'!$B$5:$B$7</c:f>
              <c:numCache>
                <c:formatCode>General</c:formatCode>
                <c:ptCount val="3"/>
                <c:pt idx="0">
                  <c:v>93.8</c:v>
                </c:pt>
                <c:pt idx="1">
                  <c:v>51.5</c:v>
                </c:pt>
                <c:pt idx="2" formatCode="##0.0">
                  <c:v>19.510000000000002</c:v>
                </c:pt>
              </c:numCache>
            </c:numRef>
          </c:val>
          <c:extLst>
            <c:ext xmlns:c16="http://schemas.microsoft.com/office/drawing/2014/chart" uri="{C3380CC4-5D6E-409C-BE32-E72D297353CC}">
              <c16:uniqueId val="{00000003-6C68-4E94-962A-742F0C6C9AFA}"/>
            </c:ext>
          </c:extLst>
        </c:ser>
        <c:ser>
          <c:idx val="1"/>
          <c:order val="1"/>
          <c:tx>
            <c:v>10 = least deprived SIMD decile</c:v>
          </c:tx>
          <c:spPr>
            <a:solidFill>
              <a:srgbClr val="949494"/>
            </a:solidFill>
            <a:ln>
              <a:noFill/>
            </a:ln>
            <a:effectLst/>
          </c:spPr>
          <c:invertIfNegative val="0"/>
          <c:dLbls>
            <c:dLbl>
              <c:idx val="0"/>
              <c:tx>
                <c:rich>
                  <a:bodyPr/>
                  <a:lstStyle/>
                  <a:p>
                    <a:r>
                      <a:rPr lang="en-US"/>
                      <a:t>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E-4F3C-8C0E-B23E91229E5B}"/>
                </c:ext>
              </c:extLst>
            </c:dLbl>
            <c:dLbl>
              <c:idx val="1"/>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fld id="{84BC681D-0215-41B1-BE2A-371BBC604030}" type="VALUE">
                      <a:rPr lang="en-US"/>
                      <a:pPr>
                        <a:defRPr sz="1400" b="1">
                          <a:latin typeface="Arial" panose="020B0604020202020204" pitchFamily="34" charset="0"/>
                          <a:cs typeface="Arial" panose="020B0604020202020204" pitchFamily="34" charset="0"/>
                        </a:defRPr>
                      </a:pPr>
                      <a:t>[VALUE]</a:t>
                    </a:fld>
                    <a:endParaRPr lang="en-GB"/>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5.4896800494916728E-2"/>
                      <c:h val="5.5362394653513149E-2"/>
                    </c:manualLayout>
                  </c15:layout>
                  <c15:dlblFieldTable/>
                  <c15:showDataLabelsRange val="0"/>
                </c:ext>
                <c:ext xmlns:c16="http://schemas.microsoft.com/office/drawing/2014/chart" uri="{C3380CC4-5D6E-409C-BE32-E72D297353CC}">
                  <c16:uniqueId val="{00000004-6C68-4E94-962A-742F0C6C9A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In bands A to C (%)</c:v>
              </c:pt>
              <c:pt idx="1">
                <c:v>With a 'single adult' Council Tax discount (%)</c:v>
              </c:pt>
              <c:pt idx="2">
                <c:v>Dwellings per hectare</c:v>
              </c:pt>
            </c:strLit>
          </c:cat>
          <c:val>
            <c:numRef>
              <c:f>'Figure 8 data'!$C$5:$C$7</c:f>
              <c:numCache>
                <c:formatCode>General</c:formatCode>
                <c:ptCount val="3"/>
                <c:pt idx="0" formatCode="##0.0">
                  <c:v>12.1</c:v>
                </c:pt>
                <c:pt idx="1">
                  <c:v>29.2</c:v>
                </c:pt>
                <c:pt idx="2" formatCode="##0.0">
                  <c:v>7.44</c:v>
                </c:pt>
              </c:numCache>
            </c:numRef>
          </c:val>
          <c:extLst>
            <c:ext xmlns:c16="http://schemas.microsoft.com/office/drawing/2014/chart" uri="{C3380CC4-5D6E-409C-BE32-E72D297353CC}">
              <c16:uniqueId val="{00000005-6C68-4E94-962A-742F0C6C9AFA}"/>
            </c:ext>
          </c:extLst>
        </c:ser>
        <c:dLbls>
          <c:showLegendKey val="0"/>
          <c:showVal val="0"/>
          <c:showCatName val="0"/>
          <c:showSerName val="0"/>
          <c:showPercent val="0"/>
          <c:showBubbleSize val="0"/>
        </c:dLbls>
        <c:gapWidth val="200"/>
        <c:axId val="1172851615"/>
        <c:axId val="1172860351"/>
      </c:barChart>
      <c:catAx>
        <c:axId val="117285161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72860351"/>
        <c:crosses val="autoZero"/>
        <c:auto val="1"/>
        <c:lblAlgn val="ctr"/>
        <c:lblOffset val="300"/>
        <c:tickLblSkip val="1"/>
        <c:noMultiLvlLbl val="0"/>
      </c:catAx>
      <c:valAx>
        <c:axId val="1172860351"/>
        <c:scaling>
          <c:orientation val="minMax"/>
        </c:scaling>
        <c:delete val="1"/>
        <c:axPos val="l"/>
        <c:numFmt formatCode="General" sourceLinked="1"/>
        <c:majorTickMark val="none"/>
        <c:minorTickMark val="none"/>
        <c:tickLblPos val="nextTo"/>
        <c:crossAx val="117285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90487</xdr:rowOff>
    </xdr:from>
    <xdr:to>
      <xdr:col>12</xdr:col>
      <xdr:colOff>576000</xdr:colOff>
      <xdr:row>33</xdr:row>
      <xdr:rowOff>16987</xdr:rowOff>
    </xdr:to>
    <xdr:graphicFrame macro="">
      <xdr:nvGraphicFramePr>
        <xdr:cNvPr id="2" name="Chart 1" descr="The chart illustrates the percenatge change in the number of househods and population compared to 2001. &#10; Number of households and population have been increasing in the last twenty years. &#10;The growth in the number of households  is greater than the population for all the years. " title="Figure 1. Cumulative change in households and population. From 2001 to 2021.">
          <a:extLst>
            <a:ext uri="{FF2B5EF4-FFF2-40B4-BE49-F238E27FC236}">
              <a16:creationId xmlns:a16="http://schemas.microsoft.com/office/drawing/2014/main" id="{03774515-2CD4-4BB3-93C7-2AF7222BAF3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12</xdr:col>
      <xdr:colOff>576000</xdr:colOff>
      <xdr:row>32</xdr:row>
      <xdr:rowOff>124500</xdr:rowOff>
    </xdr:to>
    <xdr:graphicFrame macro="">
      <xdr:nvGraphicFramePr>
        <xdr:cNvPr id="2" name="Chart 1">
          <a:extLst>
            <a:ext uri="{FF2B5EF4-FFF2-40B4-BE49-F238E27FC236}">
              <a16:creationId xmlns:a16="http://schemas.microsoft.com/office/drawing/2014/main" id="{8F1C9EE4-FF1B-40A6-83CE-773268BDE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176212</xdr:rowOff>
    </xdr:from>
    <xdr:to>
      <xdr:col>12</xdr:col>
      <xdr:colOff>576000</xdr:colOff>
      <xdr:row>32</xdr:row>
      <xdr:rowOff>102712</xdr:rowOff>
    </xdr:to>
    <xdr:graphicFrame macro="">
      <xdr:nvGraphicFramePr>
        <xdr:cNvPr id="2" name="Chart 1" descr="The chart illustrate the change in teh number of housheolds and in population over the last twenty years. &#10;The number of households increased in every council area. The population decreased in four council areas over the same period (Inverclyde, Argyll and Bute, West Dunbartonshire and North Ayrshire). &#10;The change in the number of households is greater than in the population, except than in Glasgow City and City of Edinburgh. In these councils, the increase in the number of dwellings is similar to the increase in population. &#10;East Lothian is the council with the highest increase in population (20%) but only the second increase in number of households (27%). &#10;Orkney Islands are the council area with the highest increase in number of households (29%). &#10;Inverclyde is the council area with the largest decline in population (-8%) and the smallest increase in the number of households (4%). " title="Figure 2. Percentage change in the number of households and population by council area, June 2001 to 2021">
          <a:extLst>
            <a:ext uri="{FF2B5EF4-FFF2-40B4-BE49-F238E27FC236}">
              <a16:creationId xmlns:a16="http://schemas.microsoft.com/office/drawing/2014/main" id="{E02BCDBA-1183-43D0-A692-ED3A7852119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0.75333</cdr:x>
      <cdr:y>0.60747</cdr:y>
    </cdr:from>
    <cdr:to>
      <cdr:x>0.97374</cdr:x>
      <cdr:y>0.77998</cdr:y>
    </cdr:to>
    <cdr:grpSp>
      <cdr:nvGrpSpPr>
        <cdr:cNvPr id="2" name="Group 1">
          <a:extLst xmlns:a="http://schemas.openxmlformats.org/drawingml/2006/main">
            <a:ext uri="{FF2B5EF4-FFF2-40B4-BE49-F238E27FC236}">
              <a16:creationId xmlns:a16="http://schemas.microsoft.com/office/drawing/2014/main" id="{F9789415-6B29-1C0C-1026-A18CAFEEC268}"/>
            </a:ext>
          </a:extLst>
        </cdr:cNvPr>
        <cdr:cNvGrpSpPr/>
      </cdr:nvGrpSpPr>
      <cdr:grpSpPr>
        <a:xfrm xmlns:a="http://schemas.openxmlformats.org/drawingml/2006/main">
          <a:off x="7322368" y="3662346"/>
          <a:ext cx="2142385" cy="1040036"/>
          <a:chOff x="-176979" y="76704"/>
          <a:chExt cx="2038752" cy="1064724"/>
        </a:xfrm>
      </cdr:grpSpPr>
      <cdr:sp macro="" textlink="">
        <cdr:nvSpPr>
          <cdr:cNvPr id="3" name="TextBox 3"/>
          <cdr:cNvSpPr txBox="1"/>
        </cdr:nvSpPr>
        <cdr:spPr>
          <a:xfrm xmlns:a="http://schemas.openxmlformats.org/drawingml/2006/main">
            <a:off x="-176979" y="76704"/>
            <a:ext cx="2038752" cy="385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GB" sz="1100" b="1" baseline="0">
                <a:latin typeface="Arial" panose="020B0604020202020204" pitchFamily="34" charset="0"/>
                <a:cs typeface="Arial" panose="020B0604020202020204" pitchFamily="34" charset="0"/>
              </a:rPr>
              <a:t>% change in last 20 years in:</a:t>
            </a:r>
          </a:p>
        </cdr:txBody>
      </cdr:sp>
      <cdr:sp macro="" textlink="">
        <cdr:nvSpPr>
          <cdr:cNvPr id="4" name="TextBox 3"/>
          <cdr:cNvSpPr txBox="1"/>
        </cdr:nvSpPr>
        <cdr:spPr>
          <a:xfrm xmlns:a="http://schemas.openxmlformats.org/drawingml/2006/main">
            <a:off x="432019" y="922069"/>
            <a:ext cx="1103103" cy="21935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GB" sz="1100" baseline="0">
                <a:latin typeface="Arial" panose="020B0604020202020204" pitchFamily="34" charset="0"/>
                <a:cs typeface="Arial" panose="020B0604020202020204" pitchFamily="34" charset="0"/>
              </a:rPr>
              <a:t>Population</a:t>
            </a:r>
          </a:p>
          <a:p xmlns:a="http://schemas.openxmlformats.org/drawingml/2006/main">
            <a:pPr algn="l"/>
            <a:endParaRPr lang="en-GB" sz="1100" baseline="0">
              <a:latin typeface="Arial" panose="020B0604020202020204" pitchFamily="34" charset="0"/>
              <a:cs typeface="Arial" panose="020B0604020202020204" pitchFamily="34" charset="0"/>
            </a:endParaRPr>
          </a:p>
        </cdr:txBody>
      </cdr:sp>
      <cdr:sp macro="" textlink="">
        <cdr:nvSpPr>
          <cdr:cNvPr id="5" name="Oval 4"/>
          <cdr:cNvSpPr/>
        </cdr:nvSpPr>
        <cdr:spPr>
          <a:xfrm xmlns:a="http://schemas.openxmlformats.org/drawingml/2006/main">
            <a:off x="208473" y="922069"/>
            <a:ext cx="214890" cy="219359"/>
          </a:xfrm>
          <a:prstGeom xmlns:a="http://schemas.openxmlformats.org/drawingml/2006/main" prst="ellipse">
            <a:avLst/>
          </a:prstGeom>
          <a:solidFill xmlns:a="http://schemas.openxmlformats.org/drawingml/2006/main">
            <a:srgbClr val="BF78D3"/>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sp macro="" textlink="">
        <cdr:nvSpPr>
          <cdr:cNvPr id="6" name="TextBox 3"/>
          <cdr:cNvSpPr txBox="1"/>
        </cdr:nvSpPr>
        <cdr:spPr>
          <a:xfrm xmlns:a="http://schemas.openxmlformats.org/drawingml/2006/main">
            <a:off x="432019" y="493329"/>
            <a:ext cx="1103103" cy="21935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GB" sz="1100" baseline="0">
                <a:latin typeface="Arial" panose="020B0604020202020204" pitchFamily="34" charset="0"/>
                <a:cs typeface="Arial" panose="020B0604020202020204" pitchFamily="34" charset="0"/>
              </a:rPr>
              <a:t>Households</a:t>
            </a:r>
          </a:p>
          <a:p xmlns:a="http://schemas.openxmlformats.org/drawingml/2006/main">
            <a:pPr algn="l"/>
            <a:endParaRPr lang="en-GB" sz="1100" baseline="0">
              <a:latin typeface="Arial" panose="020B0604020202020204" pitchFamily="34" charset="0"/>
              <a:cs typeface="Arial" panose="020B0604020202020204" pitchFamily="34" charset="0"/>
            </a:endParaRPr>
          </a:p>
        </cdr:txBody>
      </cdr:sp>
      <cdr:sp macro="" textlink="">
        <cdr:nvSpPr>
          <cdr:cNvPr id="7" name="Oval 6"/>
          <cdr:cNvSpPr/>
        </cdr:nvSpPr>
        <cdr:spPr>
          <a:xfrm xmlns:a="http://schemas.openxmlformats.org/drawingml/2006/main">
            <a:off x="208473" y="493329"/>
            <a:ext cx="214890" cy="219359"/>
          </a:xfrm>
          <a:prstGeom xmlns:a="http://schemas.openxmlformats.org/drawingml/2006/main" prst="ellipse">
            <a:avLst/>
          </a:prstGeom>
          <a:solidFill xmlns:a="http://schemas.openxmlformats.org/drawingml/2006/main">
            <a:srgbClr val="6C297F"/>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grpSp>
  </cdr:relSizeAnchor>
  <cdr:relSizeAnchor xmlns:cdr="http://schemas.openxmlformats.org/drawingml/2006/chartDrawing">
    <cdr:from>
      <cdr:x>0.36806</cdr:x>
      <cdr:y>0.91043</cdr:y>
    </cdr:from>
    <cdr:to>
      <cdr:x>0.48422</cdr:x>
      <cdr:y>0.91043</cdr:y>
    </cdr:to>
    <cdr:cxnSp macro="">
      <cdr:nvCxnSpPr>
        <cdr:cNvPr id="9" name="Straight Arrow Connector 8">
          <a:extLst xmlns:a="http://schemas.openxmlformats.org/drawingml/2006/main">
            <a:ext uri="{FF2B5EF4-FFF2-40B4-BE49-F238E27FC236}">
              <a16:creationId xmlns:a16="http://schemas.microsoft.com/office/drawing/2014/main" id="{287DB03E-DCA7-773C-39CA-770F958A5FF7}"/>
            </a:ext>
          </a:extLst>
        </cdr:cNvPr>
        <cdr:cNvCxnSpPr/>
      </cdr:nvCxnSpPr>
      <cdr:spPr>
        <a:xfrm xmlns:a="http://schemas.openxmlformats.org/drawingml/2006/main" flipV="1">
          <a:off x="3577544" y="5309613"/>
          <a:ext cx="1129075" cy="0"/>
        </a:xfrm>
        <a:prstGeom xmlns:a="http://schemas.openxmlformats.org/drawingml/2006/main" prst="straightConnector1">
          <a:avLst/>
        </a:prstGeom>
        <a:ln xmlns:a="http://schemas.openxmlformats.org/drawingml/2006/main" w="25400">
          <a:solidFill>
            <a:schemeClr val="tx1"/>
          </a:solidFill>
          <a:headEnd w="lg" len="lg"/>
          <a:tailEnd type="triangle" w="lg"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0.18266</cdr:x>
      <cdr:y>0.91043</cdr:y>
    </cdr:from>
    <cdr:to>
      <cdr:x>0.29882</cdr:x>
      <cdr:y>0.91043</cdr:y>
    </cdr:to>
    <cdr:cxnSp macro="">
      <cdr:nvCxnSpPr>
        <cdr:cNvPr id="11" name="Straight Arrow Connector 10">
          <a:extLst xmlns:a="http://schemas.openxmlformats.org/drawingml/2006/main">
            <a:ext uri="{FF2B5EF4-FFF2-40B4-BE49-F238E27FC236}">
              <a16:creationId xmlns:a16="http://schemas.microsoft.com/office/drawing/2014/main" id="{88B527F1-B603-9DF8-DBCF-1573C36D9ED5}"/>
            </a:ext>
          </a:extLst>
        </cdr:cNvPr>
        <cdr:cNvCxnSpPr/>
      </cdr:nvCxnSpPr>
      <cdr:spPr>
        <a:xfrm xmlns:a="http://schemas.openxmlformats.org/drawingml/2006/main" flipV="1">
          <a:off x="1775482" y="5309613"/>
          <a:ext cx="1129075" cy="0"/>
        </a:xfrm>
        <a:prstGeom xmlns:a="http://schemas.openxmlformats.org/drawingml/2006/main" prst="straightConnector1">
          <a:avLst/>
        </a:prstGeom>
        <a:ln xmlns:a="http://schemas.openxmlformats.org/drawingml/2006/main" w="25400">
          <a:solidFill>
            <a:schemeClr val="tx1"/>
          </a:solidFill>
          <a:round/>
          <a:headEnd type="triangle" w="lg" len="lg"/>
          <a:tailEnd type="non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0.20517</cdr:x>
      <cdr:y>0.91859</cdr:y>
    </cdr:from>
    <cdr:to>
      <cdr:x>0.29946</cdr:x>
      <cdr:y>0.95331</cdr:y>
    </cdr:to>
    <cdr:sp macro="" textlink="">
      <cdr:nvSpPr>
        <cdr:cNvPr id="12" name="TextBox 11"/>
        <cdr:cNvSpPr txBox="1"/>
      </cdr:nvSpPr>
      <cdr:spPr>
        <a:xfrm xmlns:a="http://schemas.openxmlformats.org/drawingml/2006/main">
          <a:off x="1994276" y="5357238"/>
          <a:ext cx="916499" cy="2024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a:latin typeface="Arial" panose="020B0604020202020204" pitchFamily="34" charset="0"/>
              <a:cs typeface="Arial" panose="020B0604020202020204" pitchFamily="34" charset="0"/>
            </a:rPr>
            <a:t>decrease</a:t>
          </a:r>
        </a:p>
      </cdr:txBody>
    </cdr:sp>
  </cdr:relSizeAnchor>
  <cdr:relSizeAnchor xmlns:cdr="http://schemas.openxmlformats.org/drawingml/2006/chartDrawing">
    <cdr:from>
      <cdr:x>0.38896</cdr:x>
      <cdr:y>0.91533</cdr:y>
    </cdr:from>
    <cdr:to>
      <cdr:x>0.48325</cdr:x>
      <cdr:y>0.95005</cdr:y>
    </cdr:to>
    <cdr:sp macro="" textlink="">
      <cdr:nvSpPr>
        <cdr:cNvPr id="13" name="TextBox 1"/>
        <cdr:cNvSpPr txBox="1"/>
      </cdr:nvSpPr>
      <cdr:spPr>
        <a:xfrm xmlns:a="http://schemas.openxmlformats.org/drawingml/2006/main">
          <a:off x="3780696" y="5338188"/>
          <a:ext cx="916499" cy="2024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a:latin typeface="Arial" panose="020B0604020202020204" pitchFamily="34" charset="0"/>
              <a:cs typeface="Arial" panose="020B0604020202020204" pitchFamily="34" charset="0"/>
            </a:rPr>
            <a:t>increase</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28575</xdr:colOff>
      <xdr:row>2</xdr:row>
      <xdr:rowOff>33337</xdr:rowOff>
    </xdr:from>
    <xdr:to>
      <xdr:col>12</xdr:col>
      <xdr:colOff>604575</xdr:colOff>
      <xdr:row>32</xdr:row>
      <xdr:rowOff>150337</xdr:rowOff>
    </xdr:to>
    <xdr:graphicFrame macro="">
      <xdr:nvGraphicFramePr>
        <xdr:cNvPr id="2" name="Chart 1" descr="The chart illustrates the trend over the period 2011 - 2021 for the different categories of vacant dwellings and second homes. &#10;The number of vacant dwellings has been increasing  over the period. &#10;Long-term empty properties shows a simialr trend. &#10;Numbers of dwellings with unoccupied exemptions is fairly costant around 1.7% and fluctuate around this level over the years.&#10;The number of second homes is decreasing from 1.5% in 2011 to 0.9 % in 2021. &#10;There is a spike in the percentage of vacant and long-term empty properties in 2020, likely due to Covid lockdown restrictions.&#10;In 2014 there is an inversion in the proportion of second homes and long-term empty due to change in the legislation,&#10;" title="Figure 4. Proportion of dwellings that are vacant, with unoccupied exemptions, long-term empty and second homes, September 2011 to 2021">
          <a:extLst>
            <a:ext uri="{FF2B5EF4-FFF2-40B4-BE49-F238E27FC236}">
              <a16:creationId xmlns:a16="http://schemas.microsoft.com/office/drawing/2014/main" id="{76A421C8-1E02-4C32-94FF-1DEAFD9588D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42862</xdr:rowOff>
    </xdr:from>
    <xdr:to>
      <xdr:col>12</xdr:col>
      <xdr:colOff>576000</xdr:colOff>
      <xdr:row>35</xdr:row>
      <xdr:rowOff>159862</xdr:rowOff>
    </xdr:to>
    <xdr:graphicFrame macro="">
      <xdr:nvGraphicFramePr>
        <xdr:cNvPr id="2" name="Chart 1" descr="The chart show the trend in the annual change in the number of dwellings and in the number of new build completions. &#10;The trend over the years is similar for the two measures.&#10;There are differences that fluctuate over the years. &#10;Changes in dwelling numbers reflect demolitions and conversions and not only new buildings. " title="Figure 5. New build completions (October, 2002 to 2021 and annual increase in number of dwellings (September, 2002 to 2021)">
          <a:extLst>
            <a:ext uri="{FF2B5EF4-FFF2-40B4-BE49-F238E27FC236}">
              <a16:creationId xmlns:a16="http://schemas.microsoft.com/office/drawing/2014/main" id="{E6E81326-AC9B-427D-BA33-ED3953614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0.21134</cdr:x>
      <cdr:y>0.53555</cdr:y>
    </cdr:from>
    <cdr:to>
      <cdr:x>0.30973</cdr:x>
      <cdr:y>0.68606</cdr:y>
    </cdr:to>
    <cdr:sp macro="" textlink="">
      <cdr:nvSpPr>
        <cdr:cNvPr id="4" name="TextBox 3"/>
        <cdr:cNvSpPr txBox="1"/>
      </cdr:nvSpPr>
      <cdr:spPr>
        <a:xfrm xmlns:a="http://schemas.openxmlformats.org/drawingml/2006/main">
          <a:off x="1964004" y="325367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a:p>
      </cdr:txBody>
    </cdr:sp>
  </cdr:relSizeAnchor>
</c:userShapes>
</file>

<file path=xl/drawings/drawing8.xml><?xml version="1.0" encoding="utf-8"?>
<xdr:wsDr xmlns:xdr="http://schemas.openxmlformats.org/drawingml/2006/spreadsheetDrawing" xmlns:a="http://schemas.openxmlformats.org/drawingml/2006/main">
  <xdr:twoCellAnchor>
    <xdr:from>
      <xdr:col>24</xdr:col>
      <xdr:colOff>447675</xdr:colOff>
      <xdr:row>3</xdr:row>
      <xdr:rowOff>19050</xdr:rowOff>
    </xdr:from>
    <xdr:to>
      <xdr:col>33</xdr:col>
      <xdr:colOff>138113</xdr:colOff>
      <xdr:row>43</xdr:row>
      <xdr:rowOff>109539</xdr:rowOff>
    </xdr:to>
    <xdr:graphicFrame macro="">
      <xdr:nvGraphicFramePr>
        <xdr:cNvPr id="2" name="Chart 1">
          <a:extLst>
            <a:ext uri="{FF2B5EF4-FFF2-40B4-BE49-F238E27FC236}">
              <a16:creationId xmlns:a16="http://schemas.microsoft.com/office/drawing/2014/main" id="{8F2EDC5E-2960-4755-BAF1-13CC459A1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xdr:row>
      <xdr:rowOff>56707</xdr:rowOff>
    </xdr:from>
    <xdr:to>
      <xdr:col>8</xdr:col>
      <xdr:colOff>504825</xdr:colOff>
      <xdr:row>42</xdr:row>
      <xdr:rowOff>9850</xdr:rowOff>
    </xdr:to>
    <xdr:grpSp>
      <xdr:nvGrpSpPr>
        <xdr:cNvPr id="3" name="Group 2">
          <a:extLst>
            <a:ext uri="{FF2B5EF4-FFF2-40B4-BE49-F238E27FC236}">
              <a16:creationId xmlns:a16="http://schemas.microsoft.com/office/drawing/2014/main" id="{DFF33801-C095-414A-84C5-80614F74937A}"/>
            </a:ext>
          </a:extLst>
        </xdr:cNvPr>
        <xdr:cNvGrpSpPr/>
      </xdr:nvGrpSpPr>
      <xdr:grpSpPr>
        <a:xfrm>
          <a:off x="19050" y="596457"/>
          <a:ext cx="9572625" cy="7827143"/>
          <a:chOff x="7181850" y="14819996"/>
          <a:chExt cx="19616739" cy="7759019"/>
        </a:xfrm>
      </xdr:grpSpPr>
      <xdr:graphicFrame macro="">
        <xdr:nvGraphicFramePr>
          <xdr:cNvPr id="4" name="Chart 3">
            <a:extLst>
              <a:ext uri="{FF2B5EF4-FFF2-40B4-BE49-F238E27FC236}">
                <a16:creationId xmlns:a16="http://schemas.microsoft.com/office/drawing/2014/main" id="{4AF5BDAD-B3E1-1E32-D7D4-EF93A0E258E9}"/>
              </a:ext>
            </a:extLst>
          </xdr:cNvPr>
          <xdr:cNvGraphicFramePr>
            <a:graphicFrameLocks/>
          </xdr:cNvGraphicFramePr>
        </xdr:nvGraphicFramePr>
        <xdr:xfrm>
          <a:off x="7181850" y="14868526"/>
          <a:ext cx="6548439" cy="771048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5FDFD26A-E598-04A1-4E34-2044C9C9DA5D}"/>
              </a:ext>
            </a:extLst>
          </xdr:cNvPr>
          <xdr:cNvGraphicFramePr>
            <a:graphicFrameLocks/>
          </xdr:cNvGraphicFramePr>
        </xdr:nvGraphicFramePr>
        <xdr:xfrm>
          <a:off x="13716000" y="14819996"/>
          <a:ext cx="6548439" cy="771048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C0F65914-5863-6997-4712-CA7AFFFC65F0}"/>
              </a:ext>
            </a:extLst>
          </xdr:cNvPr>
          <xdr:cNvGraphicFramePr>
            <a:graphicFrameLocks/>
          </xdr:cNvGraphicFramePr>
        </xdr:nvGraphicFramePr>
        <xdr:xfrm>
          <a:off x="20250150" y="14839949"/>
          <a:ext cx="6548439" cy="771048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9.xml><?xml version="1.0" encoding="utf-8"?>
<xdr:wsDr xmlns:xdr="http://schemas.openxmlformats.org/drawingml/2006/spreadsheetDrawing" xmlns:a="http://schemas.openxmlformats.org/drawingml/2006/main">
  <xdr:twoCellAnchor>
    <xdr:from>
      <xdr:col>24</xdr:col>
      <xdr:colOff>447675</xdr:colOff>
      <xdr:row>39</xdr:row>
      <xdr:rowOff>19050</xdr:rowOff>
    </xdr:from>
    <xdr:to>
      <xdr:col>33</xdr:col>
      <xdr:colOff>138113</xdr:colOff>
      <xdr:row>79</xdr:row>
      <xdr:rowOff>109539</xdr:rowOff>
    </xdr:to>
    <xdr:graphicFrame macro="">
      <xdr:nvGraphicFramePr>
        <xdr:cNvPr id="2" name="Chart 1">
          <a:extLst>
            <a:ext uri="{FF2B5EF4-FFF2-40B4-BE49-F238E27FC236}">
              <a16:creationId xmlns:a16="http://schemas.microsoft.com/office/drawing/2014/main" id="{E81F5567-D26A-4C98-806C-0BDE6F4AE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28575</xdr:colOff>
      <xdr:row>2</xdr:row>
      <xdr:rowOff>57149</xdr:rowOff>
    </xdr:from>
    <xdr:to>
      <xdr:col>6</xdr:col>
      <xdr:colOff>755651</xdr:colOff>
      <xdr:row>22</xdr:row>
      <xdr:rowOff>128434</xdr:rowOff>
    </xdr:to>
    <xdr:graphicFrame macro="">
      <xdr:nvGraphicFramePr>
        <xdr:cNvPr id="2" name="Chart 1">
          <a:extLst>
            <a:ext uri="{FF2B5EF4-FFF2-40B4-BE49-F238E27FC236}">
              <a16:creationId xmlns:a16="http://schemas.microsoft.com/office/drawing/2014/main" id="{2BA74599-6084-4DB6-B321-4E77A62327A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xdr:colOff>
      <xdr:row>2</xdr:row>
      <xdr:rowOff>173037</xdr:rowOff>
    </xdr:from>
    <xdr:to>
      <xdr:col>8</xdr:col>
      <xdr:colOff>743550</xdr:colOff>
      <xdr:row>33</xdr:row>
      <xdr:rowOff>194763</xdr:rowOff>
    </xdr:to>
    <xdr:graphicFrame macro="">
      <xdr:nvGraphicFramePr>
        <xdr:cNvPr id="2" name="Chart 1">
          <a:extLst>
            <a:ext uri="{FF2B5EF4-FFF2-40B4-BE49-F238E27FC236}">
              <a16:creationId xmlns:a16="http://schemas.microsoft.com/office/drawing/2014/main" id="{D61AE084-CE3E-4015-A6D5-1B0E187A2C8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xdr:row>
      <xdr:rowOff>42862</xdr:rowOff>
    </xdr:from>
    <xdr:to>
      <xdr:col>4</xdr:col>
      <xdr:colOff>714375</xdr:colOff>
      <xdr:row>21</xdr:row>
      <xdr:rowOff>135070</xdr:rowOff>
    </xdr:to>
    <xdr:graphicFrame macro="">
      <xdr:nvGraphicFramePr>
        <xdr:cNvPr id="2" name="Chart 1" descr="Barplot showing some dwelling characteristics for the most deprived SIMD decile and the least deprived SIMD decile. The percentage of dwellings in the lower Council Tax bands (A to C) is  5 times higher in the most deprived decile. More than 50% of dwellings in the most deprived decile are entitled to a single adult discount compared to less than 30% in the least deprived decile. The number of dwellings per hectare is almost 3 times higher in the most deprived decile than in the least deprived. ">
          <a:extLst>
            <a:ext uri="{FF2B5EF4-FFF2-40B4-BE49-F238E27FC236}">
              <a16:creationId xmlns:a16="http://schemas.microsoft.com/office/drawing/2014/main" id="{C76E8B53-4695-4E5A-8C86-45037D9324E2}"/>
            </a:ext>
            <a:ext uri="{C183D7F6-B498-43B3-948B-1728B52AA6E4}">
              <adec:decorative xmlns:adec="http://schemas.microsoft.com/office/drawing/2017/decorative" val="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ofcontents" displayName="tableofcontents" ref="A4:B36" totalsRowShown="0">
  <tableColumns count="2">
    <tableColumn id="1" xr3:uid="{00000000-0010-0000-0000-000001000000}" name="Worksheet Name"/>
    <tableColumn id="2" xr3:uid="{00000000-0010-0000-0000-000002000000}" name="Worksheet Title"/>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D17" totalsRowShown="0" dataDxfId="96">
  <tableColumns count="4">
    <tableColumn id="1" xr3:uid="{00000000-0010-0000-0100-000001000000}" name="Note number" dataDxfId="95"/>
    <tableColumn id="2" xr3:uid="{00000000-0010-0000-0100-000002000000}" name="Note text" dataDxfId="94"/>
    <tableColumn id="3" xr3:uid="{00000000-0010-0000-0100-000003000000}" name="Related tables" dataDxfId="93"/>
    <tableColumn id="4" xr3:uid="{00000000-0010-0000-0100-000004000000}" name="Link for more information" dataDxfId="92"/>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4:AH37" totalsRowShown="0">
  <sortState xmlns:xlrd2="http://schemas.microsoft.com/office/spreadsheetml/2017/richdata2" ref="A5:AH37">
    <sortCondition ref="A4:A37"/>
  </sortState>
  <tableColumns count="34">
    <tableColumn id="1" xr3:uid="{00000000-0010-0000-0200-000001000000}" name="Area Name"/>
    <tableColumn id="2" xr3:uid="{00000000-0010-0000-0200-000002000000}" name="Area code"/>
    <tableColumn id="3" xr3:uid="{00000000-0010-0000-0200-000003000000}" name="Area type"/>
    <tableColumn id="4" xr3:uid="{00000000-0010-0000-0200-000004000000}" name="2001"/>
    <tableColumn id="5" xr3:uid="{00000000-0010-0000-0200-000005000000}" name="2002"/>
    <tableColumn id="6" xr3:uid="{00000000-0010-0000-0200-000006000000}" name="2003"/>
    <tableColumn id="7" xr3:uid="{00000000-0010-0000-0200-000007000000}" name="2004"/>
    <tableColumn id="8" xr3:uid="{00000000-0010-0000-0200-000008000000}" name="2005"/>
    <tableColumn id="9" xr3:uid="{00000000-0010-0000-0200-000009000000}" name="2006"/>
    <tableColumn id="10" xr3:uid="{00000000-0010-0000-0200-00000A000000}" name="2007"/>
    <tableColumn id="11" xr3:uid="{00000000-0010-0000-0200-00000B000000}" name="2008"/>
    <tableColumn id="12" xr3:uid="{00000000-0010-0000-0200-00000C000000}" name="2009"/>
    <tableColumn id="13" xr3:uid="{00000000-0010-0000-0200-00000D000000}" name="2010"/>
    <tableColumn id="14" xr3:uid="{00000000-0010-0000-0200-00000E000000}" name="2011"/>
    <tableColumn id="15" xr3:uid="{00000000-0010-0000-0200-00000F000000}" name="2012"/>
    <tableColumn id="16" xr3:uid="{00000000-0010-0000-0200-000010000000}" name="2013"/>
    <tableColumn id="17" xr3:uid="{00000000-0010-0000-0200-000011000000}" name="2014"/>
    <tableColumn id="18" xr3:uid="{00000000-0010-0000-0200-000012000000}" name="2015"/>
    <tableColumn id="19" xr3:uid="{00000000-0010-0000-0200-000013000000}" name="2016"/>
    <tableColumn id="20" xr3:uid="{00000000-0010-0000-0200-000014000000}" name="2017"/>
    <tableColumn id="21" xr3:uid="{00000000-0010-0000-0200-000015000000}" name="2018"/>
    <tableColumn id="22" xr3:uid="{00000000-0010-0000-0200-000016000000}" name="2019"/>
    <tableColumn id="23" xr3:uid="{00000000-0010-0000-0200-000017000000}" name="2020"/>
    <tableColumn id="24" xr3:uid="{00000000-0010-0000-0200-000018000000}" name="2021"/>
    <tableColumn id="25" xr3:uid="{00000000-0010-0000-0200-000019000000}" name="2022"/>
    <tableColumn id="26" xr3:uid="{00000000-0010-0000-0200-00001A000000}" name="2023"/>
    <tableColumn id="33" xr3:uid="{00000000-0010-0000-0200-000021000000}" name="2024" dataDxfId="91"/>
    <tableColumn id="34" xr3:uid="{A230242A-4D2F-49C9-AEB3-9EA06D0B1FC8}" name="2025" dataDxfId="90"/>
    <tableColumn id="27" xr3:uid="{00000000-0010-0000-0200-00001B000000}" name="Change 2024-2025_x000a_Number" dataDxfId="89"/>
    <tableColumn id="28" xr3:uid="{00000000-0010-0000-0200-00001C000000}" name="Change 2024-2025_x000a_%" dataDxfId="88"/>
    <tableColumn id="29" xr3:uid="{00000000-0010-0000-0200-00001D000000}" name="Change 2015-2025_x000a_Number" dataDxfId="87"/>
    <tableColumn id="30" xr3:uid="{00000000-0010-0000-0200-00001E000000}" name="Change 2015-2025_x000a_%" dataDxfId="86"/>
    <tableColumn id="31" xr3:uid="{00000000-0010-0000-0200-00001F000000}" name="Change 2005-2025_x000a_Number" dataDxfId="85"/>
    <tableColumn id="32" xr3:uid="{00000000-0010-0000-0200-000020000000}" name="Change 2005-2025_x000a_%" dataDxfId="84"/>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4:AH37" totalsRowShown="0">
  <tableColumns count="34">
    <tableColumn id="1" xr3:uid="{00000000-0010-0000-0300-000001000000}" name="Area Name"/>
    <tableColumn id="2" xr3:uid="{00000000-0010-0000-0300-000002000000}" name="Area code"/>
    <tableColumn id="3" xr3:uid="{00000000-0010-0000-0300-000003000000}" name="Area type"/>
    <tableColumn id="4" xr3:uid="{00000000-0010-0000-0300-000004000000}" name="2001"/>
    <tableColumn id="5" xr3:uid="{00000000-0010-0000-0300-000005000000}" name="2002"/>
    <tableColumn id="6" xr3:uid="{00000000-0010-0000-0300-000006000000}" name="2003"/>
    <tableColumn id="7" xr3:uid="{00000000-0010-0000-0300-000007000000}" name="2004"/>
    <tableColumn id="8" xr3:uid="{00000000-0010-0000-0300-000008000000}" name="2005"/>
    <tableColumn id="9" xr3:uid="{00000000-0010-0000-0300-000009000000}" name="2006"/>
    <tableColumn id="10" xr3:uid="{00000000-0010-0000-0300-00000A000000}" name="2007"/>
    <tableColumn id="11" xr3:uid="{00000000-0010-0000-0300-00000B000000}" name="2008"/>
    <tableColumn id="12" xr3:uid="{00000000-0010-0000-0300-00000C000000}" name="2009"/>
    <tableColumn id="13" xr3:uid="{00000000-0010-0000-0300-00000D000000}" name="2010"/>
    <tableColumn id="14" xr3:uid="{00000000-0010-0000-0300-00000E000000}" name="2011"/>
    <tableColumn id="15" xr3:uid="{00000000-0010-0000-0300-00000F000000}" name="2012"/>
    <tableColumn id="16" xr3:uid="{00000000-0010-0000-0300-000010000000}" name="2013"/>
    <tableColumn id="17" xr3:uid="{00000000-0010-0000-0300-000011000000}" name="2014"/>
    <tableColumn id="18" xr3:uid="{00000000-0010-0000-0300-000012000000}" name="2015"/>
    <tableColumn id="19" xr3:uid="{00000000-0010-0000-0300-000013000000}" name="2016"/>
    <tableColumn id="20" xr3:uid="{00000000-0010-0000-0300-000014000000}" name="2017"/>
    <tableColumn id="21" xr3:uid="{00000000-0010-0000-0300-000015000000}" name="2018"/>
    <tableColumn id="22" xr3:uid="{00000000-0010-0000-0300-000016000000}" name="2019"/>
    <tableColumn id="23" xr3:uid="{00000000-0010-0000-0300-000017000000}" name="2020"/>
    <tableColumn id="24" xr3:uid="{00000000-0010-0000-0300-000018000000}" name="2021"/>
    <tableColumn id="25" xr3:uid="{00000000-0010-0000-0300-000019000000}" name="2022"/>
    <tableColumn id="26" xr3:uid="{00000000-0010-0000-0300-00001A000000}" name="2023"/>
    <tableColumn id="34" xr3:uid="{00000000-0010-0000-0300-000022000000}" name="2024" dataDxfId="83"/>
    <tableColumn id="33" xr3:uid="{70D1ADE7-D700-435B-9C12-778AF2FCC93B}" name="2025" dataDxfId="82"/>
    <tableColumn id="27" xr3:uid="{00000000-0010-0000-0300-00001B000000}" name="Change 2024-2025_x000a_Number" dataDxfId="81"/>
    <tableColumn id="28" xr3:uid="{00000000-0010-0000-0300-00001C000000}" name="Change 2024-2025_x000a_%" dataDxfId="80"/>
    <tableColumn id="29" xr3:uid="{00000000-0010-0000-0300-00001D000000}" name="Change 2015-2025_x000a_Number" dataDxfId="79"/>
    <tableColumn id="30" xr3:uid="{00000000-0010-0000-0300-00001E000000}" name="Change 2015-2025_x000a_%" dataDxfId="78"/>
    <tableColumn id="31" xr3:uid="{00000000-0010-0000-0300-00001F000000}" name="Change 2005-2025_x000a_Number" dataDxfId="77"/>
    <tableColumn id="32" xr3:uid="{00000000-0010-0000-0300-000020000000}" name="Change 2005-2025_x000a_%" dataDxfId="76"/>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5:AB38" totalsRowShown="0">
  <tableColumns count="28">
    <tableColumn id="1" xr3:uid="{00000000-0010-0000-0400-000001000000}" name="Area Name"/>
    <tableColumn id="2" xr3:uid="{00000000-0010-0000-0400-000002000000}" name="Area code"/>
    <tableColumn id="3" xr3:uid="{00000000-0010-0000-0400-000003000000}" name="Area type"/>
    <tableColumn id="4" xr3:uid="{00000000-0010-0000-0400-000004000000}" name="2001"/>
    <tableColumn id="5" xr3:uid="{00000000-0010-0000-0400-000005000000}" name="2002"/>
    <tableColumn id="6" xr3:uid="{00000000-0010-0000-0400-000006000000}" name="2003"/>
    <tableColumn id="7" xr3:uid="{00000000-0010-0000-0400-000007000000}" name="2004"/>
    <tableColumn id="8" xr3:uid="{00000000-0010-0000-0400-000008000000}" name="2005"/>
    <tableColumn id="9" xr3:uid="{00000000-0010-0000-0400-000009000000}" name="2006"/>
    <tableColumn id="10" xr3:uid="{00000000-0010-0000-0400-00000A000000}" name="2007"/>
    <tableColumn id="11" xr3:uid="{00000000-0010-0000-0400-00000B000000}" name="2008"/>
    <tableColumn id="12" xr3:uid="{00000000-0010-0000-0400-00000C000000}" name="2009"/>
    <tableColumn id="13" xr3:uid="{00000000-0010-0000-0400-00000D000000}" name="2010"/>
    <tableColumn id="14" xr3:uid="{00000000-0010-0000-0400-00000E000000}" name="2011" dataDxfId="75"/>
    <tableColumn id="15" xr3:uid="{00000000-0010-0000-0400-00000F000000}" name="2012" dataDxfId="74"/>
    <tableColumn id="16" xr3:uid="{00000000-0010-0000-0400-000010000000}" name="2013" dataDxfId="73"/>
    <tableColumn id="17" xr3:uid="{00000000-0010-0000-0400-000011000000}" name="2014" dataDxfId="72"/>
    <tableColumn id="18" xr3:uid="{00000000-0010-0000-0400-000012000000}" name="2015" dataDxfId="71"/>
    <tableColumn id="19" xr3:uid="{00000000-0010-0000-0400-000013000000}" name="2016" dataDxfId="70"/>
    <tableColumn id="20" xr3:uid="{00000000-0010-0000-0400-000014000000}" name="2017" dataDxfId="69"/>
    <tableColumn id="21" xr3:uid="{00000000-0010-0000-0400-000015000000}" name="2018" dataDxfId="68"/>
    <tableColumn id="22" xr3:uid="{00000000-0010-0000-0400-000016000000}" name="2019" dataDxfId="67"/>
    <tableColumn id="23" xr3:uid="{00000000-0010-0000-0400-000017000000}" name="2020" dataDxfId="66"/>
    <tableColumn id="24" xr3:uid="{00000000-0010-0000-0400-000018000000}" name="2021" dataDxfId="65"/>
    <tableColumn id="25" xr3:uid="{00000000-0010-0000-0400-000019000000}" name="2022"/>
    <tableColumn id="26" xr3:uid="{00000000-0010-0000-0400-00001A000000}" name="2023" dataDxfId="64"/>
    <tableColumn id="28" xr3:uid="{00000000-0010-0000-0400-00001C000000}" name="2024" dataDxfId="63"/>
    <tableColumn id="27" xr3:uid="{0D50F3E1-71BE-4568-A574-340DB871D8AA}" name="2025" dataDxfId="62"/>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4:R37" totalsRowShown="0">
  <tableColumns count="18">
    <tableColumn id="1" xr3:uid="{00000000-0010-0000-0500-000001000000}" name="Area Name"/>
    <tableColumn id="2" xr3:uid="{00000000-0010-0000-0500-000002000000}" name="Area code"/>
    <tableColumn id="3" xr3:uid="{00000000-0010-0000-0500-000003000000}" name="Area type"/>
    <tableColumn id="4" xr3:uid="{00000000-0010-0000-0500-000004000000}" name="Total number of dwellings"/>
    <tableColumn id="5" xr3:uid="{00000000-0010-0000-0500-000005000000}" name="Occupied dwellings"/>
    <tableColumn id="6" xr3:uid="{00000000-0010-0000-0500-000006000000}" name="Vacant dwellings"/>
    <tableColumn id="7" xr3:uid="{00000000-0010-0000-0500-000007000000}" name="Dwellings with 'unoccupied exemptions'"/>
    <tableColumn id="8" xr3:uid="{00000000-0010-0000-0500-000008000000}" name="Long-term empty dwellings"/>
    <tableColumn id="9" xr3:uid="{00000000-0010-0000-0500-000009000000}" name="Second homes"/>
    <tableColumn id="11" xr3:uid="{00000000-0010-0000-0500-00000B000000}" name="Dwellings with 'occupied exemptions'"/>
    <tableColumn id="19" xr3:uid="{C988AE33-3ADD-46CC-9F8F-002FBA6A0EEE}" name="Dwellings with a single adult discount" dataDxfId="61"/>
    <tableColumn id="12" xr3:uid="{00000000-0010-0000-0500-00000C000000}" name="Occupied dwellings_x000a_%"/>
    <tableColumn id="13" xr3:uid="{00000000-0010-0000-0500-00000D000000}" name="Vacant dwellings_x000a_%"/>
    <tableColumn id="14" xr3:uid="{00000000-0010-0000-0500-00000E000000}" name="Dwellings with 'unoccupied exemptions'_x000a_%"/>
    <tableColumn id="15" xr3:uid="{00000000-0010-0000-0500-00000F000000}" name="Long-term empty dwellings_x000a_%"/>
    <tableColumn id="16" xr3:uid="{00000000-0010-0000-0500-000010000000}" name="Second homes_x000a_%"/>
    <tableColumn id="18" xr3:uid="{00000000-0010-0000-0500-000012000000}" name="Dwellings with 'occupied exemptions'_x000a_%"/>
    <tableColumn id="20" xr3:uid="{327C640C-BBA5-405B-A5F3-D4D8FCB07B06}" name="Dwellings with a single adult discount_x000a_%" dataDxfId="60"/>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4:O37" totalsRowShown="0">
  <tableColumns count="15">
    <tableColumn id="1" xr3:uid="{00000000-0010-0000-0600-000001000000}" name="Area Name"/>
    <tableColumn id="2" xr3:uid="{00000000-0010-0000-0600-000002000000}" name="Area code"/>
    <tableColumn id="3" xr3:uid="{00000000-0010-0000-0600-000003000000}" name="Area type"/>
    <tableColumn id="6" xr3:uid="{00000000-0010-0000-0600-000006000000}" name="2015"/>
    <tableColumn id="7" xr3:uid="{00000000-0010-0000-0600-000007000000}" name="2016"/>
    <tableColumn id="8" xr3:uid="{00000000-0010-0000-0600-000008000000}" name="2017"/>
    <tableColumn id="9" xr3:uid="{00000000-0010-0000-0600-000009000000}" name="2018"/>
    <tableColumn id="10" xr3:uid="{00000000-0010-0000-0600-00000A000000}" name="2019"/>
    <tableColumn id="11" xr3:uid="{00000000-0010-0000-0600-00000B000000}" name="2020"/>
    <tableColumn id="12" xr3:uid="{00000000-0010-0000-0600-00000C000000}" name="2021"/>
    <tableColumn id="13" xr3:uid="{00000000-0010-0000-0600-00000D000000}" name="2022"/>
    <tableColumn id="14" xr3:uid="{00000000-0010-0000-0600-00000E000000}" name="2023"/>
    <tableColumn id="16" xr3:uid="{00000000-0010-0000-0600-000010000000}" name="2024" dataDxfId="59"/>
    <tableColumn id="4" xr3:uid="{1E77B91E-AFF1-464B-B2FC-F96B7D3FD587}" name="2025" dataDxfId="58"/>
    <tableColumn id="15" xr3:uid="{00000000-0010-0000-0600-00000F000000}" name="Proportion of total dwellings in 2025_x000a_ %"/>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a" displayName="table6a" ref="A5:O38" totalsRowShown="0">
  <sortState xmlns:xlrd2="http://schemas.microsoft.com/office/spreadsheetml/2017/richdata2" ref="A6:O38">
    <sortCondition ref="A5:A38"/>
  </sortState>
  <tableColumns count="15">
    <tableColumn id="1" xr3:uid="{00000000-0010-0000-0700-000001000000}" name="Area Name"/>
    <tableColumn id="2" xr3:uid="{00000000-0010-0000-0700-000002000000}" name="Area code"/>
    <tableColumn id="3" xr3:uid="{00000000-0010-0000-0700-000003000000}" name="Area type"/>
    <tableColumn id="6" xr3:uid="{00000000-0010-0000-0700-000006000000}" name="2015"/>
    <tableColumn id="7" xr3:uid="{00000000-0010-0000-0700-000007000000}" name="2016"/>
    <tableColumn id="8" xr3:uid="{00000000-0010-0000-0700-000008000000}" name="2017"/>
    <tableColumn id="9" xr3:uid="{00000000-0010-0000-0700-000009000000}" name="2018"/>
    <tableColumn id="10" xr3:uid="{00000000-0010-0000-0700-00000A000000}" name="2019"/>
    <tableColumn id="11" xr3:uid="{00000000-0010-0000-0700-00000B000000}" name="2020"/>
    <tableColumn id="12" xr3:uid="{00000000-0010-0000-0700-00000C000000}" name="2021"/>
    <tableColumn id="13" xr3:uid="{00000000-0010-0000-0700-00000D000000}" name="2022"/>
    <tableColumn id="14" xr3:uid="{00000000-0010-0000-0700-00000E000000}" name="2023"/>
    <tableColumn id="16" xr3:uid="{00000000-0010-0000-0700-000010000000}" name="2024" dataDxfId="57"/>
    <tableColumn id="4" xr3:uid="{F8D039B7-2FC3-44CF-A840-78438514AC92}" name="2025" dataDxfId="56"/>
    <tableColumn id="15" xr3:uid="{00000000-0010-0000-0700-00000F000000}" name="Proportion of total dwellings in 2025_x000a_ %"/>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6b" displayName="table6b" ref="A5:O38" totalsRowShown="0">
  <tableColumns count="15">
    <tableColumn id="1" xr3:uid="{00000000-0010-0000-0800-000001000000}" name="Area Name"/>
    <tableColumn id="2" xr3:uid="{00000000-0010-0000-0800-000002000000}" name="Area code"/>
    <tableColumn id="3" xr3:uid="{00000000-0010-0000-0800-000003000000}" name="Area type"/>
    <tableColumn id="6" xr3:uid="{00000000-0010-0000-0800-000006000000}" name="2015"/>
    <tableColumn id="7" xr3:uid="{00000000-0010-0000-0800-000007000000}" name="2016"/>
    <tableColumn id="8" xr3:uid="{00000000-0010-0000-0800-000008000000}" name="2017"/>
    <tableColumn id="9" xr3:uid="{00000000-0010-0000-0800-000009000000}" name="2018"/>
    <tableColumn id="10" xr3:uid="{00000000-0010-0000-0800-00000A000000}" name="2019"/>
    <tableColumn id="11" xr3:uid="{00000000-0010-0000-0800-00000B000000}" name="2020"/>
    <tableColumn id="12" xr3:uid="{00000000-0010-0000-0800-00000C000000}" name="2021"/>
    <tableColumn id="13" xr3:uid="{00000000-0010-0000-0800-00000D000000}" name="2022"/>
    <tableColumn id="14" xr3:uid="{00000000-0010-0000-0800-00000E000000}" name="2023"/>
    <tableColumn id="16" xr3:uid="{00000000-0010-0000-0800-000010000000}" name="2024" dataDxfId="55"/>
    <tableColumn id="4" xr3:uid="{DF0FE4E1-0EF5-424B-92B3-D8BF6F37CEC7}" name="2025" dataDxfId="54"/>
    <tableColumn id="15" xr3:uid="{00000000-0010-0000-0800-00000F000000}" name="Proportion of total dwellings in 2025_x000a_ %"/>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6c" displayName="table6c" ref="A5:N38" totalsRowShown="0">
  <tableColumns count="14">
    <tableColumn id="1" xr3:uid="{00000000-0010-0000-0900-000001000000}" name="Area Name"/>
    <tableColumn id="2" xr3:uid="{00000000-0010-0000-0900-000002000000}" name="Area code"/>
    <tableColumn id="3" xr3:uid="{00000000-0010-0000-0900-000003000000}" name="Area type"/>
    <tableColumn id="6" xr3:uid="{00000000-0010-0000-0900-000006000000}" name="2015"/>
    <tableColumn id="7" xr3:uid="{00000000-0010-0000-0900-000007000000}" name="2016"/>
    <tableColumn id="8" xr3:uid="{00000000-0010-0000-0900-000008000000}" name="2017"/>
    <tableColumn id="9" xr3:uid="{00000000-0010-0000-0900-000009000000}" name="2018"/>
    <tableColumn id="10" xr3:uid="{00000000-0010-0000-0900-00000A000000}" name="2019"/>
    <tableColumn id="11" xr3:uid="{00000000-0010-0000-0900-00000B000000}" name="2020"/>
    <tableColumn id="13" xr3:uid="{00000000-0010-0000-0900-00000D000000}" name="2022"/>
    <tableColumn id="14" xr3:uid="{00000000-0010-0000-0900-00000E000000}" name="2023" dataDxfId="53"/>
    <tableColumn id="12" xr3:uid="{00000000-0010-0000-0900-00000C000000}" name="2024" dataDxfId="52"/>
    <tableColumn id="4" xr3:uid="{6DE66E89-5A3E-47C3-B15B-BF88D64972DC}" name="2025" dataDxfId="51"/>
    <tableColumn id="15" xr3:uid="{00000000-0010-0000-0900-00000F000000}" name="Proportion of total dwellings in 2025_x000a_ %"/>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 displayName="table7" ref="A5:W16" totalsRowShown="0">
  <tableColumns count="23">
    <tableColumn id="1" xr3:uid="{00000000-0010-0000-0A00-000001000000}" name="Number of households (thousands)"/>
    <tableColumn id="4" xr3:uid="{00000000-0010-0000-0A00-000004000000}" name="2001" dataDxfId="50"/>
    <tableColumn id="5" xr3:uid="{00000000-0010-0000-0A00-000005000000}" name="2002" dataDxfId="49"/>
    <tableColumn id="6" xr3:uid="{00000000-0010-0000-0A00-000006000000}" name="2003" dataDxfId="48"/>
    <tableColumn id="7" xr3:uid="{00000000-0010-0000-0A00-000007000000}" name="2004" dataDxfId="47"/>
    <tableColumn id="8" xr3:uid="{00000000-0010-0000-0A00-000008000000}" name="2005" dataDxfId="46"/>
    <tableColumn id="9" xr3:uid="{00000000-0010-0000-0A00-000009000000}" name="2006" dataDxfId="45"/>
    <tableColumn id="10" xr3:uid="{00000000-0010-0000-0A00-00000A000000}" name="2007" dataDxfId="44"/>
    <tableColumn id="11" xr3:uid="{00000000-0010-0000-0A00-00000B000000}" name="2008" dataDxfId="43"/>
    <tableColumn id="12" xr3:uid="{00000000-0010-0000-0A00-00000C000000}" name="2009" dataDxfId="42"/>
    <tableColumn id="13" xr3:uid="{00000000-0010-0000-0A00-00000D000000}" name="2010" dataDxfId="41"/>
    <tableColumn id="14" xr3:uid="{00000000-0010-0000-0A00-00000E000000}" name="2011" dataDxfId="40"/>
    <tableColumn id="15" xr3:uid="{00000000-0010-0000-0A00-00000F000000}" name="2012" dataDxfId="39"/>
    <tableColumn id="16" xr3:uid="{00000000-0010-0000-0A00-000010000000}" name="2013" dataDxfId="38"/>
    <tableColumn id="17" xr3:uid="{00000000-0010-0000-0A00-000011000000}" name="2014" dataDxfId="37"/>
    <tableColumn id="18" xr3:uid="{00000000-0010-0000-0A00-000012000000}" name="2015" dataDxfId="36"/>
    <tableColumn id="19" xr3:uid="{00000000-0010-0000-0A00-000013000000}" name="2016" dataDxfId="35"/>
    <tableColumn id="20" xr3:uid="{00000000-0010-0000-0A00-000014000000}" name="2017" dataDxfId="34"/>
    <tableColumn id="21" xr3:uid="{00000000-0010-0000-0A00-000015000000}" name="2018" dataDxfId="33"/>
    <tableColumn id="22" xr3:uid="{00000000-0010-0000-0A00-000016000000}" name="2019" dataDxfId="32"/>
    <tableColumn id="23" xr3:uid="{00000000-0010-0000-0A00-000017000000}" name="2022" dataDxfId="31"/>
    <tableColumn id="24" xr3:uid="{10AE4F3F-3A50-4763-826E-2BEC19045789}" name="2023" dataDxfId="30"/>
    <tableColumn id="2" xr3:uid="{1FBB10E4-3647-4140-8DC1-B972CB8E1D38}" name="2024" dataDxfId="29"/>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 displayName="table8" ref="A5:G38" totalsRowShown="0">
  <sortState xmlns:xlrd2="http://schemas.microsoft.com/office/spreadsheetml/2017/richdata2" ref="A6:G38">
    <sortCondition ref="A5:A38"/>
  </sortState>
  <tableColumns count="7">
    <tableColumn id="1" xr3:uid="{00000000-0010-0000-0B00-000001000000}" name="Area Name"/>
    <tableColumn id="2" xr3:uid="{00000000-0010-0000-0B00-000002000000}" name="Area code"/>
    <tableColumn id="3" xr3:uid="{00000000-0010-0000-0B00-000003000000}" name="Area type"/>
    <tableColumn id="4" xr3:uid="{00000000-0010-0000-0B00-000004000000}" name="Band A-C dwellings_x000a_%"/>
    <tableColumn id="5" xr3:uid="{00000000-0010-0000-0B00-000005000000}" name="Band D-E dwellings_x000a_%"/>
    <tableColumn id="6" xr3:uid="{00000000-0010-0000-0B00-000006000000}" name="Band F-H dwellings_x000a_%"/>
    <tableColumn id="7" xr3:uid="{00000000-0010-0000-0B00-000007000000}" name="Dwellings per hectare"/>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9" displayName="table9" ref="A4:H11" totalsRowShown="0">
  <tableColumns count="8">
    <tableColumn id="1" xr3:uid="{00000000-0010-0000-0C00-000001000000}" name="Urban Rural 2020 6-fold area"/>
    <tableColumn id="2" xr3:uid="{00000000-0010-0000-0C00-000002000000}" name="Occupied dwellings_x000a_%"/>
    <tableColumn id="3" xr3:uid="{00000000-0010-0000-0C00-000003000000}" name="Vacant dwellings_x000a_%"/>
    <tableColumn id="4" xr3:uid="{00000000-0010-0000-0C00-000004000000}" name="Unoccupied dwellings exempt from paying Council Tax_x000a_%"/>
    <tableColumn id="5" xr3:uid="{00000000-0010-0000-0C00-000005000000}" name="Long-term empty dwellings_x000a_%"/>
    <tableColumn id="6" xr3:uid="{00000000-0010-0000-0C00-000006000000}" name="Second homes_x000a_%"/>
    <tableColumn id="7" xr3:uid="{00000000-0010-0000-0C00-000007000000}" name="Occupied dwellings exempt from paying Council Tax_x000a_%"/>
    <tableColumn id="8" xr3:uid="{00000000-0010-0000-0C00-000008000000}" name="Dwellings with a 'single adult' Council Tax discount_x000a_%"/>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10" displayName="table10" ref="A5:E12" totalsRowShown="0">
  <tableColumns count="5">
    <tableColumn id="2" xr3:uid="{00000000-0010-0000-0D00-000002000000}" name="UR6_Code" dataDxfId="28"/>
    <tableColumn id="3" xr3:uid="{00000000-0010-0000-0D00-000003000000}" name="Band A-C dwellings_x000a_%"/>
    <tableColumn id="4" xr3:uid="{00000000-0010-0000-0D00-000004000000}" name="Band D-E dwellings_x000a_%"/>
    <tableColumn id="5" xr3:uid="{00000000-0010-0000-0D00-000005000000}" name="Band F-H dwellings_x000a_%"/>
    <tableColumn id="6" xr3:uid="{00000000-0010-0000-0D00-000006000000}" name="Dwellings per hectare" dataDxfId="27"/>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11" displayName="table11" ref="A4:H15" totalsRowShown="0">
  <tableColumns count="8">
    <tableColumn id="1" xr3:uid="{00000000-0010-0000-0E00-000001000000}" name="2020 SIMD decile"/>
    <tableColumn id="2" xr3:uid="{00000000-0010-0000-0E00-000002000000}" name="Occupied dwellings_x000a_%"/>
    <tableColumn id="3" xr3:uid="{00000000-0010-0000-0E00-000003000000}" name="Vacant dwellings_x000a_%"/>
    <tableColumn id="4" xr3:uid="{00000000-0010-0000-0E00-000004000000}" name="Unoccupied dwellings exempt from paying Council Tax_x000a_%"/>
    <tableColumn id="5" xr3:uid="{00000000-0010-0000-0E00-000005000000}" name="Long-term empty dwellings_x000a_%"/>
    <tableColumn id="6" xr3:uid="{00000000-0010-0000-0E00-000006000000}" name="Second homes_x000a_%"/>
    <tableColumn id="7" xr3:uid="{00000000-0010-0000-0E00-000007000000}" name="Occupied dwellings exempt from paying Council Tax_x000a_%"/>
    <tableColumn id="8" xr3:uid="{00000000-0010-0000-0E00-000008000000}" name="Dwellings with a 'single adult' Council Tax discount_x000a_%"/>
  </tableColumns>
  <tableStyleInfo name="non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12" displayName="table12" ref="A5:E16" totalsRowShown="0">
  <tableColumns count="5">
    <tableColumn id="1" xr3:uid="{00000000-0010-0000-0F00-000001000000}" name="2020 SIMD decile"/>
    <tableColumn id="2" xr3:uid="{00000000-0010-0000-0F00-000002000000}" name="Band A-C dwellings_x000a_%"/>
    <tableColumn id="3" xr3:uid="{00000000-0010-0000-0F00-000003000000}" name="Band D-E dwellings_x000a_%"/>
    <tableColumn id="4" xr3:uid="{00000000-0010-0000-0F00-000004000000}" name="Band F-H dwellings_x000a_%"/>
    <tableColumn id="5" xr3:uid="{00000000-0010-0000-0F00-000005000000}" name="Dwellings per hectare" dataDxfId="26"/>
  </tableColumns>
  <tableStyleInfo name="non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8C4BBF-42B8-495E-8B59-802F6D176527}" name="Figure1Data" displayName="Figure1Data" ref="A4:B25" totalsRowShown="0">
  <autoFilter ref="A4:B25" xr:uid="{84E37860-49E5-4B5E-8201-6367C7A3D732}">
    <filterColumn colId="0" hiddenButton="1"/>
    <filterColumn colId="1" hiddenButton="1"/>
  </autoFilter>
  <tableColumns count="2">
    <tableColumn id="1" xr3:uid="{1F2A7C2A-9F5A-44C3-A147-D404F7AD7782}" name="Year" dataDxfId="25" dataCellStyle="Normal 2"/>
    <tableColumn id="5" xr3:uid="{BFBE4EEB-BA9E-4434-B22B-28529A03ECBC}" name="Households_x000a_% change" dataDxfId="24" dataCellStyle="Normal 2"/>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E9BFA38-9202-4FCD-AF8A-8F17A73BF7BE}" name="table32826" displayName="table32826" ref="A5:B7" totalsRowShown="0" dataDxfId="23">
  <tableColumns count="2">
    <tableColumn id="1" xr3:uid="{B173231F-EA7A-4D2E-91B2-376395C1C6D0}" name="Changes to:" dataDxfId="22"/>
    <tableColumn id="14" xr3:uid="{5A510D5A-00CE-4164-B3A6-26E0A3916DDC}" name="percentage change" dataDxfId="21"/>
  </tableColumns>
  <tableStyleInfo name="none"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07975C-FB2A-4D4D-A6A0-FBA018C0433A}" name="Table6" displayName="Table6" ref="A5:C37" totalsRowShown="0" headerRowDxfId="20" dataDxfId="19">
  <autoFilter ref="A5:C37" xr:uid="{7B07975C-FB2A-4D4D-A6A0-FBA018C0433A}">
    <filterColumn colId="0" hiddenButton="1"/>
    <filterColumn colId="1" hiddenButton="1"/>
    <filterColumn colId="2" hiddenButton="1"/>
  </autoFilter>
  <sortState xmlns:xlrd2="http://schemas.microsoft.com/office/spreadsheetml/2017/richdata2" ref="A6:C37">
    <sortCondition ref="B5:B37"/>
  </sortState>
  <tableColumns count="3">
    <tableColumn id="1" xr3:uid="{36E06680-AD86-41AD-9C7F-B2DE7D1A3920}" name="Council" dataDxfId="18" dataCellStyle="Normal 2 3"/>
    <tableColumn id="2" xr3:uid="{99DC9437-2D2B-4D0F-BAAA-D5CC85CEBA42}" name="Households_x000a_% change 2005 to 2025" dataDxfId="17" dataCellStyle="Normal 3 2"/>
    <tableColumn id="3" xr3:uid="{E3E795A6-9E0F-41B2-BF58-B8796BF3B6F9}" name="Population_x000a_% change 2005 to 2025" dataDxfId="16" dataCellStyle="Normal 2 3"/>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6FB20B2-BDE9-47F1-8FC2-1C59EFE3CD0D}" name="Figure4Data27" displayName="Figure4Data27" ref="A4:C37" totalsRowShown="0" headerRowDxfId="15" headerRowCellStyle="Normal 2" dataCellStyle="Normal 2">
  <autoFilter ref="A4:C37" xr:uid="{6CC65A8C-4851-4E4A-8AF2-DE6E1DBE2A52}">
    <filterColumn colId="0" hiddenButton="1"/>
    <filterColumn colId="1" hiddenButton="1"/>
    <filterColumn colId="2" hiddenButton="1"/>
  </autoFilter>
  <tableColumns count="3">
    <tableColumn id="1" xr3:uid="{7E6C5647-617D-4343-ABF4-8FE859D1CB09}" name="Year" dataDxfId="14" dataCellStyle="Normal 2"/>
    <tableColumn id="2" xr3:uid="{BC8FE514-2DA1-47A6-A894-062528D24A95}" name="Dwellings that are:" dataCellStyle="Normal 2"/>
    <tableColumn id="3" xr3:uid="{5CA43067-9B1A-4444-8305-634745D3BD86}" name="Number of dwellings (thousand)" dataDxfId="13" dataCellStyle="Normal 2"/>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96CA93-D6BE-4A8C-ACB4-D7CEBC7C98E3}" name="Figure5Data" displayName="Figure5Data" ref="A5:C26" totalsRowShown="0">
  <autoFilter ref="A5:C26" xr:uid="{91E4117D-5253-4E73-80E9-11BFE1159EED}">
    <filterColumn colId="0" hiddenButton="1"/>
    <filterColumn colId="1" hiddenButton="1"/>
    <filterColumn colId="2" hiddenButton="1"/>
  </autoFilter>
  <tableColumns count="3">
    <tableColumn id="1" xr3:uid="{1BE1E1EA-07BF-4D5C-BF85-0D1904B92340}" name="Year" dataDxfId="12" totalsRowDxfId="11" dataCellStyle="Normal 2"/>
    <tableColumn id="2" xr3:uid="{6E3EED26-2BCD-48E0-994F-A84A3F9F0719}" name="Increase in dwellings" dataDxfId="10" totalsRowDxfId="9" dataCellStyle="Comma 6"/>
    <tableColumn id="3" xr3:uid="{FD9AFC74-FD1F-4309-B667-28E164CD25D4}" name="New build completions" dataDxfId="8" totalsRowDxfId="7" dataCellStyle="Comma 6"/>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06217F-968D-4918-B8F7-8FB2325AFF16}" name="Figure6DataOnVacantDwellings" displayName="Figure6DataOnVacantDwellings" ref="A4:B37" totalsRowShown="0" dataCellStyle="Normal 3">
  <autoFilter ref="A4:B37" xr:uid="{69A714A2-8F7C-4002-BBC1-8DDA5B41FDA0}">
    <filterColumn colId="0" hiddenButton="1"/>
    <filterColumn colId="1" hiddenButton="1"/>
  </autoFilter>
  <sortState xmlns:xlrd2="http://schemas.microsoft.com/office/spreadsheetml/2017/richdata2" ref="A5:B37">
    <sortCondition descending="1" ref="B4:B37"/>
  </sortState>
  <tableColumns count="2">
    <tableColumn id="1" xr3:uid="{9DA569F2-C6C6-4926-A777-F3C6DC6688A4}" name="Council" dataCellStyle="Normal 3"/>
    <tableColumn id="2" xr3:uid="{8657FB01-EB5F-4FB6-840D-B558349B54E2}" name="Vacant dwellings (%)" dataDxfId="6" dataCellStyle="Normal 3"/>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3285C0B-F558-4742-93C0-027E22A62629}" name="Figure6DataOnLongTermEmpty" displayName="Figure6DataOnLongTermEmpty" ref="D4:E37" totalsRowShown="0" dataCellStyle="Normal 3">
  <autoFilter ref="D4:E37" xr:uid="{2385E4EC-1D68-4367-BE7D-305B2453BCCF}">
    <filterColumn colId="0" hiddenButton="1"/>
    <filterColumn colId="1" hiddenButton="1"/>
  </autoFilter>
  <sortState xmlns:xlrd2="http://schemas.microsoft.com/office/spreadsheetml/2017/richdata2" ref="D5:E37">
    <sortCondition descending="1" ref="E4:E37"/>
  </sortState>
  <tableColumns count="2">
    <tableColumn id="1" xr3:uid="{49EC9FE2-A692-483D-9BC7-C3E2E9C2985A}" name="Council" dataCellStyle="Normal 3"/>
    <tableColumn id="2" xr3:uid="{FBE4C4C0-6941-4965-A1E4-3E222DA05673}" name="Long-term empty dwellings (%)" dataDxfId="5" dataCellStyle="Normal 3"/>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1440382-7C16-4C69-82B9-FCDF6D808637}" name="Figure6DataOnSecondHomes" displayName="Figure6DataOnSecondHomes" ref="G4:H37" totalsRowShown="0" dataCellStyle="Normal 3">
  <autoFilter ref="G4:H37" xr:uid="{E9A1E232-ED35-4E76-8473-88EA2EE88595}">
    <filterColumn colId="0" hiddenButton="1"/>
    <filterColumn colId="1" hiddenButton="1"/>
  </autoFilter>
  <sortState xmlns:xlrd2="http://schemas.microsoft.com/office/spreadsheetml/2017/richdata2" ref="G5:H37">
    <sortCondition descending="1" ref="H4:H37"/>
  </sortState>
  <tableColumns count="2">
    <tableColumn id="1" xr3:uid="{D1D7C04D-1559-478A-B47A-65C7E9A5DC2B}" name="Council" dataCellStyle="Normal 3"/>
    <tableColumn id="2" xr3:uid="{1316F938-8CCB-4A3C-BC97-FF4CF3B6868C}" name="Second homes (%)" dataDxfId="4" dataCellStyle="Normal 3"/>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395B4D-EE4F-48E0-93C9-18172BD35948}" name="Figure9Data2029" displayName="Figure9Data2029" ref="A4:D10" totalsRowShown="0" headerRowDxfId="3" headerRowCellStyle="Normal 2">
  <autoFilter ref="A4:D10" xr:uid="{485EC460-92F2-4EDB-9F8C-9C82038CE5A3}">
    <filterColumn colId="0" hiddenButton="1"/>
    <filterColumn colId="1" hiddenButton="1"/>
    <filterColumn colId="2" hiddenButton="1"/>
    <filterColumn colId="3" hiddenButton="1"/>
  </autoFilter>
  <tableColumns count="4">
    <tableColumn id="1" xr3:uid="{D7E257C7-A002-48D6-B5D3-88364024E906}" name="Year" dataDxfId="2" dataCellStyle="Normal 2"/>
    <tableColumn id="2" xr3:uid="{94F3A0A5-09F6-4C88-9926-F6088B31645E}" name="Area type" dataCellStyle="Normal 2"/>
    <tableColumn id="3" xr3:uid="{2076CAF3-4243-4002-8CF3-65FFC2E3DD08}" name="Number of occupied dwellings" dataDxfId="1" dataCellStyle="Normal 2"/>
    <tableColumn id="4" xr3:uid="{75E52E45-69D6-4BD0-A8BE-019941868344}" name="Percentage change since 2015" dataDxfId="0" dataCellStyle="Normal 2"/>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276306E-A4C2-40DB-BB42-46554F0EB22F}" name="table1127" displayName="table1127" ref="A4:H15" totalsRowShown="0">
  <tableColumns count="8">
    <tableColumn id="1" xr3:uid="{1414F534-7FE8-418F-9A4E-4822C2D747BE}" name="2020 SIMD decile"/>
    <tableColumn id="2" xr3:uid="{0A88362A-F2AC-488C-8D84-C01CEF1A889F}" name="Occupied dwellings_x000a_%"/>
    <tableColumn id="3" xr3:uid="{9F361778-E649-460F-8840-54F0C5E4275E}" name="Vacant dwellings_x000a_%"/>
    <tableColumn id="4" xr3:uid="{05C2DC14-B27D-4A64-8A81-F56D87054C71}" name="Unoccupied dwellings exempt from paying Council Tax_x000a_%"/>
    <tableColumn id="5" xr3:uid="{0B066757-9327-4E1C-A865-21DC89AD3C9D}" name="Long-term empty dwellings_x000a_%"/>
    <tableColumn id="6" xr3:uid="{036343FF-8899-4B4D-9F14-4FCC4CD4F2EC}" name="Second homes_x000a_%"/>
    <tableColumn id="7" xr3:uid="{30291A4A-D587-4F41-AF33-0B5A7D9122F9}" name="Occupied dwellings exempt from paying Council Tax_x000a_%"/>
    <tableColumn id="8" xr3:uid="{A0E67870-1722-44CF-AEA6-9D93E58A4807}" name="Dwellings with a 'single adult' Council Tax discount_x000a_%"/>
  </tableColumns>
  <tableStyleInfo name="non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7BD18E1-5880-4076-8DC8-E565D34C3955}" name="Figure11Data" displayName="Figure11Data" ref="A4:C7" totalsRowShown="0">
  <autoFilter ref="A4:C7" xr:uid="{82ED5570-F42B-4E64-A87D-B3FB33D2F7B5}">
    <filterColumn colId="0" hiddenButton="1"/>
    <filterColumn colId="1" hiddenButton="1"/>
    <filterColumn colId="2" hiddenButton="1"/>
  </autoFilter>
  <tableColumns count="3">
    <tableColumn id="1" xr3:uid="{6E0ACE6E-FAFE-4FE4-830A-850BDA8BFCB1}" name="Proportion of dwellings:"/>
    <tableColumn id="2" xr3:uid="{0D5EC9FB-45AD-48DB-BB3A-FCE02EF2F513}" name="1 = most deprived SIMD decile" dataCellStyle="Normal 2"/>
    <tableColumn id="3" xr3:uid="{F36502A8-3E75-4E1B-9388-314B72C6B741}" name="10 = least deprived SIMD decile" dataCellStyle="Normal 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www.nrscotland.gov.uk/publications/households-and-dwellings-in-scotland-2025/" TargetMode="External"/><Relationship Id="rId6" Type="http://schemas.openxmlformats.org/officeDocument/2006/relationships/printerSettings" Target="../printerSettings/printerSettings1.bin"/><Relationship Id="rId5" Type="http://schemas.openxmlformats.org/officeDocument/2006/relationships/hyperlink" Target="https://www.nrscotland.gov.uk/publications/households-and-dwellings-in-scotland-2025/"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9.xml"/><Relationship Id="rId4" Type="http://schemas.openxmlformats.org/officeDocument/2006/relationships/table" Target="../tables/table2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tabSelected="1" workbookViewId="0"/>
  </sheetViews>
  <sheetFormatPr defaultColWidth="11.53515625" defaultRowHeight="15.5" x14ac:dyDescent="0.35"/>
  <cols>
    <col min="1" max="1" width="150.69140625" customWidth="1"/>
  </cols>
  <sheetData>
    <row r="1" spans="1:1" ht="20" x14ac:dyDescent="0.4">
      <c r="A1" s="1" t="s">
        <v>332</v>
      </c>
    </row>
    <row r="2" spans="1:1" ht="31" x14ac:dyDescent="0.35">
      <c r="A2" s="10" t="s">
        <v>333</v>
      </c>
    </row>
    <row r="3" spans="1:1" x14ac:dyDescent="0.35">
      <c r="A3" s="97" t="s">
        <v>273</v>
      </c>
    </row>
    <row r="4" spans="1:1" ht="34" customHeight="1" x14ac:dyDescent="0.4">
      <c r="A4" s="2" t="s">
        <v>0</v>
      </c>
    </row>
    <row r="5" spans="1:1" x14ac:dyDescent="0.35">
      <c r="A5" s="34">
        <v>46233</v>
      </c>
    </row>
    <row r="6" spans="1:1" ht="34" customHeight="1" x14ac:dyDescent="0.4">
      <c r="A6" s="2" t="s">
        <v>1</v>
      </c>
    </row>
    <row r="7" spans="1:1" x14ac:dyDescent="0.35">
      <c r="A7" s="3" t="s">
        <v>2</v>
      </c>
    </row>
    <row r="8" spans="1:1" ht="34" customHeight="1" x14ac:dyDescent="0.4">
      <c r="A8" s="4" t="s">
        <v>3</v>
      </c>
    </row>
    <row r="9" spans="1:1" x14ac:dyDescent="0.35">
      <c r="A9" s="3" t="s">
        <v>334</v>
      </c>
    </row>
    <row r="10" spans="1:1" ht="34" customHeight="1" x14ac:dyDescent="0.4">
      <c r="A10" s="4" t="s">
        <v>4</v>
      </c>
    </row>
    <row r="11" spans="1:1" ht="31" x14ac:dyDescent="0.35">
      <c r="A11" s="3" t="s">
        <v>5</v>
      </c>
    </row>
    <row r="12" spans="1:1" x14ac:dyDescent="0.35">
      <c r="A12" s="3" t="s">
        <v>6</v>
      </c>
    </row>
    <row r="13" spans="1:1" ht="34" customHeight="1" x14ac:dyDescent="0.4">
      <c r="A13" s="4" t="s">
        <v>7</v>
      </c>
    </row>
    <row r="14" spans="1:1" ht="62" x14ac:dyDescent="0.35">
      <c r="A14" s="3" t="s">
        <v>336</v>
      </c>
    </row>
    <row r="15" spans="1:1" x14ac:dyDescent="0.35">
      <c r="A15" s="98" t="s">
        <v>272</v>
      </c>
    </row>
    <row r="16" spans="1:1" ht="31" x14ac:dyDescent="0.35">
      <c r="A16" s="3" t="s">
        <v>335</v>
      </c>
    </row>
    <row r="17" spans="1:1" ht="77.5" x14ac:dyDescent="0.35">
      <c r="A17" s="3" t="s">
        <v>337</v>
      </c>
    </row>
    <row r="18" spans="1:1" ht="34" customHeight="1" x14ac:dyDescent="0.4">
      <c r="A18" s="4" t="s">
        <v>8</v>
      </c>
    </row>
    <row r="19" spans="1:1" ht="31" x14ac:dyDescent="0.35">
      <c r="A19" s="3" t="s">
        <v>274</v>
      </c>
    </row>
    <row r="20" spans="1:1" x14ac:dyDescent="0.35">
      <c r="A20" s="6" t="s">
        <v>11</v>
      </c>
    </row>
    <row r="21" spans="1:1" ht="34" customHeight="1" x14ac:dyDescent="0.4">
      <c r="A21" s="4" t="s">
        <v>9</v>
      </c>
    </row>
    <row r="22" spans="1:1" x14ac:dyDescent="0.35">
      <c r="A22" s="3" t="s">
        <v>10</v>
      </c>
    </row>
    <row r="23" spans="1:1" x14ac:dyDescent="0.35">
      <c r="A23" s="6" t="s">
        <v>12</v>
      </c>
    </row>
    <row r="24" spans="1:1" x14ac:dyDescent="0.35">
      <c r="A24" s="6" t="s">
        <v>13</v>
      </c>
    </row>
    <row r="25" spans="1:1" x14ac:dyDescent="0.35">
      <c r="A25" s="3"/>
    </row>
    <row r="26" spans="1:1" x14ac:dyDescent="0.35">
      <c r="A26" s="3"/>
    </row>
    <row r="27" spans="1:1" x14ac:dyDescent="0.35">
      <c r="A27" s="3"/>
    </row>
    <row r="28" spans="1:1" x14ac:dyDescent="0.35">
      <c r="A28" s="3"/>
    </row>
    <row r="29" spans="1:1" x14ac:dyDescent="0.35">
      <c r="A29" s="3"/>
    </row>
    <row r="30" spans="1:1" x14ac:dyDescent="0.35">
      <c r="A30" s="3"/>
    </row>
    <row r="31" spans="1:1" x14ac:dyDescent="0.35">
      <c r="A31" s="3"/>
    </row>
    <row r="32" spans="1:1" x14ac:dyDescent="0.35">
      <c r="A32" s="3"/>
    </row>
    <row r="33" spans="1:1" x14ac:dyDescent="0.35">
      <c r="A33" s="3"/>
    </row>
    <row r="34" spans="1:1" x14ac:dyDescent="0.35">
      <c r="A34" s="3"/>
    </row>
    <row r="35" spans="1:1" x14ac:dyDescent="0.35">
      <c r="A35" s="3"/>
    </row>
    <row r="36" spans="1:1" x14ac:dyDescent="0.35">
      <c r="A36" s="3"/>
    </row>
    <row r="37" spans="1:1" x14ac:dyDescent="0.35">
      <c r="A37" s="3"/>
    </row>
    <row r="38" spans="1:1" x14ac:dyDescent="0.35">
      <c r="A38" s="3"/>
    </row>
    <row r="39" spans="1:1" x14ac:dyDescent="0.35">
      <c r="A39" s="3"/>
    </row>
    <row r="40" spans="1:1" x14ac:dyDescent="0.35">
      <c r="A40" s="3"/>
    </row>
    <row r="41" spans="1:1" x14ac:dyDescent="0.35">
      <c r="A41" s="3"/>
    </row>
    <row r="42" spans="1:1" x14ac:dyDescent="0.35">
      <c r="A42" s="3"/>
    </row>
    <row r="43" spans="1:1" x14ac:dyDescent="0.35">
      <c r="A43" s="3"/>
    </row>
    <row r="44" spans="1:1" x14ac:dyDescent="0.35">
      <c r="A44" s="3"/>
    </row>
    <row r="45" spans="1:1" x14ac:dyDescent="0.35">
      <c r="A45" s="3"/>
    </row>
    <row r="46" spans="1:1" x14ac:dyDescent="0.35">
      <c r="A46" s="3"/>
    </row>
  </sheetData>
  <hyperlinks>
    <hyperlink ref="A3" r:id="rId1" xr:uid="{00000000-0004-0000-0000-000000000000}"/>
    <hyperlink ref="A20" r:id="rId2" xr:uid="{00000000-0004-0000-0000-000001000000}"/>
    <hyperlink ref="A23" r:id="rId3" xr:uid="{00000000-0004-0000-0000-000002000000}"/>
    <hyperlink ref="A24" r:id="rId4" xr:uid="{00000000-0004-0000-0000-000003000000}"/>
    <hyperlink ref="A15" r:id="rId5" location="downloads" xr:uid="{C0EE9440-4E89-4752-A027-181E11F3CA09}"/>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ColWidth="11.53515625" defaultRowHeight="15.5" x14ac:dyDescent="0.35"/>
  <cols>
    <col min="1" max="1" width="15.3046875" customWidth="1"/>
    <col min="2" max="2" width="72.69140625" customWidth="1"/>
  </cols>
  <sheetData>
    <row r="1" spans="1:2" ht="20" x14ac:dyDescent="0.4">
      <c r="A1" s="1" t="s">
        <v>14</v>
      </c>
    </row>
    <row r="2" spans="1:2" x14ac:dyDescent="0.35">
      <c r="A2" t="s">
        <v>15</v>
      </c>
    </row>
    <row r="3" spans="1:2" x14ac:dyDescent="0.35">
      <c r="A3" t="s">
        <v>16</v>
      </c>
    </row>
    <row r="4" spans="1:2" x14ac:dyDescent="0.35">
      <c r="A4" s="7" t="s">
        <v>17</v>
      </c>
      <c r="B4" s="7" t="s">
        <v>18</v>
      </c>
    </row>
    <row r="5" spans="1:2" x14ac:dyDescent="0.35">
      <c r="A5" s="8" t="str">
        <f>HYPERLINK("#'Table1'!A1", "Table1")</f>
        <v>Table1</v>
      </c>
      <c r="B5" s="33" t="s">
        <v>293</v>
      </c>
    </row>
    <row r="6" spans="1:2" x14ac:dyDescent="0.35">
      <c r="A6" s="8" t="str">
        <f>HYPERLINK("#'Table2'!A1", "Table2")</f>
        <v>Table2</v>
      </c>
      <c r="B6" s="33" t="s">
        <v>282</v>
      </c>
    </row>
    <row r="7" spans="1:2" x14ac:dyDescent="0.35">
      <c r="A7" s="8" t="str">
        <f>HYPERLINK("#'Table3'!A1", "Table3")</f>
        <v>Table3</v>
      </c>
      <c r="B7" s="33" t="s">
        <v>294</v>
      </c>
    </row>
    <row r="8" spans="1:2" x14ac:dyDescent="0.35">
      <c r="A8" s="8" t="str">
        <f>HYPERLINK("#'Table4'!A1", "Table4")</f>
        <v>Table4</v>
      </c>
      <c r="B8" s="33" t="s">
        <v>295</v>
      </c>
    </row>
    <row r="9" spans="1:2" x14ac:dyDescent="0.35">
      <c r="A9" s="8" t="str">
        <f>HYPERLINK("#'Table5'!A1", "Table5")</f>
        <v>Table5</v>
      </c>
      <c r="B9" t="s">
        <v>296</v>
      </c>
    </row>
    <row r="10" spans="1:2" x14ac:dyDescent="0.35">
      <c r="A10" s="8" t="str">
        <f>HYPERLINK("#'Table6a'!A1", "Table6a")</f>
        <v>Table6a</v>
      </c>
      <c r="B10" t="s">
        <v>297</v>
      </c>
    </row>
    <row r="11" spans="1:2" x14ac:dyDescent="0.35">
      <c r="A11" s="8" t="str">
        <f>HYPERLINK("#'Table6b'!A1", "Table6b")</f>
        <v>Table6b</v>
      </c>
      <c r="B11" t="s">
        <v>291</v>
      </c>
    </row>
    <row r="12" spans="1:2" x14ac:dyDescent="0.35">
      <c r="A12" s="8" t="str">
        <f>HYPERLINK("#'Table6c'!A1", "Table6c")</f>
        <v>Table6c</v>
      </c>
      <c r="B12" t="s">
        <v>298</v>
      </c>
    </row>
    <row r="13" spans="1:2" x14ac:dyDescent="0.35">
      <c r="A13" s="8" t="str">
        <f>HYPERLINK("#'Table7'!A1", "Table7")</f>
        <v>Table7</v>
      </c>
      <c r="B13" t="s">
        <v>326</v>
      </c>
    </row>
    <row r="14" spans="1:2" x14ac:dyDescent="0.35">
      <c r="A14" s="8" t="str">
        <f>HYPERLINK("#'Table8'!A1", "Table8")</f>
        <v>Table8</v>
      </c>
      <c r="B14" t="s">
        <v>299</v>
      </c>
    </row>
    <row r="15" spans="1:2" x14ac:dyDescent="0.35">
      <c r="A15" s="8" t="str">
        <f>HYPERLINK("#'Table9'!A1", "Table9")</f>
        <v>Table9</v>
      </c>
      <c r="B15" t="s">
        <v>300</v>
      </c>
    </row>
    <row r="16" spans="1:2" x14ac:dyDescent="0.35">
      <c r="A16" s="8" t="str">
        <f>HYPERLINK("#'Table10'!A1", "Table10")</f>
        <v>Table10</v>
      </c>
      <c r="B16" t="s">
        <v>301</v>
      </c>
    </row>
    <row r="17" spans="1:2" x14ac:dyDescent="0.35">
      <c r="A17" s="8" t="str">
        <f>HYPERLINK("#'Table11'!A1", "Table11")</f>
        <v>Table11</v>
      </c>
      <c r="B17" t="s">
        <v>302</v>
      </c>
    </row>
    <row r="18" spans="1:2" x14ac:dyDescent="0.35">
      <c r="A18" s="8" t="str">
        <f>HYPERLINK("#'Table12'!A1", "Table12")</f>
        <v>Table12</v>
      </c>
      <c r="B18" t="s">
        <v>303</v>
      </c>
    </row>
    <row r="19" spans="1:2" x14ac:dyDescent="0.35">
      <c r="A19" s="61" t="s">
        <v>238</v>
      </c>
      <c r="B19" s="33" t="s">
        <v>322</v>
      </c>
    </row>
    <row r="20" spans="1:2" x14ac:dyDescent="0.35">
      <c r="A20" s="61" t="s">
        <v>239</v>
      </c>
      <c r="B20" s="33" t="s">
        <v>323</v>
      </c>
    </row>
    <row r="21" spans="1:2" x14ac:dyDescent="0.35">
      <c r="A21" s="88" t="s">
        <v>240</v>
      </c>
      <c r="B21" t="s">
        <v>212</v>
      </c>
    </row>
    <row r="22" spans="1:2" x14ac:dyDescent="0.35">
      <c r="A22" s="61" t="s">
        <v>241</v>
      </c>
      <c r="B22" t="s">
        <v>213</v>
      </c>
    </row>
    <row r="23" spans="1:2" x14ac:dyDescent="0.35">
      <c r="A23" s="61" t="s">
        <v>242</v>
      </c>
      <c r="B23" t="s">
        <v>256</v>
      </c>
    </row>
    <row r="24" spans="1:2" x14ac:dyDescent="0.35">
      <c r="A24" s="61" t="s">
        <v>243</v>
      </c>
      <c r="B24" t="s">
        <v>255</v>
      </c>
    </row>
    <row r="25" spans="1:2" x14ac:dyDescent="0.35">
      <c r="A25" s="61" t="s">
        <v>244</v>
      </c>
      <c r="B25" s="33" t="s">
        <v>312</v>
      </c>
    </row>
    <row r="26" spans="1:2" x14ac:dyDescent="0.35">
      <c r="A26" s="61" t="s">
        <v>245</v>
      </c>
      <c r="B26" s="33" t="s">
        <v>313</v>
      </c>
    </row>
    <row r="27" spans="1:2" x14ac:dyDescent="0.35">
      <c r="A27" s="61" t="s">
        <v>246</v>
      </c>
      <c r="B27" s="33" t="s">
        <v>320</v>
      </c>
    </row>
    <row r="28" spans="1:2" x14ac:dyDescent="0.35">
      <c r="A28" s="61" t="s">
        <v>247</v>
      </c>
      <c r="B28" s="33" t="s">
        <v>321</v>
      </c>
    </row>
    <row r="29" spans="1:2" x14ac:dyDescent="0.35">
      <c r="A29" s="61" t="s">
        <v>248</v>
      </c>
      <c r="B29" t="s">
        <v>304</v>
      </c>
    </row>
    <row r="30" spans="1:2" x14ac:dyDescent="0.35">
      <c r="A30" s="61" t="s">
        <v>249</v>
      </c>
      <c r="B30" t="s">
        <v>305</v>
      </c>
    </row>
    <row r="31" spans="1:2" x14ac:dyDescent="0.35">
      <c r="A31" s="61" t="s">
        <v>250</v>
      </c>
      <c r="B31" t="s">
        <v>306</v>
      </c>
    </row>
    <row r="32" spans="1:2" x14ac:dyDescent="0.35">
      <c r="A32" s="61" t="s">
        <v>251</v>
      </c>
      <c r="B32" t="s">
        <v>307</v>
      </c>
    </row>
    <row r="33" spans="1:2" x14ac:dyDescent="0.35">
      <c r="A33" s="88" t="s">
        <v>252</v>
      </c>
      <c r="B33" t="s">
        <v>257</v>
      </c>
    </row>
    <row r="34" spans="1:2" x14ac:dyDescent="0.35">
      <c r="A34" s="88" t="s">
        <v>259</v>
      </c>
      <c r="B34" t="s">
        <v>258</v>
      </c>
    </row>
    <row r="35" spans="1:2" x14ac:dyDescent="0.35">
      <c r="A35" s="61" t="s">
        <v>253</v>
      </c>
      <c r="B35" t="s">
        <v>308</v>
      </c>
    </row>
    <row r="36" spans="1:2" x14ac:dyDescent="0.35">
      <c r="A36" s="88" t="s">
        <v>254</v>
      </c>
      <c r="B36" t="s">
        <v>309</v>
      </c>
    </row>
  </sheetData>
  <hyperlinks>
    <hyperlink ref="A19" location="'Figure 1a'!A1" display="Figure 1a" xr:uid="{CE5C45BD-0538-4D5D-9B8D-019D21C42394}"/>
    <hyperlink ref="A20" location="'Figure 1a data'!A1" display="Figure 1a data" xr:uid="{A7868297-0249-48E7-ABCC-7E44A50750EE}"/>
    <hyperlink ref="A23" location="'Figure 2'!A1" display="Figure 2" xr:uid="{D3647416-09C9-44A9-9A2D-B8C7DD0AA767}"/>
    <hyperlink ref="A25" location="'Figure 3'!A1" display="Figure 3" xr:uid="{1204C1B9-3E22-4414-B575-D483C27324E3}"/>
    <hyperlink ref="A26" location="'Figure 3 data'!A1" display="Figure 3 data" xr:uid="{FC738CEF-C56D-48EE-A6CD-E032D24E38D2}"/>
    <hyperlink ref="A27" location="'Figure 4'!A1" display="Figure 4" xr:uid="{E0E6EE84-3BEF-4076-B325-C34F5612B071}"/>
    <hyperlink ref="A28" location="'Figure 4 data'!A1" display="Figure 4 data" xr:uid="{EE4F79C4-FBCA-491F-A4F8-8D913E92F36F}"/>
    <hyperlink ref="A29" location="'Figure 5'!A1" display="Figure 5" xr:uid="{46F565D7-69B6-4735-B47D-CD1BC5C98F42}"/>
    <hyperlink ref="A30" location="'Figure 5 data'!A1" display="Figure 5 data" xr:uid="{D5EE3216-B8F9-44EB-A8DD-6C7B602194F2}"/>
    <hyperlink ref="A35" location="'Figure 8 data'!A1" display="Figure 8 data" xr:uid="{A74059AB-05B0-4C8A-AE30-A6693FC1AF4C}"/>
    <hyperlink ref="A21" location="'Figure 1b'!A1" display="Figure 1b" xr:uid="{30E2DF2D-A11D-4B5B-87D3-5500897094A5}"/>
    <hyperlink ref="A22" location="'Figure 1b data'!A1" display="Figure 1b data" xr:uid="{D58DBEF8-DBD5-43F5-984A-5AED1228BF26}"/>
    <hyperlink ref="A24" location="'Figure 2 data'!A1" display="Figure 2 data" xr:uid="{FC588971-50AB-423B-B24B-0926D1FD6A88}"/>
    <hyperlink ref="A32" location="'Figure 6 data'!A1" display="Figure 6 data" xr:uid="{EB5F7255-F5E6-422A-B904-798971A39622}"/>
    <hyperlink ref="A31" location="'Figure 6'!A1" display="Figure 6" xr:uid="{636365AB-06AD-4DB9-B818-94F5EA1D8207}"/>
    <hyperlink ref="A33" location="'Figure 7'!A1" display="Figure 7" xr:uid="{AA4DCB25-CE87-4603-A608-FD6FB0D4B968}"/>
    <hyperlink ref="A34" location="'Figure 7 data'!A1" display="Figure 7 data" xr:uid="{A5A194AB-29FA-4C58-8E2F-347609C08812}"/>
    <hyperlink ref="A36" location="'Figure 8 data'!A1" display="Figure 8 data" xr:uid="{EC51931A-7550-4422-AAF6-833BBC97891C}"/>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8"/>
  <sheetViews>
    <sheetView workbookViewId="0"/>
  </sheetViews>
  <sheetFormatPr defaultColWidth="11.53515625" defaultRowHeight="15.5" x14ac:dyDescent="0.35"/>
  <cols>
    <col min="2" max="2" width="82.07421875" customWidth="1"/>
    <col min="3" max="3" width="11.07421875" customWidth="1"/>
    <col min="4" max="4" width="72.69140625" customWidth="1"/>
    <col min="5" max="5" width="3.53515625" customWidth="1"/>
  </cols>
  <sheetData>
    <row r="1" spans="1:4" ht="20" x14ac:dyDescent="0.4">
      <c r="A1" s="1" t="s">
        <v>19</v>
      </c>
    </row>
    <row r="2" spans="1:4" x14ac:dyDescent="0.35">
      <c r="A2" t="s">
        <v>20</v>
      </c>
    </row>
    <row r="4" spans="1:4" ht="31" x14ac:dyDescent="0.35">
      <c r="A4" s="9" t="s">
        <v>21</v>
      </c>
      <c r="B4" s="9" t="s">
        <v>22</v>
      </c>
      <c r="C4" s="9" t="s">
        <v>23</v>
      </c>
      <c r="D4" s="9" t="s">
        <v>24</v>
      </c>
    </row>
    <row r="5" spans="1:4" ht="191.25" customHeight="1" x14ac:dyDescent="0.35">
      <c r="A5" s="93" t="s">
        <v>25</v>
      </c>
      <c r="B5" s="95" t="s">
        <v>270</v>
      </c>
      <c r="C5" s="93" t="s">
        <v>271</v>
      </c>
      <c r="D5" s="99" t="str">
        <f>HYPERLINK("https://www.nrscotland.gov.uk/publications/households-and-dwellings-in-scotland-2024/#downloads", "Households and Dwellings in Scotland: Methodology Guide")</f>
        <v>Households and Dwellings in Scotland: Methodology Guide</v>
      </c>
    </row>
    <row r="6" spans="1:4" ht="41.15" customHeight="1" x14ac:dyDescent="0.35">
      <c r="A6" s="93" t="s">
        <v>26</v>
      </c>
      <c r="B6" s="95" t="s">
        <v>263</v>
      </c>
      <c r="C6" s="93" t="s">
        <v>27</v>
      </c>
      <c r="D6" s="93"/>
    </row>
    <row r="7" spans="1:4" ht="118" customHeight="1" x14ac:dyDescent="0.35">
      <c r="A7" s="93" t="s">
        <v>28</v>
      </c>
      <c r="B7" s="95" t="s">
        <v>268</v>
      </c>
      <c r="C7" s="93" t="s">
        <v>27</v>
      </c>
      <c r="D7" s="93"/>
    </row>
    <row r="8" spans="1:4" ht="67.5" customHeight="1" x14ac:dyDescent="0.35">
      <c r="A8" s="93" t="s">
        <v>29</v>
      </c>
      <c r="B8" s="93" t="s">
        <v>269</v>
      </c>
      <c r="C8" s="93" t="s">
        <v>27</v>
      </c>
      <c r="D8" s="93"/>
    </row>
    <row r="9" spans="1:4" ht="143.5" customHeight="1" x14ac:dyDescent="0.35">
      <c r="A9" s="93" t="s">
        <v>30</v>
      </c>
      <c r="B9" s="93" t="s">
        <v>267</v>
      </c>
      <c r="C9" s="93" t="s">
        <v>31</v>
      </c>
      <c r="D9" s="93"/>
    </row>
    <row r="10" spans="1:4" ht="49" customHeight="1" x14ac:dyDescent="0.35">
      <c r="A10" s="93" t="s">
        <v>32</v>
      </c>
      <c r="B10" s="93" t="s">
        <v>261</v>
      </c>
      <c r="C10" s="93" t="s">
        <v>31</v>
      </c>
      <c r="D10" s="93"/>
    </row>
    <row r="11" spans="1:4" ht="55.5" customHeight="1" x14ac:dyDescent="0.35">
      <c r="A11" s="93" t="s">
        <v>33</v>
      </c>
      <c r="B11" s="93" t="s">
        <v>328</v>
      </c>
      <c r="C11" s="93" t="s">
        <v>34</v>
      </c>
      <c r="D11" s="93"/>
    </row>
    <row r="12" spans="1:4" ht="45" customHeight="1" x14ac:dyDescent="0.35">
      <c r="A12" s="93" t="s">
        <v>35</v>
      </c>
      <c r="B12" s="93" t="s">
        <v>36</v>
      </c>
      <c r="C12" s="93" t="s">
        <v>34</v>
      </c>
      <c r="D12" s="93"/>
    </row>
    <row r="13" spans="1:4" ht="114.65" customHeight="1" x14ac:dyDescent="0.35">
      <c r="A13" s="93" t="s">
        <v>37</v>
      </c>
      <c r="B13" s="96" t="s">
        <v>265</v>
      </c>
      <c r="C13" s="93" t="s">
        <v>38</v>
      </c>
      <c r="D13" s="93"/>
    </row>
    <row r="14" spans="1:4" ht="88" customHeight="1" x14ac:dyDescent="0.35">
      <c r="A14" s="93" t="s">
        <v>39</v>
      </c>
      <c r="B14" s="93" t="s">
        <v>262</v>
      </c>
      <c r="C14" s="93" t="s">
        <v>40</v>
      </c>
      <c r="D14" s="94" t="str">
        <f>HYPERLINK("https://www.gov.scot/publications/scottish-household-survey-2021-telephone-survey-key-findings/pages/2/", "An Official Statistics Publication for Scotland - Scottish Household Survey 2021 - telephone survey: key findings - gov.scot (www.gov.scot) (open in a new window)")</f>
        <v>An Official Statistics Publication for Scotland - Scottish Household Survey 2021 - telephone survey: key findings - gov.scot (www.gov.scot) (open in a new window)</v>
      </c>
    </row>
    <row r="15" spans="1:4" ht="57.75" customHeight="1" x14ac:dyDescent="0.35">
      <c r="A15" s="93" t="s">
        <v>41</v>
      </c>
      <c r="B15" s="93" t="s">
        <v>44</v>
      </c>
      <c r="C15" s="93" t="s">
        <v>42</v>
      </c>
      <c r="D15" s="94" t="str">
        <f>HYPERLINK("https://www.saa.gov.uk/council-tax/council-tax-bands/", "Explanation on Council tax bands on the Scottish Assessors website (open in a new window)")</f>
        <v>Explanation on Council tax bands on the Scottish Assessors website (open in a new window)</v>
      </c>
    </row>
    <row r="16" spans="1:4" ht="37.5" customHeight="1" x14ac:dyDescent="0.35">
      <c r="A16" s="93" t="s">
        <v>43</v>
      </c>
      <c r="B16" s="93" t="s">
        <v>264</v>
      </c>
      <c r="C16" s="93" t="s">
        <v>45</v>
      </c>
      <c r="D16" s="94" t="str">
        <f>HYPERLINK("https://www.gov.scot/collections/scottish-index-of-multiple-deprivation-2020/", "Scottish Index of Multiple Deprivation, 2020 (open in a new window)")</f>
        <v>Scottish Index of Multiple Deprivation, 2020 (open in a new window)</v>
      </c>
    </row>
    <row r="17" spans="1:4" ht="36.65" customHeight="1" x14ac:dyDescent="0.35">
      <c r="A17" s="93" t="s">
        <v>338</v>
      </c>
      <c r="B17" s="93" t="s">
        <v>339</v>
      </c>
      <c r="C17" s="93" t="s">
        <v>31</v>
      </c>
      <c r="D17" s="93"/>
    </row>
    <row r="18" spans="1:4" ht="39" customHeight="1" x14ac:dyDescent="0.35"/>
  </sheetData>
  <pageMargins left="0.7" right="0.7" top="0.75" bottom="0.75" header="0.3" footer="0.3"/>
  <pageSetup paperSize="9" fitToHeight="0" orientation="landscape"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38"/>
  <sheetViews>
    <sheetView workbookViewId="0"/>
  </sheetViews>
  <sheetFormatPr defaultColWidth="11.53515625" defaultRowHeight="15.5" x14ac:dyDescent="0.35"/>
  <cols>
    <col min="1" max="1" width="26.69140625" customWidth="1"/>
    <col min="2" max="2" width="13.69140625" customWidth="1"/>
    <col min="3" max="3" width="12.69140625" customWidth="1"/>
    <col min="4" max="29" width="10.69140625" customWidth="1"/>
    <col min="30" max="30" width="12.07421875" customWidth="1"/>
    <col min="31" max="33" width="10.69140625" customWidth="1"/>
    <col min="34" max="34" width="10.3046875" customWidth="1"/>
  </cols>
  <sheetData>
    <row r="1" spans="1:34" ht="20" x14ac:dyDescent="0.4">
      <c r="A1" s="1" t="s">
        <v>327</v>
      </c>
    </row>
    <row r="2" spans="1:34" x14ac:dyDescent="0.35">
      <c r="A2" t="s">
        <v>46</v>
      </c>
    </row>
    <row r="3" spans="1:34" x14ac:dyDescent="0.35">
      <c r="A3" s="5" t="str">
        <f>HYPERLINK("#'Table of Contents'!A1", "Back to contents")</f>
        <v>Back to contents</v>
      </c>
    </row>
    <row r="4" spans="1:34" ht="46.5" x14ac:dyDescent="0.35">
      <c r="A4" s="11" t="s">
        <v>47</v>
      </c>
      <c r="B4" s="11" t="s">
        <v>48</v>
      </c>
      <c r="C4" s="11" t="s">
        <v>49</v>
      </c>
      <c r="D4" s="12" t="s">
        <v>50</v>
      </c>
      <c r="E4" s="12" t="s">
        <v>51</v>
      </c>
      <c r="F4" s="12" t="s">
        <v>52</v>
      </c>
      <c r="G4" s="12" t="s">
        <v>53</v>
      </c>
      <c r="H4" s="12" t="s">
        <v>54</v>
      </c>
      <c r="I4" s="12" t="s">
        <v>55</v>
      </c>
      <c r="J4" s="12" t="s">
        <v>56</v>
      </c>
      <c r="K4" s="12" t="s">
        <v>57</v>
      </c>
      <c r="L4" s="12" t="s">
        <v>58</v>
      </c>
      <c r="M4" s="12" t="s">
        <v>59</v>
      </c>
      <c r="N4" s="12" t="s">
        <v>60</v>
      </c>
      <c r="O4" s="12" t="s">
        <v>61</v>
      </c>
      <c r="P4" s="12" t="s">
        <v>62</v>
      </c>
      <c r="Q4" s="12" t="s">
        <v>63</v>
      </c>
      <c r="R4" s="12" t="s">
        <v>64</v>
      </c>
      <c r="S4" s="12" t="s">
        <v>65</v>
      </c>
      <c r="T4" s="12" t="s">
        <v>66</v>
      </c>
      <c r="U4" s="12" t="s">
        <v>67</v>
      </c>
      <c r="V4" s="12" t="s">
        <v>68</v>
      </c>
      <c r="W4" s="12" t="s">
        <v>69</v>
      </c>
      <c r="X4" s="12" t="s">
        <v>70</v>
      </c>
      <c r="Y4" s="12" t="s">
        <v>71</v>
      </c>
      <c r="Z4" s="12" t="s">
        <v>72</v>
      </c>
      <c r="AA4" s="12" t="s">
        <v>206</v>
      </c>
      <c r="AB4" s="12" t="s">
        <v>275</v>
      </c>
      <c r="AC4" s="12" t="s">
        <v>276</v>
      </c>
      <c r="AD4" s="12" t="s">
        <v>277</v>
      </c>
      <c r="AE4" s="12" t="s">
        <v>278</v>
      </c>
      <c r="AF4" s="12" t="s">
        <v>279</v>
      </c>
      <c r="AG4" s="12" t="s">
        <v>280</v>
      </c>
      <c r="AH4" s="12" t="s">
        <v>281</v>
      </c>
    </row>
    <row r="5" spans="1:34" x14ac:dyDescent="0.35">
      <c r="A5" s="18" t="s">
        <v>73</v>
      </c>
      <c r="B5" s="19" t="s">
        <v>74</v>
      </c>
      <c r="C5" s="19" t="s">
        <v>75</v>
      </c>
      <c r="D5" s="20">
        <v>2194624</v>
      </c>
      <c r="E5" s="20">
        <v>2211484</v>
      </c>
      <c r="F5" s="20">
        <v>2230848</v>
      </c>
      <c r="G5" s="20">
        <v>2251307</v>
      </c>
      <c r="H5" s="20">
        <v>2274324</v>
      </c>
      <c r="I5" s="20">
        <v>2295221</v>
      </c>
      <c r="J5" s="20">
        <v>2318997</v>
      </c>
      <c r="K5" s="20">
        <v>2337992</v>
      </c>
      <c r="L5" s="20">
        <v>2351800</v>
      </c>
      <c r="M5" s="20">
        <v>2364865</v>
      </c>
      <c r="N5" s="20">
        <v>2376433</v>
      </c>
      <c r="O5" s="20">
        <v>2383070</v>
      </c>
      <c r="P5" s="20">
        <v>2393456</v>
      </c>
      <c r="Q5" s="20">
        <v>2405752</v>
      </c>
      <c r="R5" s="20">
        <v>2417066</v>
      </c>
      <c r="S5" s="20">
        <v>2430583</v>
      </c>
      <c r="T5" s="20">
        <v>2445399</v>
      </c>
      <c r="U5" s="20">
        <v>2457998</v>
      </c>
      <c r="V5" s="20">
        <v>2473364</v>
      </c>
      <c r="W5" s="20">
        <v>2481692</v>
      </c>
      <c r="X5" s="20">
        <v>2498127</v>
      </c>
      <c r="Y5" s="20">
        <v>2515319</v>
      </c>
      <c r="Z5" s="20">
        <v>2535310</v>
      </c>
      <c r="AA5" s="20">
        <v>2552388</v>
      </c>
      <c r="AB5" s="20">
        <v>2570799</v>
      </c>
      <c r="AC5" s="20">
        <v>18411</v>
      </c>
      <c r="AD5" s="21">
        <v>0.7</v>
      </c>
      <c r="AE5" s="20">
        <v>153733</v>
      </c>
      <c r="AF5" s="21">
        <v>6.4</v>
      </c>
      <c r="AG5" s="20">
        <v>296475</v>
      </c>
      <c r="AH5" s="21">
        <v>13</v>
      </c>
    </row>
    <row r="6" spans="1:34" ht="25" customHeight="1" x14ac:dyDescent="0.35">
      <c r="A6" s="3" t="s">
        <v>76</v>
      </c>
      <c r="B6" s="13" t="s">
        <v>77</v>
      </c>
      <c r="C6" s="13" t="s">
        <v>78</v>
      </c>
      <c r="D6" s="14">
        <v>96957</v>
      </c>
      <c r="E6" s="14">
        <v>97403</v>
      </c>
      <c r="F6" s="14">
        <v>97867</v>
      </c>
      <c r="G6" s="14">
        <v>98537</v>
      </c>
      <c r="H6" s="14">
        <v>99131</v>
      </c>
      <c r="I6" s="14">
        <v>100533</v>
      </c>
      <c r="J6" s="14">
        <v>101928</v>
      </c>
      <c r="K6" s="14">
        <v>102590</v>
      </c>
      <c r="L6" s="14">
        <v>103091</v>
      </c>
      <c r="M6" s="14">
        <v>103300</v>
      </c>
      <c r="N6" s="14">
        <v>103438</v>
      </c>
      <c r="O6" s="14">
        <v>103853</v>
      </c>
      <c r="P6" s="14">
        <v>104867</v>
      </c>
      <c r="Q6" s="14">
        <v>105010</v>
      </c>
      <c r="R6" s="14">
        <v>104936</v>
      </c>
      <c r="S6" s="14">
        <v>106271</v>
      </c>
      <c r="T6" s="14">
        <v>107054</v>
      </c>
      <c r="U6" s="14">
        <v>107903</v>
      </c>
      <c r="V6" s="14">
        <v>108591</v>
      </c>
      <c r="W6" s="14">
        <v>108999</v>
      </c>
      <c r="X6" s="14">
        <v>108848</v>
      </c>
      <c r="Y6" s="14">
        <v>109720</v>
      </c>
      <c r="Z6" s="14">
        <v>111024</v>
      </c>
      <c r="AA6" s="14">
        <v>112387</v>
      </c>
      <c r="AB6" s="14">
        <v>113057</v>
      </c>
      <c r="AC6" s="119">
        <v>670</v>
      </c>
      <c r="AD6" s="74">
        <v>0.6</v>
      </c>
      <c r="AE6" s="119">
        <v>8121</v>
      </c>
      <c r="AF6" s="74">
        <v>7.7</v>
      </c>
      <c r="AG6" s="119">
        <v>13926</v>
      </c>
      <c r="AH6" s="74">
        <v>14</v>
      </c>
    </row>
    <row r="7" spans="1:34" x14ac:dyDescent="0.35">
      <c r="A7" s="3" t="s">
        <v>79</v>
      </c>
      <c r="B7" s="13" t="s">
        <v>80</v>
      </c>
      <c r="C7" s="13" t="s">
        <v>78</v>
      </c>
      <c r="D7" s="14">
        <v>90892</v>
      </c>
      <c r="E7" s="14">
        <v>92332</v>
      </c>
      <c r="F7" s="14">
        <v>93766</v>
      </c>
      <c r="G7" s="14">
        <v>95660</v>
      </c>
      <c r="H7" s="14">
        <v>97490</v>
      </c>
      <c r="I7" s="14">
        <v>98891</v>
      </c>
      <c r="J7" s="14">
        <v>100338</v>
      </c>
      <c r="K7" s="14">
        <v>101693</v>
      </c>
      <c r="L7" s="14">
        <v>102834</v>
      </c>
      <c r="M7" s="14">
        <v>104011</v>
      </c>
      <c r="N7" s="14">
        <v>104998</v>
      </c>
      <c r="O7" s="14">
        <v>106094</v>
      </c>
      <c r="P7" s="14">
        <v>107290</v>
      </c>
      <c r="Q7" s="14">
        <v>108631</v>
      </c>
      <c r="R7" s="14">
        <v>109971</v>
      </c>
      <c r="S7" s="14">
        <v>110726</v>
      </c>
      <c r="T7" s="14">
        <v>111461</v>
      </c>
      <c r="U7" s="14">
        <v>111766</v>
      </c>
      <c r="V7" s="14">
        <v>112818</v>
      </c>
      <c r="W7" s="14">
        <v>113510</v>
      </c>
      <c r="X7" s="14">
        <v>114757</v>
      </c>
      <c r="Y7" s="14">
        <v>115892</v>
      </c>
      <c r="Z7" s="14">
        <v>116807</v>
      </c>
      <c r="AA7" s="14">
        <v>117419</v>
      </c>
      <c r="AB7" s="14">
        <v>118212</v>
      </c>
      <c r="AC7" s="119">
        <v>793</v>
      </c>
      <c r="AD7" s="74">
        <v>0.7</v>
      </c>
      <c r="AE7" s="119">
        <v>8241</v>
      </c>
      <c r="AF7" s="74">
        <v>7.5</v>
      </c>
      <c r="AG7" s="119">
        <v>20722</v>
      </c>
      <c r="AH7" s="74">
        <v>21.3</v>
      </c>
    </row>
    <row r="8" spans="1:34" x14ac:dyDescent="0.35">
      <c r="A8" s="3" t="s">
        <v>81</v>
      </c>
      <c r="B8" s="13" t="s">
        <v>82</v>
      </c>
      <c r="C8" s="13" t="s">
        <v>78</v>
      </c>
      <c r="D8" s="14">
        <v>46948</v>
      </c>
      <c r="E8" s="14">
        <v>47266</v>
      </c>
      <c r="F8" s="14">
        <v>47773</v>
      </c>
      <c r="G8" s="14">
        <v>48396</v>
      </c>
      <c r="H8" s="14">
        <v>48993</v>
      </c>
      <c r="I8" s="14">
        <v>49555</v>
      </c>
      <c r="J8" s="14">
        <v>50127</v>
      </c>
      <c r="K8" s="14">
        <v>50636</v>
      </c>
      <c r="L8" s="14">
        <v>51105</v>
      </c>
      <c r="M8" s="14">
        <v>51432</v>
      </c>
      <c r="N8" s="14">
        <v>51732</v>
      </c>
      <c r="O8" s="14">
        <v>52017</v>
      </c>
      <c r="P8" s="14">
        <v>52233</v>
      </c>
      <c r="Q8" s="14">
        <v>52423</v>
      </c>
      <c r="R8" s="14">
        <v>52782</v>
      </c>
      <c r="S8" s="14">
        <v>52883</v>
      </c>
      <c r="T8" s="14">
        <v>53086</v>
      </c>
      <c r="U8" s="14">
        <v>53254</v>
      </c>
      <c r="V8" s="14">
        <v>53492</v>
      </c>
      <c r="W8" s="14">
        <v>53657</v>
      </c>
      <c r="X8" s="14">
        <v>54081</v>
      </c>
      <c r="Y8" s="14">
        <v>54419</v>
      </c>
      <c r="Z8" s="14">
        <v>54804</v>
      </c>
      <c r="AA8" s="14">
        <v>54998</v>
      </c>
      <c r="AB8" s="14">
        <v>55268</v>
      </c>
      <c r="AC8" s="119">
        <v>270</v>
      </c>
      <c r="AD8" s="74">
        <v>0.5</v>
      </c>
      <c r="AE8" s="119">
        <v>2486</v>
      </c>
      <c r="AF8" s="74">
        <v>4.7</v>
      </c>
      <c r="AG8" s="119">
        <v>6275</v>
      </c>
      <c r="AH8" s="74">
        <v>12.8</v>
      </c>
    </row>
    <row r="9" spans="1:34" x14ac:dyDescent="0.35">
      <c r="A9" s="3" t="s">
        <v>83</v>
      </c>
      <c r="B9" s="13" t="s">
        <v>84</v>
      </c>
      <c r="C9" s="13" t="s">
        <v>78</v>
      </c>
      <c r="D9" s="14">
        <v>39036</v>
      </c>
      <c r="E9" s="14">
        <v>39142</v>
      </c>
      <c r="F9" s="14">
        <v>39734</v>
      </c>
      <c r="G9" s="14">
        <v>39832</v>
      </c>
      <c r="H9" s="14">
        <v>40247</v>
      </c>
      <c r="I9" s="14">
        <v>40435</v>
      </c>
      <c r="J9" s="14">
        <v>40437</v>
      </c>
      <c r="K9" s="14">
        <v>40479</v>
      </c>
      <c r="L9" s="14">
        <v>40350</v>
      </c>
      <c r="M9" s="14">
        <v>40396</v>
      </c>
      <c r="N9" s="14">
        <v>40420</v>
      </c>
      <c r="O9" s="14">
        <v>40508</v>
      </c>
      <c r="P9" s="14">
        <v>40929</v>
      </c>
      <c r="Q9" s="14">
        <v>40852</v>
      </c>
      <c r="R9" s="14">
        <v>40934</v>
      </c>
      <c r="S9" s="14">
        <v>41036</v>
      </c>
      <c r="T9" s="14">
        <v>41452</v>
      </c>
      <c r="U9" s="14">
        <v>41627</v>
      </c>
      <c r="V9" s="14">
        <v>41788</v>
      </c>
      <c r="W9" s="14">
        <v>41838</v>
      </c>
      <c r="X9" s="14">
        <v>42384</v>
      </c>
      <c r="Y9" s="14">
        <v>42664</v>
      </c>
      <c r="Z9" s="14">
        <v>42610</v>
      </c>
      <c r="AA9" s="14">
        <v>42831</v>
      </c>
      <c r="AB9" s="14">
        <v>42778</v>
      </c>
      <c r="AC9" s="119">
        <v>-53</v>
      </c>
      <c r="AD9" s="74">
        <v>-0.1</v>
      </c>
      <c r="AE9" s="119">
        <v>1844</v>
      </c>
      <c r="AF9" s="74">
        <v>4.5</v>
      </c>
      <c r="AG9" s="119">
        <v>2531</v>
      </c>
      <c r="AH9" s="74">
        <v>6.3</v>
      </c>
    </row>
    <row r="10" spans="1:34" x14ac:dyDescent="0.35">
      <c r="A10" s="3" t="s">
        <v>85</v>
      </c>
      <c r="B10" s="13" t="s">
        <v>86</v>
      </c>
      <c r="C10" s="13" t="s">
        <v>78</v>
      </c>
      <c r="D10" s="14">
        <v>204993</v>
      </c>
      <c r="E10" s="14">
        <v>206592</v>
      </c>
      <c r="F10" s="14">
        <v>207981</v>
      </c>
      <c r="G10" s="14">
        <v>209721</v>
      </c>
      <c r="H10" s="14">
        <v>212549</v>
      </c>
      <c r="I10" s="14">
        <v>214653</v>
      </c>
      <c r="J10" s="14">
        <v>217742</v>
      </c>
      <c r="K10" s="14">
        <v>219088</v>
      </c>
      <c r="L10" s="14">
        <v>220426</v>
      </c>
      <c r="M10" s="14">
        <v>222066</v>
      </c>
      <c r="N10" s="14">
        <v>224046</v>
      </c>
      <c r="O10" s="14">
        <v>224210</v>
      </c>
      <c r="P10" s="14">
        <v>225875</v>
      </c>
      <c r="Q10" s="14">
        <v>227746</v>
      </c>
      <c r="R10" s="14">
        <v>228089</v>
      </c>
      <c r="S10" s="14">
        <v>229425</v>
      </c>
      <c r="T10" s="14">
        <v>231156</v>
      </c>
      <c r="U10" s="14">
        <v>233137</v>
      </c>
      <c r="V10" s="14">
        <v>235317</v>
      </c>
      <c r="W10" s="14">
        <v>235495</v>
      </c>
      <c r="X10" s="14">
        <v>237024</v>
      </c>
      <c r="Y10" s="14">
        <v>239633</v>
      </c>
      <c r="Z10" s="14">
        <v>242021</v>
      </c>
      <c r="AA10" s="14">
        <v>244791</v>
      </c>
      <c r="AB10" s="14">
        <v>247435</v>
      </c>
      <c r="AC10" s="119">
        <v>2644</v>
      </c>
      <c r="AD10" s="74">
        <v>1.1000000000000001</v>
      </c>
      <c r="AE10" s="119">
        <v>19346</v>
      </c>
      <c r="AF10" s="74">
        <v>8.5</v>
      </c>
      <c r="AG10" s="119">
        <v>34886</v>
      </c>
      <c r="AH10" s="74">
        <v>16.399999999999999</v>
      </c>
    </row>
    <row r="11" spans="1:34" x14ac:dyDescent="0.35">
      <c r="A11" s="3" t="s">
        <v>87</v>
      </c>
      <c r="B11" s="13" t="s">
        <v>88</v>
      </c>
      <c r="C11" s="13" t="s">
        <v>78</v>
      </c>
      <c r="D11" s="14">
        <v>20566</v>
      </c>
      <c r="E11" s="14">
        <v>20727</v>
      </c>
      <c r="F11" s="14">
        <v>20946</v>
      </c>
      <c r="G11" s="14">
        <v>21249</v>
      </c>
      <c r="H11" s="14">
        <v>21549</v>
      </c>
      <c r="I11" s="14">
        <v>21861</v>
      </c>
      <c r="J11" s="14">
        <v>22224</v>
      </c>
      <c r="K11" s="14">
        <v>22517</v>
      </c>
      <c r="L11" s="14">
        <v>22727</v>
      </c>
      <c r="M11" s="14">
        <v>22815</v>
      </c>
      <c r="N11" s="14">
        <v>22796</v>
      </c>
      <c r="O11" s="14">
        <v>22877</v>
      </c>
      <c r="P11" s="14">
        <v>22969</v>
      </c>
      <c r="Q11" s="14">
        <v>23204</v>
      </c>
      <c r="R11" s="14">
        <v>23314</v>
      </c>
      <c r="S11" s="14">
        <v>23378</v>
      </c>
      <c r="T11" s="14">
        <v>23535</v>
      </c>
      <c r="U11" s="14">
        <v>23641</v>
      </c>
      <c r="V11" s="14">
        <v>23851</v>
      </c>
      <c r="W11" s="14">
        <v>24022</v>
      </c>
      <c r="X11" s="14">
        <v>24028</v>
      </c>
      <c r="Y11" s="14">
        <v>24103</v>
      </c>
      <c r="Z11" s="14">
        <v>24305</v>
      </c>
      <c r="AA11" s="14">
        <v>24438</v>
      </c>
      <c r="AB11" s="14">
        <v>24474</v>
      </c>
      <c r="AC11" s="119">
        <v>36</v>
      </c>
      <c r="AD11" s="74">
        <v>0.1</v>
      </c>
      <c r="AE11" s="119">
        <v>1160</v>
      </c>
      <c r="AF11" s="74">
        <v>5</v>
      </c>
      <c r="AG11" s="119">
        <v>2925</v>
      </c>
      <c r="AH11" s="74">
        <v>13.6</v>
      </c>
    </row>
    <row r="12" spans="1:34" x14ac:dyDescent="0.35">
      <c r="A12" s="3" t="s">
        <v>89</v>
      </c>
      <c r="B12" s="13" t="s">
        <v>90</v>
      </c>
      <c r="C12" s="13" t="s">
        <v>78</v>
      </c>
      <c r="D12" s="14">
        <v>63890</v>
      </c>
      <c r="E12" s="14">
        <v>64197</v>
      </c>
      <c r="F12" s="14">
        <v>64893</v>
      </c>
      <c r="G12" s="14">
        <v>65516</v>
      </c>
      <c r="H12" s="14">
        <v>66216</v>
      </c>
      <c r="I12" s="14">
        <v>66469</v>
      </c>
      <c r="J12" s="14">
        <v>66910</v>
      </c>
      <c r="K12" s="14">
        <v>67414</v>
      </c>
      <c r="L12" s="14">
        <v>67662</v>
      </c>
      <c r="M12" s="14">
        <v>67845</v>
      </c>
      <c r="N12" s="14">
        <v>68058</v>
      </c>
      <c r="O12" s="14">
        <v>68334</v>
      </c>
      <c r="P12" s="14">
        <v>68621</v>
      </c>
      <c r="Q12" s="14">
        <v>68727</v>
      </c>
      <c r="R12" s="14">
        <v>68877</v>
      </c>
      <c r="S12" s="14">
        <v>69049</v>
      </c>
      <c r="T12" s="14">
        <v>69318</v>
      </c>
      <c r="U12" s="14">
        <v>69370</v>
      </c>
      <c r="V12" s="14">
        <v>69452</v>
      </c>
      <c r="W12" s="14">
        <v>69678</v>
      </c>
      <c r="X12" s="14">
        <v>70094</v>
      </c>
      <c r="Y12" s="14">
        <v>70638</v>
      </c>
      <c r="Z12" s="14">
        <v>70696</v>
      </c>
      <c r="AA12" s="14">
        <v>70972</v>
      </c>
      <c r="AB12" s="14">
        <v>71326</v>
      </c>
      <c r="AC12" s="119">
        <v>354</v>
      </c>
      <c r="AD12" s="74">
        <v>0.5</v>
      </c>
      <c r="AE12" s="119">
        <v>2449</v>
      </c>
      <c r="AF12" s="74">
        <v>3.6</v>
      </c>
      <c r="AG12" s="119">
        <v>5110</v>
      </c>
      <c r="AH12" s="74">
        <v>7.7</v>
      </c>
    </row>
    <row r="13" spans="1:34" x14ac:dyDescent="0.35">
      <c r="A13" s="3" t="s">
        <v>91</v>
      </c>
      <c r="B13" s="13" t="s">
        <v>92</v>
      </c>
      <c r="C13" s="13" t="s">
        <v>78</v>
      </c>
      <c r="D13" s="14">
        <v>66854</v>
      </c>
      <c r="E13" s="14">
        <v>67132</v>
      </c>
      <c r="F13" s="14">
        <v>67109</v>
      </c>
      <c r="G13" s="14">
        <v>67310</v>
      </c>
      <c r="H13" s="14">
        <v>67188</v>
      </c>
      <c r="I13" s="14">
        <v>67059</v>
      </c>
      <c r="J13" s="14">
        <v>68010</v>
      </c>
      <c r="K13" s="14">
        <v>68593</v>
      </c>
      <c r="L13" s="14">
        <v>69066</v>
      </c>
      <c r="M13" s="14">
        <v>69103</v>
      </c>
      <c r="N13" s="14">
        <v>69148</v>
      </c>
      <c r="O13" s="14">
        <v>69106</v>
      </c>
      <c r="P13" s="14">
        <v>69187</v>
      </c>
      <c r="Q13" s="14">
        <v>69141</v>
      </c>
      <c r="R13" s="14">
        <v>68909</v>
      </c>
      <c r="S13" s="14">
        <v>68853</v>
      </c>
      <c r="T13" s="14">
        <v>69106</v>
      </c>
      <c r="U13" s="14">
        <v>69233</v>
      </c>
      <c r="V13" s="14">
        <v>69417</v>
      </c>
      <c r="W13" s="14">
        <v>69263</v>
      </c>
      <c r="X13" s="14">
        <v>69627</v>
      </c>
      <c r="Y13" s="14">
        <v>69933</v>
      </c>
      <c r="Z13" s="14">
        <v>70409</v>
      </c>
      <c r="AA13" s="14">
        <v>71098</v>
      </c>
      <c r="AB13" s="14">
        <v>71645</v>
      </c>
      <c r="AC13" s="119">
        <v>547</v>
      </c>
      <c r="AD13" s="74">
        <v>0.8</v>
      </c>
      <c r="AE13" s="119">
        <v>2736</v>
      </c>
      <c r="AF13" s="74">
        <v>4</v>
      </c>
      <c r="AG13" s="119">
        <v>4457</v>
      </c>
      <c r="AH13" s="74">
        <v>6.6</v>
      </c>
    </row>
    <row r="14" spans="1:34" x14ac:dyDescent="0.35">
      <c r="A14" s="3" t="s">
        <v>93</v>
      </c>
      <c r="B14" s="13" t="s">
        <v>94</v>
      </c>
      <c r="C14" s="13" t="s">
        <v>78</v>
      </c>
      <c r="D14" s="14">
        <v>50402</v>
      </c>
      <c r="E14" s="14">
        <v>50642</v>
      </c>
      <c r="F14" s="14">
        <v>50984</v>
      </c>
      <c r="G14" s="14">
        <v>51307</v>
      </c>
      <c r="H14" s="14">
        <v>51496</v>
      </c>
      <c r="I14" s="14">
        <v>51943</v>
      </c>
      <c r="J14" s="14">
        <v>52427</v>
      </c>
      <c r="K14" s="14">
        <v>53081</v>
      </c>
      <c r="L14" s="14">
        <v>53521</v>
      </c>
      <c r="M14" s="14">
        <v>53795</v>
      </c>
      <c r="N14" s="14">
        <v>53928</v>
      </c>
      <c r="O14" s="14">
        <v>54045</v>
      </c>
      <c r="P14" s="14">
        <v>54254</v>
      </c>
      <c r="Q14" s="14">
        <v>54102</v>
      </c>
      <c r="R14" s="14">
        <v>54171</v>
      </c>
      <c r="S14" s="14">
        <v>54247</v>
      </c>
      <c r="T14" s="14">
        <v>54270</v>
      </c>
      <c r="U14" s="14">
        <v>54400</v>
      </c>
      <c r="V14" s="14">
        <v>54575</v>
      </c>
      <c r="W14" s="14">
        <v>54648</v>
      </c>
      <c r="X14" s="14">
        <v>55120</v>
      </c>
      <c r="Y14" s="14">
        <v>55479</v>
      </c>
      <c r="Z14" s="14">
        <v>55811</v>
      </c>
      <c r="AA14" s="14">
        <v>56162</v>
      </c>
      <c r="AB14" s="14">
        <v>56480</v>
      </c>
      <c r="AC14" s="119">
        <v>318</v>
      </c>
      <c r="AD14" s="74">
        <v>0.6</v>
      </c>
      <c r="AE14" s="119">
        <v>2309</v>
      </c>
      <c r="AF14" s="74">
        <v>4.3</v>
      </c>
      <c r="AG14" s="119">
        <v>4984</v>
      </c>
      <c r="AH14" s="74">
        <v>9.6999999999999993</v>
      </c>
    </row>
    <row r="15" spans="1:34" x14ac:dyDescent="0.35">
      <c r="A15" s="3" t="s">
        <v>95</v>
      </c>
      <c r="B15" s="13" t="s">
        <v>96</v>
      </c>
      <c r="C15" s="13" t="s">
        <v>78</v>
      </c>
      <c r="D15" s="14">
        <v>42251</v>
      </c>
      <c r="E15" s="14">
        <v>42273</v>
      </c>
      <c r="F15" s="14">
        <v>42323</v>
      </c>
      <c r="G15" s="14">
        <v>42494</v>
      </c>
      <c r="H15" s="14">
        <v>42719</v>
      </c>
      <c r="I15" s="14">
        <v>42812</v>
      </c>
      <c r="J15" s="14">
        <v>42895</v>
      </c>
      <c r="K15" s="14">
        <v>43059</v>
      </c>
      <c r="L15" s="14">
        <v>43174</v>
      </c>
      <c r="M15" s="14">
        <v>43303</v>
      </c>
      <c r="N15" s="14">
        <v>43496</v>
      </c>
      <c r="O15" s="14">
        <v>43728</v>
      </c>
      <c r="P15" s="14">
        <v>43995</v>
      </c>
      <c r="Q15" s="14">
        <v>44340</v>
      </c>
      <c r="R15" s="14">
        <v>44785</v>
      </c>
      <c r="S15" s="14">
        <v>45067</v>
      </c>
      <c r="T15" s="14">
        <v>45348</v>
      </c>
      <c r="U15" s="14">
        <v>45619</v>
      </c>
      <c r="V15" s="14">
        <v>45763</v>
      </c>
      <c r="W15" s="14">
        <v>46036</v>
      </c>
      <c r="X15" s="14">
        <v>46260</v>
      </c>
      <c r="Y15" s="14">
        <v>46479</v>
      </c>
      <c r="Z15" s="14">
        <v>46610</v>
      </c>
      <c r="AA15" s="14">
        <v>46743</v>
      </c>
      <c r="AB15" s="14">
        <v>46931</v>
      </c>
      <c r="AC15" s="119">
        <v>188</v>
      </c>
      <c r="AD15" s="74">
        <v>0.4</v>
      </c>
      <c r="AE15" s="119">
        <v>2146</v>
      </c>
      <c r="AF15" s="74">
        <v>4.8</v>
      </c>
      <c r="AG15" s="119">
        <v>4212</v>
      </c>
      <c r="AH15" s="74">
        <v>9.9</v>
      </c>
    </row>
    <row r="16" spans="1:34" x14ac:dyDescent="0.35">
      <c r="A16" s="3" t="s">
        <v>97</v>
      </c>
      <c r="B16" s="13" t="s">
        <v>98</v>
      </c>
      <c r="C16" s="13" t="s">
        <v>78</v>
      </c>
      <c r="D16" s="14">
        <v>38230</v>
      </c>
      <c r="E16" s="14">
        <v>38627</v>
      </c>
      <c r="F16" s="14">
        <v>38927</v>
      </c>
      <c r="G16" s="14">
        <v>39297</v>
      </c>
      <c r="H16" s="14">
        <v>39670</v>
      </c>
      <c r="I16" s="14">
        <v>40315</v>
      </c>
      <c r="J16" s="14">
        <v>41114</v>
      </c>
      <c r="K16" s="14">
        <v>41785</v>
      </c>
      <c r="L16" s="14">
        <v>42213</v>
      </c>
      <c r="M16" s="14">
        <v>42603</v>
      </c>
      <c r="N16" s="14">
        <v>42998</v>
      </c>
      <c r="O16" s="14">
        <v>43405</v>
      </c>
      <c r="P16" s="14">
        <v>43632</v>
      </c>
      <c r="Q16" s="14">
        <v>43904</v>
      </c>
      <c r="R16" s="14">
        <v>44280</v>
      </c>
      <c r="S16" s="14">
        <v>44618</v>
      </c>
      <c r="T16" s="14">
        <v>45142</v>
      </c>
      <c r="U16" s="14">
        <v>45787</v>
      </c>
      <c r="V16" s="14">
        <v>46552</v>
      </c>
      <c r="W16" s="14">
        <v>47231</v>
      </c>
      <c r="X16" s="14">
        <v>48156</v>
      </c>
      <c r="Y16" s="14">
        <v>48902</v>
      </c>
      <c r="Z16" s="14">
        <v>49686</v>
      </c>
      <c r="AA16" s="14">
        <v>50562</v>
      </c>
      <c r="AB16" s="14">
        <v>51575</v>
      </c>
      <c r="AC16" s="119">
        <v>1013</v>
      </c>
      <c r="AD16" s="74">
        <v>2</v>
      </c>
      <c r="AE16" s="119">
        <v>7295</v>
      </c>
      <c r="AF16" s="74">
        <v>16.5</v>
      </c>
      <c r="AG16" s="119">
        <v>11905</v>
      </c>
      <c r="AH16" s="74">
        <v>30</v>
      </c>
    </row>
    <row r="17" spans="1:34" x14ac:dyDescent="0.35">
      <c r="A17" s="3" t="s">
        <v>99</v>
      </c>
      <c r="B17" s="13" t="s">
        <v>100</v>
      </c>
      <c r="C17" s="13" t="s">
        <v>78</v>
      </c>
      <c r="D17" s="14">
        <v>35023</v>
      </c>
      <c r="E17" s="14">
        <v>35273</v>
      </c>
      <c r="F17" s="14">
        <v>35549</v>
      </c>
      <c r="G17" s="14">
        <v>35763</v>
      </c>
      <c r="H17" s="14">
        <v>35956</v>
      </c>
      <c r="I17" s="14">
        <v>36089</v>
      </c>
      <c r="J17" s="14">
        <v>36306</v>
      </c>
      <c r="K17" s="14">
        <v>36419</v>
      </c>
      <c r="L17" s="14">
        <v>36697</v>
      </c>
      <c r="M17" s="14">
        <v>37010</v>
      </c>
      <c r="N17" s="14">
        <v>37299</v>
      </c>
      <c r="O17" s="14">
        <v>37504</v>
      </c>
      <c r="P17" s="14">
        <v>37661</v>
      </c>
      <c r="Q17" s="14">
        <v>37833</v>
      </c>
      <c r="R17" s="14">
        <v>37983</v>
      </c>
      <c r="S17" s="14">
        <v>38219</v>
      </c>
      <c r="T17" s="14">
        <v>38462</v>
      </c>
      <c r="U17" s="14">
        <v>38595</v>
      </c>
      <c r="V17" s="14">
        <v>38756</v>
      </c>
      <c r="W17" s="14">
        <v>38919</v>
      </c>
      <c r="X17" s="14">
        <v>39330</v>
      </c>
      <c r="Y17" s="14">
        <v>39859</v>
      </c>
      <c r="Z17" s="14">
        <v>40260</v>
      </c>
      <c r="AA17" s="14">
        <v>40541</v>
      </c>
      <c r="AB17" s="14">
        <v>40781</v>
      </c>
      <c r="AC17" s="119">
        <v>240</v>
      </c>
      <c r="AD17" s="74">
        <v>0.6</v>
      </c>
      <c r="AE17" s="119">
        <v>2798</v>
      </c>
      <c r="AF17" s="74">
        <v>7.4</v>
      </c>
      <c r="AG17" s="119">
        <v>4825</v>
      </c>
      <c r="AH17" s="74">
        <v>13.4</v>
      </c>
    </row>
    <row r="18" spans="1:34" x14ac:dyDescent="0.35">
      <c r="A18" s="3" t="s">
        <v>101</v>
      </c>
      <c r="B18" s="13" t="s">
        <v>102</v>
      </c>
      <c r="C18" s="13" t="s">
        <v>78</v>
      </c>
      <c r="D18" s="14">
        <v>62693</v>
      </c>
      <c r="E18" s="14">
        <v>63526</v>
      </c>
      <c r="F18" s="14">
        <v>64374</v>
      </c>
      <c r="G18" s="14">
        <v>65358</v>
      </c>
      <c r="H18" s="14">
        <v>65837</v>
      </c>
      <c r="I18" s="14">
        <v>66597</v>
      </c>
      <c r="J18" s="14">
        <v>67314</v>
      </c>
      <c r="K18" s="14">
        <v>67733</v>
      </c>
      <c r="L18" s="14">
        <v>68139</v>
      </c>
      <c r="M18" s="14">
        <v>68561</v>
      </c>
      <c r="N18" s="14">
        <v>68872</v>
      </c>
      <c r="O18" s="14">
        <v>69140</v>
      </c>
      <c r="P18" s="14">
        <v>69260</v>
      </c>
      <c r="Q18" s="14">
        <v>69416</v>
      </c>
      <c r="R18" s="14">
        <v>70057</v>
      </c>
      <c r="S18" s="14">
        <v>70600</v>
      </c>
      <c r="T18" s="14">
        <v>71228</v>
      </c>
      <c r="U18" s="14">
        <v>71594</v>
      </c>
      <c r="V18" s="14">
        <v>71898</v>
      </c>
      <c r="W18" s="14">
        <v>72120</v>
      </c>
      <c r="X18" s="14">
        <v>72398</v>
      </c>
      <c r="Y18" s="14">
        <v>72567</v>
      </c>
      <c r="Z18" s="14">
        <v>72907</v>
      </c>
      <c r="AA18" s="14">
        <v>73237</v>
      </c>
      <c r="AB18" s="14">
        <v>73471</v>
      </c>
      <c r="AC18" s="119">
        <v>234</v>
      </c>
      <c r="AD18" s="74">
        <v>0.3</v>
      </c>
      <c r="AE18" s="119">
        <v>3414</v>
      </c>
      <c r="AF18" s="74">
        <v>4.9000000000000004</v>
      </c>
      <c r="AG18" s="119">
        <v>7634</v>
      </c>
      <c r="AH18" s="74">
        <v>11.6</v>
      </c>
    </row>
    <row r="19" spans="1:34" x14ac:dyDescent="0.35">
      <c r="A19" s="3" t="s">
        <v>103</v>
      </c>
      <c r="B19" s="13" t="s">
        <v>104</v>
      </c>
      <c r="C19" s="13" t="s">
        <v>78</v>
      </c>
      <c r="D19" s="14">
        <v>150521</v>
      </c>
      <c r="E19" s="14">
        <v>151683</v>
      </c>
      <c r="F19" s="14">
        <v>152743</v>
      </c>
      <c r="G19" s="14">
        <v>153857</v>
      </c>
      <c r="H19" s="14">
        <v>155603</v>
      </c>
      <c r="I19" s="14">
        <v>156560</v>
      </c>
      <c r="J19" s="14">
        <v>157743</v>
      </c>
      <c r="K19" s="14">
        <v>158968</v>
      </c>
      <c r="L19" s="14">
        <v>159791</v>
      </c>
      <c r="M19" s="14">
        <v>160618</v>
      </c>
      <c r="N19" s="14">
        <v>161089</v>
      </c>
      <c r="O19" s="14">
        <v>161626</v>
      </c>
      <c r="P19" s="14">
        <v>161761</v>
      </c>
      <c r="Q19" s="14">
        <v>163292</v>
      </c>
      <c r="R19" s="14">
        <v>163813</v>
      </c>
      <c r="S19" s="14">
        <v>164711</v>
      </c>
      <c r="T19" s="14">
        <v>165604</v>
      </c>
      <c r="U19" s="14">
        <v>166353</v>
      </c>
      <c r="V19" s="14">
        <v>167407</v>
      </c>
      <c r="W19" s="14">
        <v>167817</v>
      </c>
      <c r="X19" s="14">
        <v>168770</v>
      </c>
      <c r="Y19" s="14">
        <v>169723</v>
      </c>
      <c r="Z19" s="14">
        <v>170982</v>
      </c>
      <c r="AA19" s="14">
        <v>171913</v>
      </c>
      <c r="AB19" s="14">
        <v>173024</v>
      </c>
      <c r="AC19" s="119">
        <v>1111</v>
      </c>
      <c r="AD19" s="74">
        <v>0.6</v>
      </c>
      <c r="AE19" s="119">
        <v>9211</v>
      </c>
      <c r="AF19" s="74">
        <v>5.6</v>
      </c>
      <c r="AG19" s="119">
        <v>17421</v>
      </c>
      <c r="AH19" s="74">
        <v>11.2</v>
      </c>
    </row>
    <row r="20" spans="1:34" x14ac:dyDescent="0.35">
      <c r="A20" s="3" t="s">
        <v>105</v>
      </c>
      <c r="B20" s="13" t="s">
        <v>106</v>
      </c>
      <c r="C20" s="13" t="s">
        <v>78</v>
      </c>
      <c r="D20" s="14">
        <v>271955</v>
      </c>
      <c r="E20" s="14">
        <v>273047</v>
      </c>
      <c r="F20" s="14">
        <v>274776</v>
      </c>
      <c r="G20" s="14">
        <v>277274</v>
      </c>
      <c r="H20" s="14">
        <v>279460</v>
      </c>
      <c r="I20" s="14">
        <v>280536</v>
      </c>
      <c r="J20" s="14">
        <v>282406</v>
      </c>
      <c r="K20" s="14">
        <v>283520</v>
      </c>
      <c r="L20" s="14">
        <v>284431</v>
      </c>
      <c r="M20" s="14">
        <v>285242</v>
      </c>
      <c r="N20" s="14">
        <v>285928</v>
      </c>
      <c r="O20" s="14">
        <v>284812</v>
      </c>
      <c r="P20" s="14">
        <v>284137</v>
      </c>
      <c r="Q20" s="14">
        <v>284133</v>
      </c>
      <c r="R20" s="14">
        <v>285307</v>
      </c>
      <c r="S20" s="14">
        <v>286792</v>
      </c>
      <c r="T20" s="14">
        <v>288477</v>
      </c>
      <c r="U20" s="14">
        <v>290603</v>
      </c>
      <c r="V20" s="14">
        <v>292304</v>
      </c>
      <c r="W20" s="14">
        <v>293036</v>
      </c>
      <c r="X20" s="14">
        <v>294565</v>
      </c>
      <c r="Y20" s="14">
        <v>295232</v>
      </c>
      <c r="Z20" s="14">
        <v>297386</v>
      </c>
      <c r="AA20" s="14">
        <v>298251</v>
      </c>
      <c r="AB20" s="14">
        <v>300114</v>
      </c>
      <c r="AC20" s="119">
        <v>1863</v>
      </c>
      <c r="AD20" s="74">
        <v>0.6</v>
      </c>
      <c r="AE20" s="119">
        <v>14807</v>
      </c>
      <c r="AF20" s="74">
        <v>5.2</v>
      </c>
      <c r="AG20" s="119">
        <v>20654</v>
      </c>
      <c r="AH20" s="74">
        <v>7.4</v>
      </c>
    </row>
    <row r="21" spans="1:34" x14ac:dyDescent="0.35">
      <c r="A21" s="3" t="s">
        <v>107</v>
      </c>
      <c r="B21" s="13" t="s">
        <v>108</v>
      </c>
      <c r="C21" s="13" t="s">
        <v>78</v>
      </c>
      <c r="D21" s="14">
        <v>89622</v>
      </c>
      <c r="E21" s="14">
        <v>90629</v>
      </c>
      <c r="F21" s="14">
        <v>91827</v>
      </c>
      <c r="G21" s="14">
        <v>93100</v>
      </c>
      <c r="H21" s="14">
        <v>94792</v>
      </c>
      <c r="I21" s="14">
        <v>96142</v>
      </c>
      <c r="J21" s="14">
        <v>97822</v>
      </c>
      <c r="K21" s="14">
        <v>99454</v>
      </c>
      <c r="L21" s="14">
        <v>100604</v>
      </c>
      <c r="M21" s="14">
        <v>101499</v>
      </c>
      <c r="N21" s="14">
        <v>102369</v>
      </c>
      <c r="O21" s="14">
        <v>103331</v>
      </c>
      <c r="P21" s="14">
        <v>104481</v>
      </c>
      <c r="Q21" s="14">
        <v>105770</v>
      </c>
      <c r="R21" s="14">
        <v>106917</v>
      </c>
      <c r="S21" s="14">
        <v>107680</v>
      </c>
      <c r="T21" s="14">
        <v>108450</v>
      </c>
      <c r="U21" s="14">
        <v>109034</v>
      </c>
      <c r="V21" s="14">
        <v>109695</v>
      </c>
      <c r="W21" s="14">
        <v>110289</v>
      </c>
      <c r="X21" s="14">
        <v>110974</v>
      </c>
      <c r="Y21" s="14">
        <v>111890</v>
      </c>
      <c r="Z21" s="14">
        <v>112857</v>
      </c>
      <c r="AA21" s="14">
        <v>113906</v>
      </c>
      <c r="AB21" s="14">
        <v>114817</v>
      </c>
      <c r="AC21" s="119">
        <v>911</v>
      </c>
      <c r="AD21" s="74">
        <v>0.8</v>
      </c>
      <c r="AE21" s="119">
        <v>7900</v>
      </c>
      <c r="AF21" s="74">
        <v>7.4</v>
      </c>
      <c r="AG21" s="119">
        <v>20025</v>
      </c>
      <c r="AH21" s="74">
        <v>21.1</v>
      </c>
    </row>
    <row r="22" spans="1:34" x14ac:dyDescent="0.35">
      <c r="A22" s="3" t="s">
        <v>109</v>
      </c>
      <c r="B22" s="13" t="s">
        <v>110</v>
      </c>
      <c r="C22" s="13" t="s">
        <v>78</v>
      </c>
      <c r="D22" s="14">
        <v>36689</v>
      </c>
      <c r="E22" s="14">
        <v>36652</v>
      </c>
      <c r="F22" s="14">
        <v>36733</v>
      </c>
      <c r="G22" s="14">
        <v>36958</v>
      </c>
      <c r="H22" s="14">
        <v>37049</v>
      </c>
      <c r="I22" s="14">
        <v>37140</v>
      </c>
      <c r="J22" s="14">
        <v>37128</v>
      </c>
      <c r="K22" s="14">
        <v>37194</v>
      </c>
      <c r="L22" s="14">
        <v>37318</v>
      </c>
      <c r="M22" s="14">
        <v>37315</v>
      </c>
      <c r="N22" s="14">
        <v>37335</v>
      </c>
      <c r="O22" s="14">
        <v>37221</v>
      </c>
      <c r="P22" s="14">
        <v>37186</v>
      </c>
      <c r="Q22" s="14">
        <v>37160</v>
      </c>
      <c r="R22" s="14">
        <v>37128</v>
      </c>
      <c r="S22" s="14">
        <v>37214</v>
      </c>
      <c r="T22" s="14">
        <v>37206</v>
      </c>
      <c r="U22" s="14">
        <v>37122</v>
      </c>
      <c r="V22" s="14">
        <v>37022</v>
      </c>
      <c r="W22" s="14">
        <v>36980</v>
      </c>
      <c r="X22" s="14">
        <v>37213</v>
      </c>
      <c r="Y22" s="14">
        <v>37394</v>
      </c>
      <c r="Z22" s="14">
        <v>37556</v>
      </c>
      <c r="AA22" s="14">
        <v>37615</v>
      </c>
      <c r="AB22" s="14">
        <v>37703</v>
      </c>
      <c r="AC22" s="119">
        <v>88</v>
      </c>
      <c r="AD22" s="74">
        <v>0.2</v>
      </c>
      <c r="AE22" s="119">
        <v>575</v>
      </c>
      <c r="AF22" s="74">
        <v>1.5</v>
      </c>
      <c r="AG22" s="119">
        <v>654</v>
      </c>
      <c r="AH22" s="74">
        <v>1.8</v>
      </c>
    </row>
    <row r="23" spans="1:34" x14ac:dyDescent="0.35">
      <c r="A23" s="3" t="s">
        <v>111</v>
      </c>
      <c r="B23" s="13" t="s">
        <v>112</v>
      </c>
      <c r="C23" s="13" t="s">
        <v>78</v>
      </c>
      <c r="D23" s="14">
        <v>32944</v>
      </c>
      <c r="E23" s="14">
        <v>32982</v>
      </c>
      <c r="F23" s="14">
        <v>33037</v>
      </c>
      <c r="G23" s="14">
        <v>33121</v>
      </c>
      <c r="H23" s="14">
        <v>33205</v>
      </c>
      <c r="I23" s="14">
        <v>33423</v>
      </c>
      <c r="J23" s="14">
        <v>33576</v>
      </c>
      <c r="K23" s="14">
        <v>33819</v>
      </c>
      <c r="L23" s="14">
        <v>34364</v>
      </c>
      <c r="M23" s="14">
        <v>34750</v>
      </c>
      <c r="N23" s="14">
        <v>35084</v>
      </c>
      <c r="O23" s="14">
        <v>35499</v>
      </c>
      <c r="P23" s="14">
        <v>35932</v>
      </c>
      <c r="Q23" s="14">
        <v>36488</v>
      </c>
      <c r="R23" s="14">
        <v>36917</v>
      </c>
      <c r="S23" s="14">
        <v>37573</v>
      </c>
      <c r="T23" s="14">
        <v>38323</v>
      </c>
      <c r="U23" s="14">
        <v>38846</v>
      </c>
      <c r="V23" s="14">
        <v>39414</v>
      </c>
      <c r="W23" s="14">
        <v>39774</v>
      </c>
      <c r="X23" s="14">
        <v>40466</v>
      </c>
      <c r="Y23" s="14">
        <v>41217</v>
      </c>
      <c r="Z23" s="14">
        <v>41958</v>
      </c>
      <c r="AA23" s="14">
        <v>42739</v>
      </c>
      <c r="AB23" s="14">
        <v>43412</v>
      </c>
      <c r="AC23" s="119">
        <v>673</v>
      </c>
      <c r="AD23" s="74">
        <v>1.6</v>
      </c>
      <c r="AE23" s="119">
        <v>6495</v>
      </c>
      <c r="AF23" s="74">
        <v>17.600000000000001</v>
      </c>
      <c r="AG23" s="119">
        <v>10207</v>
      </c>
      <c r="AH23" s="74">
        <v>30.7</v>
      </c>
    </row>
    <row r="24" spans="1:34" x14ac:dyDescent="0.35">
      <c r="A24" s="3" t="s">
        <v>113</v>
      </c>
      <c r="B24" s="13" t="s">
        <v>114</v>
      </c>
      <c r="C24" s="13" t="s">
        <v>78</v>
      </c>
      <c r="D24" s="14">
        <v>35866</v>
      </c>
      <c r="E24" s="14">
        <v>36288</v>
      </c>
      <c r="F24" s="14">
        <v>36635</v>
      </c>
      <c r="G24" s="14">
        <v>37165</v>
      </c>
      <c r="H24" s="14">
        <v>37734</v>
      </c>
      <c r="I24" s="14">
        <v>38313</v>
      </c>
      <c r="J24" s="14">
        <v>38906</v>
      </c>
      <c r="K24" s="14">
        <v>39270</v>
      </c>
      <c r="L24" s="14">
        <v>39482</v>
      </c>
      <c r="M24" s="14">
        <v>39809</v>
      </c>
      <c r="N24" s="14">
        <v>40150</v>
      </c>
      <c r="O24" s="14">
        <v>40445</v>
      </c>
      <c r="P24" s="14">
        <v>40749</v>
      </c>
      <c r="Q24" s="14">
        <v>41153</v>
      </c>
      <c r="R24" s="14">
        <v>41461</v>
      </c>
      <c r="S24" s="14">
        <v>41735</v>
      </c>
      <c r="T24" s="14">
        <v>41996</v>
      </c>
      <c r="U24" s="14">
        <v>42236</v>
      </c>
      <c r="V24" s="14">
        <v>42565</v>
      </c>
      <c r="W24" s="14">
        <v>42761</v>
      </c>
      <c r="X24" s="14">
        <v>43125</v>
      </c>
      <c r="Y24" s="14">
        <v>43480</v>
      </c>
      <c r="Z24" s="14">
        <v>43891</v>
      </c>
      <c r="AA24" s="14">
        <v>44291</v>
      </c>
      <c r="AB24" s="14">
        <v>44699</v>
      </c>
      <c r="AC24" s="119">
        <v>408</v>
      </c>
      <c r="AD24" s="74">
        <v>0.9</v>
      </c>
      <c r="AE24" s="119">
        <v>3238</v>
      </c>
      <c r="AF24" s="74">
        <v>7.8</v>
      </c>
      <c r="AG24" s="119">
        <v>6965</v>
      </c>
      <c r="AH24" s="74">
        <v>18.5</v>
      </c>
    </row>
    <row r="25" spans="1:34" x14ac:dyDescent="0.35">
      <c r="A25" s="3" t="s">
        <v>115</v>
      </c>
      <c r="B25" s="13" t="s">
        <v>116</v>
      </c>
      <c r="C25" s="13" t="s">
        <v>78</v>
      </c>
      <c r="D25" s="14">
        <v>11277</v>
      </c>
      <c r="E25" s="14">
        <v>11258</v>
      </c>
      <c r="F25" s="14">
        <v>11372</v>
      </c>
      <c r="G25" s="14">
        <v>11488</v>
      </c>
      <c r="H25" s="14">
        <v>11630</v>
      </c>
      <c r="I25" s="14">
        <v>11779</v>
      </c>
      <c r="J25" s="14">
        <v>11925</v>
      </c>
      <c r="K25" s="14">
        <v>12075</v>
      </c>
      <c r="L25" s="14">
        <v>12192</v>
      </c>
      <c r="M25" s="14">
        <v>12357</v>
      </c>
      <c r="N25" s="14">
        <v>12588</v>
      </c>
      <c r="O25" s="14">
        <v>12724</v>
      </c>
      <c r="P25" s="14">
        <v>12874</v>
      </c>
      <c r="Q25" s="14">
        <v>12846</v>
      </c>
      <c r="R25" s="14">
        <v>12870</v>
      </c>
      <c r="S25" s="14">
        <v>12828</v>
      </c>
      <c r="T25" s="14">
        <v>12660</v>
      </c>
      <c r="U25" s="14">
        <v>12604</v>
      </c>
      <c r="V25" s="14">
        <v>12640</v>
      </c>
      <c r="W25" s="14">
        <v>12631</v>
      </c>
      <c r="X25" s="14">
        <v>12682</v>
      </c>
      <c r="Y25" s="14">
        <v>12717</v>
      </c>
      <c r="Z25" s="14">
        <v>12806</v>
      </c>
      <c r="AA25" s="14">
        <v>12888</v>
      </c>
      <c r="AB25" s="14">
        <v>12926</v>
      </c>
      <c r="AC25" s="119">
        <v>38</v>
      </c>
      <c r="AD25" s="74">
        <v>0.3</v>
      </c>
      <c r="AE25" s="119">
        <v>56</v>
      </c>
      <c r="AF25" s="74">
        <v>0.4</v>
      </c>
      <c r="AG25" s="119">
        <v>1296</v>
      </c>
      <c r="AH25" s="74">
        <v>11.1</v>
      </c>
    </row>
    <row r="26" spans="1:34" x14ac:dyDescent="0.35">
      <c r="A26" s="3" t="s">
        <v>117</v>
      </c>
      <c r="B26" s="13" t="s">
        <v>118</v>
      </c>
      <c r="C26" s="13" t="s">
        <v>78</v>
      </c>
      <c r="D26" s="14">
        <v>58774</v>
      </c>
      <c r="E26" s="14">
        <v>59283</v>
      </c>
      <c r="F26" s="14">
        <v>59755</v>
      </c>
      <c r="G26" s="14">
        <v>59936</v>
      </c>
      <c r="H26" s="14">
        <v>60460</v>
      </c>
      <c r="I26" s="14">
        <v>61016</v>
      </c>
      <c r="J26" s="14">
        <v>61260</v>
      </c>
      <c r="K26" s="14">
        <v>61759</v>
      </c>
      <c r="L26" s="14">
        <v>62108</v>
      </c>
      <c r="M26" s="14">
        <v>62342</v>
      </c>
      <c r="N26" s="14">
        <v>62476</v>
      </c>
      <c r="O26" s="14">
        <v>62434</v>
      </c>
      <c r="P26" s="14">
        <v>62440</v>
      </c>
      <c r="Q26" s="14">
        <v>62542</v>
      </c>
      <c r="R26" s="14">
        <v>62840</v>
      </c>
      <c r="S26" s="14">
        <v>63002</v>
      </c>
      <c r="T26" s="14">
        <v>63228</v>
      </c>
      <c r="U26" s="14">
        <v>63316</v>
      </c>
      <c r="V26" s="14">
        <v>63431</v>
      </c>
      <c r="W26" s="14">
        <v>63614</v>
      </c>
      <c r="X26" s="14">
        <v>63989</v>
      </c>
      <c r="Y26" s="14">
        <v>64245</v>
      </c>
      <c r="Z26" s="14">
        <v>64633</v>
      </c>
      <c r="AA26" s="14">
        <v>65107</v>
      </c>
      <c r="AB26" s="14">
        <v>65535</v>
      </c>
      <c r="AC26" s="119">
        <v>428</v>
      </c>
      <c r="AD26" s="74">
        <v>0.7</v>
      </c>
      <c r="AE26" s="119">
        <v>2695</v>
      </c>
      <c r="AF26" s="74">
        <v>4.3</v>
      </c>
      <c r="AG26" s="119">
        <v>5075</v>
      </c>
      <c r="AH26" s="74">
        <v>8.4</v>
      </c>
    </row>
    <row r="27" spans="1:34" x14ac:dyDescent="0.35">
      <c r="A27" s="3" t="s">
        <v>119</v>
      </c>
      <c r="B27" s="13" t="s">
        <v>120</v>
      </c>
      <c r="C27" s="13" t="s">
        <v>78</v>
      </c>
      <c r="D27" s="14">
        <v>132754</v>
      </c>
      <c r="E27" s="14">
        <v>134602</v>
      </c>
      <c r="F27" s="14">
        <v>136304</v>
      </c>
      <c r="G27" s="14">
        <v>137816</v>
      </c>
      <c r="H27" s="14">
        <v>139542</v>
      </c>
      <c r="I27" s="14">
        <v>141232</v>
      </c>
      <c r="J27" s="14">
        <v>142745</v>
      </c>
      <c r="K27" s="14">
        <v>143814</v>
      </c>
      <c r="L27" s="14">
        <v>144336</v>
      </c>
      <c r="M27" s="14">
        <v>145367</v>
      </c>
      <c r="N27" s="14">
        <v>146155</v>
      </c>
      <c r="O27" s="14">
        <v>146664</v>
      </c>
      <c r="P27" s="14">
        <v>147064</v>
      </c>
      <c r="Q27" s="14">
        <v>147865</v>
      </c>
      <c r="R27" s="14">
        <v>148282</v>
      </c>
      <c r="S27" s="14">
        <v>149103</v>
      </c>
      <c r="T27" s="14">
        <v>149633</v>
      </c>
      <c r="U27" s="14">
        <v>149960</v>
      </c>
      <c r="V27" s="14">
        <v>150394</v>
      </c>
      <c r="W27" s="14">
        <v>150597</v>
      </c>
      <c r="X27" s="14">
        <v>151060</v>
      </c>
      <c r="Y27" s="14">
        <v>151526</v>
      </c>
      <c r="Z27" s="14">
        <v>152653</v>
      </c>
      <c r="AA27" s="14">
        <v>153004</v>
      </c>
      <c r="AB27" s="14">
        <v>153883</v>
      </c>
      <c r="AC27" s="119">
        <v>879</v>
      </c>
      <c r="AD27" s="74">
        <v>0.6</v>
      </c>
      <c r="AE27" s="119">
        <v>5601</v>
      </c>
      <c r="AF27" s="74">
        <v>3.8</v>
      </c>
      <c r="AG27" s="119">
        <v>14341</v>
      </c>
      <c r="AH27" s="74">
        <v>10.3</v>
      </c>
    </row>
    <row r="28" spans="1:34" x14ac:dyDescent="0.35">
      <c r="A28" s="3" t="s">
        <v>121</v>
      </c>
      <c r="B28" s="13" t="s">
        <v>122</v>
      </c>
      <c r="C28" s="13" t="s">
        <v>78</v>
      </c>
      <c r="D28" s="14">
        <v>8336</v>
      </c>
      <c r="E28" s="14">
        <v>8455</v>
      </c>
      <c r="F28" s="14">
        <v>8580</v>
      </c>
      <c r="G28" s="14">
        <v>8742</v>
      </c>
      <c r="H28" s="14">
        <v>8932</v>
      </c>
      <c r="I28" s="14">
        <v>9050</v>
      </c>
      <c r="J28" s="14">
        <v>9204</v>
      </c>
      <c r="K28" s="14">
        <v>9336</v>
      </c>
      <c r="L28" s="14">
        <v>9512</v>
      </c>
      <c r="M28" s="14">
        <v>9657</v>
      </c>
      <c r="N28" s="14">
        <v>9760</v>
      </c>
      <c r="O28" s="14">
        <v>9846</v>
      </c>
      <c r="P28" s="14">
        <v>9921</v>
      </c>
      <c r="Q28" s="14">
        <v>10007</v>
      </c>
      <c r="R28" s="14">
        <v>10099</v>
      </c>
      <c r="S28" s="14">
        <v>10197</v>
      </c>
      <c r="T28" s="14">
        <v>10313</v>
      </c>
      <c r="U28" s="14">
        <v>10422</v>
      </c>
      <c r="V28" s="14">
        <v>10492</v>
      </c>
      <c r="W28" s="14">
        <v>10526</v>
      </c>
      <c r="X28" s="14">
        <v>10636</v>
      </c>
      <c r="Y28" s="14">
        <v>10664</v>
      </c>
      <c r="Z28" s="14">
        <v>10811</v>
      </c>
      <c r="AA28" s="14">
        <v>10887</v>
      </c>
      <c r="AB28" s="14">
        <v>10973</v>
      </c>
      <c r="AC28" s="119">
        <v>86</v>
      </c>
      <c r="AD28" s="74">
        <v>0.8</v>
      </c>
      <c r="AE28" s="119">
        <v>874</v>
      </c>
      <c r="AF28" s="74">
        <v>8.6999999999999993</v>
      </c>
      <c r="AG28" s="119">
        <v>2041</v>
      </c>
      <c r="AH28" s="74">
        <v>22.9</v>
      </c>
    </row>
    <row r="29" spans="1:34" x14ac:dyDescent="0.35">
      <c r="A29" s="3" t="s">
        <v>123</v>
      </c>
      <c r="B29" s="13" t="s">
        <v>124</v>
      </c>
      <c r="C29" s="13" t="s">
        <v>78</v>
      </c>
      <c r="D29" s="14">
        <v>58372</v>
      </c>
      <c r="E29" s="14">
        <v>58936</v>
      </c>
      <c r="F29" s="14">
        <v>59869</v>
      </c>
      <c r="G29" s="14">
        <v>60778</v>
      </c>
      <c r="H29" s="14">
        <v>61577</v>
      </c>
      <c r="I29" s="14">
        <v>62579</v>
      </c>
      <c r="J29" s="14">
        <v>63177</v>
      </c>
      <c r="K29" s="14">
        <v>64287</v>
      </c>
      <c r="L29" s="14">
        <v>64577</v>
      </c>
      <c r="M29" s="14">
        <v>64694</v>
      </c>
      <c r="N29" s="14">
        <v>64905</v>
      </c>
      <c r="O29" s="14">
        <v>65105</v>
      </c>
      <c r="P29" s="14">
        <v>65436</v>
      </c>
      <c r="Q29" s="14">
        <v>65764</v>
      </c>
      <c r="R29" s="14">
        <v>66181</v>
      </c>
      <c r="S29" s="14">
        <v>66642</v>
      </c>
      <c r="T29" s="14">
        <v>67063</v>
      </c>
      <c r="U29" s="14">
        <v>67542</v>
      </c>
      <c r="V29" s="14">
        <v>68247</v>
      </c>
      <c r="W29" s="14">
        <v>68577</v>
      </c>
      <c r="X29" s="14">
        <v>69353</v>
      </c>
      <c r="Y29" s="14">
        <v>70033</v>
      </c>
      <c r="Z29" s="14">
        <v>70837</v>
      </c>
      <c r="AA29" s="14">
        <v>71441</v>
      </c>
      <c r="AB29" s="14">
        <v>72120</v>
      </c>
      <c r="AC29" s="119">
        <v>679</v>
      </c>
      <c r="AD29" s="74">
        <v>0.9</v>
      </c>
      <c r="AE29" s="119">
        <v>5939</v>
      </c>
      <c r="AF29" s="74">
        <v>9</v>
      </c>
      <c r="AG29" s="119">
        <v>10543</v>
      </c>
      <c r="AH29" s="74">
        <v>17.100000000000001</v>
      </c>
    </row>
    <row r="30" spans="1:34" x14ac:dyDescent="0.35">
      <c r="A30" s="3" t="s">
        <v>125</v>
      </c>
      <c r="B30" s="13" t="s">
        <v>126</v>
      </c>
      <c r="C30" s="13" t="s">
        <v>78</v>
      </c>
      <c r="D30" s="14">
        <v>75385</v>
      </c>
      <c r="E30" s="14">
        <v>76151</v>
      </c>
      <c r="F30" s="14">
        <v>76983</v>
      </c>
      <c r="G30" s="14">
        <v>77006</v>
      </c>
      <c r="H30" s="14">
        <v>77487</v>
      </c>
      <c r="I30" s="14">
        <v>78243</v>
      </c>
      <c r="J30" s="14">
        <v>79100</v>
      </c>
      <c r="K30" s="14">
        <v>79897</v>
      </c>
      <c r="L30" s="14">
        <v>80397</v>
      </c>
      <c r="M30" s="14">
        <v>80651</v>
      </c>
      <c r="N30" s="14">
        <v>80905</v>
      </c>
      <c r="O30" s="14">
        <v>80780</v>
      </c>
      <c r="P30" s="14">
        <v>81495</v>
      </c>
      <c r="Q30" s="14">
        <v>81942</v>
      </c>
      <c r="R30" s="14">
        <v>82648</v>
      </c>
      <c r="S30" s="14">
        <v>83272</v>
      </c>
      <c r="T30" s="14">
        <v>84024</v>
      </c>
      <c r="U30" s="14">
        <v>84669</v>
      </c>
      <c r="V30" s="14">
        <v>85439</v>
      </c>
      <c r="W30" s="14">
        <v>85832</v>
      </c>
      <c r="X30" s="14">
        <v>86332</v>
      </c>
      <c r="Y30" s="14">
        <v>86996</v>
      </c>
      <c r="Z30" s="14">
        <v>87576</v>
      </c>
      <c r="AA30" s="14">
        <v>87749</v>
      </c>
      <c r="AB30" s="14">
        <v>88551</v>
      </c>
      <c r="AC30" s="119">
        <v>802</v>
      </c>
      <c r="AD30" s="74">
        <v>0.9</v>
      </c>
      <c r="AE30" s="119">
        <v>5903</v>
      </c>
      <c r="AF30" s="74">
        <v>7.1</v>
      </c>
      <c r="AG30" s="119">
        <v>11064</v>
      </c>
      <c r="AH30" s="74">
        <v>14.3</v>
      </c>
    </row>
    <row r="31" spans="1:34" x14ac:dyDescent="0.35">
      <c r="A31" s="3" t="s">
        <v>127</v>
      </c>
      <c r="B31" s="13" t="s">
        <v>128</v>
      </c>
      <c r="C31" s="13" t="s">
        <v>78</v>
      </c>
      <c r="D31" s="14">
        <v>47460</v>
      </c>
      <c r="E31" s="14">
        <v>47996</v>
      </c>
      <c r="F31" s="14">
        <v>48550</v>
      </c>
      <c r="G31" s="14">
        <v>49134</v>
      </c>
      <c r="H31" s="14">
        <v>49626</v>
      </c>
      <c r="I31" s="14">
        <v>50152</v>
      </c>
      <c r="J31" s="14">
        <v>50848</v>
      </c>
      <c r="K31" s="14">
        <v>51440</v>
      </c>
      <c r="L31" s="14">
        <v>51837</v>
      </c>
      <c r="M31" s="14">
        <v>52208</v>
      </c>
      <c r="N31" s="14">
        <v>52487</v>
      </c>
      <c r="O31" s="14">
        <v>52670</v>
      </c>
      <c r="P31" s="14">
        <v>52930</v>
      </c>
      <c r="Q31" s="14">
        <v>53151</v>
      </c>
      <c r="R31" s="14">
        <v>53342</v>
      </c>
      <c r="S31" s="14">
        <v>53775</v>
      </c>
      <c r="T31" s="14">
        <v>54290</v>
      </c>
      <c r="U31" s="14">
        <v>54394</v>
      </c>
      <c r="V31" s="14">
        <v>54694</v>
      </c>
      <c r="W31" s="14">
        <v>54771</v>
      </c>
      <c r="X31" s="14">
        <v>55268</v>
      </c>
      <c r="Y31" s="14">
        <v>55629</v>
      </c>
      <c r="Z31" s="14">
        <v>55826</v>
      </c>
      <c r="AA31" s="14">
        <v>56085</v>
      </c>
      <c r="AB31" s="14">
        <v>56421</v>
      </c>
      <c r="AC31" s="119">
        <v>336</v>
      </c>
      <c r="AD31" s="74">
        <v>0.6</v>
      </c>
      <c r="AE31" s="119">
        <v>3079</v>
      </c>
      <c r="AF31" s="74">
        <v>5.8</v>
      </c>
      <c r="AG31" s="119">
        <v>6795</v>
      </c>
      <c r="AH31" s="74">
        <v>13.7</v>
      </c>
    </row>
    <row r="32" spans="1:34" x14ac:dyDescent="0.35">
      <c r="A32" s="3" t="s">
        <v>129</v>
      </c>
      <c r="B32" s="13" t="s">
        <v>130</v>
      </c>
      <c r="C32" s="13" t="s">
        <v>78</v>
      </c>
      <c r="D32" s="14">
        <v>9111</v>
      </c>
      <c r="E32" s="14">
        <v>9141</v>
      </c>
      <c r="F32" s="14">
        <v>9211</v>
      </c>
      <c r="G32" s="14">
        <v>9291</v>
      </c>
      <c r="H32" s="14">
        <v>9396</v>
      </c>
      <c r="I32" s="14">
        <v>9468</v>
      </c>
      <c r="J32" s="14">
        <v>9529</v>
      </c>
      <c r="K32" s="14">
        <v>9622</v>
      </c>
      <c r="L32" s="14">
        <v>9764</v>
      </c>
      <c r="M32" s="14">
        <v>9884</v>
      </c>
      <c r="N32" s="14">
        <v>9972</v>
      </c>
      <c r="O32" s="14">
        <v>10077</v>
      </c>
      <c r="P32" s="14">
        <v>10130</v>
      </c>
      <c r="Q32" s="14">
        <v>10159</v>
      </c>
      <c r="R32" s="14">
        <v>10226</v>
      </c>
      <c r="S32" s="14">
        <v>10272</v>
      </c>
      <c r="T32" s="14">
        <v>10327</v>
      </c>
      <c r="U32" s="14">
        <v>10367</v>
      </c>
      <c r="V32" s="14">
        <v>10421</v>
      </c>
      <c r="W32" s="14">
        <v>10440</v>
      </c>
      <c r="X32" s="14">
        <v>10531</v>
      </c>
      <c r="Y32" s="14">
        <v>10607</v>
      </c>
      <c r="Z32" s="14">
        <v>10621</v>
      </c>
      <c r="AA32" s="14">
        <v>10763</v>
      </c>
      <c r="AB32" s="14">
        <v>10820</v>
      </c>
      <c r="AC32" s="119">
        <v>57</v>
      </c>
      <c r="AD32" s="74">
        <v>0.5</v>
      </c>
      <c r="AE32" s="119">
        <v>594</v>
      </c>
      <c r="AF32" s="74">
        <v>5.8</v>
      </c>
      <c r="AG32" s="119">
        <v>1424</v>
      </c>
      <c r="AH32" s="74">
        <v>15.2</v>
      </c>
    </row>
    <row r="33" spans="1:34" x14ac:dyDescent="0.35">
      <c r="A33" s="3" t="s">
        <v>131</v>
      </c>
      <c r="B33" s="13" t="s">
        <v>132</v>
      </c>
      <c r="C33" s="13" t="s">
        <v>78</v>
      </c>
      <c r="D33" s="14">
        <v>48802</v>
      </c>
      <c r="E33" s="14">
        <v>49045</v>
      </c>
      <c r="F33" s="14">
        <v>49446</v>
      </c>
      <c r="G33" s="14">
        <v>49768</v>
      </c>
      <c r="H33" s="14">
        <v>50159</v>
      </c>
      <c r="I33" s="14">
        <v>50318</v>
      </c>
      <c r="J33" s="14">
        <v>50656</v>
      </c>
      <c r="K33" s="14">
        <v>50869</v>
      </c>
      <c r="L33" s="14">
        <v>50956</v>
      </c>
      <c r="M33" s="14">
        <v>51188</v>
      </c>
      <c r="N33" s="14">
        <v>51369</v>
      </c>
      <c r="O33" s="14">
        <v>51485</v>
      </c>
      <c r="P33" s="14">
        <v>51590</v>
      </c>
      <c r="Q33" s="14">
        <v>51776</v>
      </c>
      <c r="R33" s="14">
        <v>51779</v>
      </c>
      <c r="S33" s="14">
        <v>51755</v>
      </c>
      <c r="T33" s="14">
        <v>51901</v>
      </c>
      <c r="U33" s="14">
        <v>52043</v>
      </c>
      <c r="V33" s="14">
        <v>52313</v>
      </c>
      <c r="W33" s="14">
        <v>52261</v>
      </c>
      <c r="X33" s="14">
        <v>52407</v>
      </c>
      <c r="Y33" s="14">
        <v>52538</v>
      </c>
      <c r="Z33" s="14">
        <v>52851</v>
      </c>
      <c r="AA33" s="14">
        <v>53129</v>
      </c>
      <c r="AB33" s="14">
        <v>53403</v>
      </c>
      <c r="AC33" s="119">
        <v>274</v>
      </c>
      <c r="AD33" s="74">
        <v>0.5</v>
      </c>
      <c r="AE33" s="119">
        <v>1624</v>
      </c>
      <c r="AF33" s="74">
        <v>3.1</v>
      </c>
      <c r="AG33" s="119">
        <v>3244</v>
      </c>
      <c r="AH33" s="74">
        <v>6.5</v>
      </c>
    </row>
    <row r="34" spans="1:34" x14ac:dyDescent="0.35">
      <c r="A34" s="3" t="s">
        <v>133</v>
      </c>
      <c r="B34" s="13" t="s">
        <v>134</v>
      </c>
      <c r="C34" s="13" t="s">
        <v>78</v>
      </c>
      <c r="D34" s="14">
        <v>126637</v>
      </c>
      <c r="E34" s="14">
        <v>127690</v>
      </c>
      <c r="F34" s="14">
        <v>128634</v>
      </c>
      <c r="G34" s="14">
        <v>129947</v>
      </c>
      <c r="H34" s="14">
        <v>131495</v>
      </c>
      <c r="I34" s="14">
        <v>133505</v>
      </c>
      <c r="J34" s="14">
        <v>135192</v>
      </c>
      <c r="K34" s="14">
        <v>136300</v>
      </c>
      <c r="L34" s="14">
        <v>137262</v>
      </c>
      <c r="M34" s="14">
        <v>138223</v>
      </c>
      <c r="N34" s="14">
        <v>139312</v>
      </c>
      <c r="O34" s="14">
        <v>139938</v>
      </c>
      <c r="P34" s="14">
        <v>140546</v>
      </c>
      <c r="Q34" s="14">
        <v>141403</v>
      </c>
      <c r="R34" s="14">
        <v>142125</v>
      </c>
      <c r="S34" s="14">
        <v>142654</v>
      </c>
      <c r="T34" s="14">
        <v>143376</v>
      </c>
      <c r="U34" s="14">
        <v>144050</v>
      </c>
      <c r="V34" s="14">
        <v>144986</v>
      </c>
      <c r="W34" s="14">
        <v>145709</v>
      </c>
      <c r="X34" s="14">
        <v>146752</v>
      </c>
      <c r="Y34" s="14">
        <v>148124</v>
      </c>
      <c r="Z34" s="14">
        <v>149454</v>
      </c>
      <c r="AA34" s="14">
        <v>150643</v>
      </c>
      <c r="AB34" s="14">
        <v>152030</v>
      </c>
      <c r="AC34" s="119">
        <v>1387</v>
      </c>
      <c r="AD34" s="74">
        <v>0.9</v>
      </c>
      <c r="AE34" s="119">
        <v>9905</v>
      </c>
      <c r="AF34" s="74">
        <v>7</v>
      </c>
      <c r="AG34" s="119">
        <v>20535</v>
      </c>
      <c r="AH34" s="74">
        <v>15.6</v>
      </c>
    </row>
    <row r="35" spans="1:34" x14ac:dyDescent="0.35">
      <c r="A35" s="3" t="s">
        <v>135</v>
      </c>
      <c r="B35" s="13" t="s">
        <v>136</v>
      </c>
      <c r="C35" s="13" t="s">
        <v>78</v>
      </c>
      <c r="D35" s="14">
        <v>35548</v>
      </c>
      <c r="E35" s="14">
        <v>35906</v>
      </c>
      <c r="F35" s="14">
        <v>36341</v>
      </c>
      <c r="G35" s="14">
        <v>36483</v>
      </c>
      <c r="H35" s="14">
        <v>36720</v>
      </c>
      <c r="I35" s="14">
        <v>36862</v>
      </c>
      <c r="J35" s="14">
        <v>36960</v>
      </c>
      <c r="K35" s="14">
        <v>37122</v>
      </c>
      <c r="L35" s="14">
        <v>37289</v>
      </c>
      <c r="M35" s="14">
        <v>37482</v>
      </c>
      <c r="N35" s="14">
        <v>37645</v>
      </c>
      <c r="O35" s="14">
        <v>37861</v>
      </c>
      <c r="P35" s="14">
        <v>38025</v>
      </c>
      <c r="Q35" s="14">
        <v>38262</v>
      </c>
      <c r="R35" s="14">
        <v>38600</v>
      </c>
      <c r="S35" s="14">
        <v>38868</v>
      </c>
      <c r="T35" s="14">
        <v>39184</v>
      </c>
      <c r="U35" s="14">
        <v>39322</v>
      </c>
      <c r="V35" s="14">
        <v>39518</v>
      </c>
      <c r="W35" s="14">
        <v>39741</v>
      </c>
      <c r="X35" s="14">
        <v>40001</v>
      </c>
      <c r="Y35" s="14">
        <v>40417</v>
      </c>
      <c r="Z35" s="14">
        <v>40810</v>
      </c>
      <c r="AA35" s="14">
        <v>41103</v>
      </c>
      <c r="AB35" s="14">
        <v>41302</v>
      </c>
      <c r="AC35" s="119">
        <v>199</v>
      </c>
      <c r="AD35" s="74">
        <v>0.5</v>
      </c>
      <c r="AE35" s="119">
        <v>2702</v>
      </c>
      <c r="AF35" s="74">
        <v>7</v>
      </c>
      <c r="AG35" s="119">
        <v>4582</v>
      </c>
      <c r="AH35" s="74">
        <v>12.5</v>
      </c>
    </row>
    <row r="36" spans="1:34" x14ac:dyDescent="0.35">
      <c r="A36" s="3" t="s">
        <v>137</v>
      </c>
      <c r="B36" s="13" t="s">
        <v>138</v>
      </c>
      <c r="C36" s="13" t="s">
        <v>78</v>
      </c>
      <c r="D36" s="14">
        <v>40768</v>
      </c>
      <c r="E36" s="14">
        <v>40655</v>
      </c>
      <c r="F36" s="14">
        <v>40718</v>
      </c>
      <c r="G36" s="14">
        <v>40707</v>
      </c>
      <c r="H36" s="14">
        <v>41061</v>
      </c>
      <c r="I36" s="14">
        <v>41398</v>
      </c>
      <c r="J36" s="14">
        <v>41627</v>
      </c>
      <c r="K36" s="14">
        <v>41832</v>
      </c>
      <c r="L36" s="14">
        <v>41911</v>
      </c>
      <c r="M36" s="14">
        <v>42074</v>
      </c>
      <c r="N36" s="14">
        <v>42113</v>
      </c>
      <c r="O36" s="14">
        <v>42023</v>
      </c>
      <c r="P36" s="14">
        <v>41933</v>
      </c>
      <c r="Q36" s="14">
        <v>42106</v>
      </c>
      <c r="R36" s="14">
        <v>42241</v>
      </c>
      <c r="S36" s="14">
        <v>42244</v>
      </c>
      <c r="T36" s="14">
        <v>42251</v>
      </c>
      <c r="U36" s="14">
        <v>42288</v>
      </c>
      <c r="V36" s="14">
        <v>42366</v>
      </c>
      <c r="W36" s="14">
        <v>42414</v>
      </c>
      <c r="X36" s="14">
        <v>42527</v>
      </c>
      <c r="Y36" s="14">
        <v>42559</v>
      </c>
      <c r="Z36" s="14">
        <v>42822</v>
      </c>
      <c r="AA36" s="14">
        <v>43050</v>
      </c>
      <c r="AB36" s="14">
        <v>43256</v>
      </c>
      <c r="AC36" s="119">
        <v>206</v>
      </c>
      <c r="AD36" s="74">
        <v>0.5</v>
      </c>
      <c r="AE36" s="119">
        <v>1015</v>
      </c>
      <c r="AF36" s="74">
        <v>2.4</v>
      </c>
      <c r="AG36" s="119">
        <v>2195</v>
      </c>
      <c r="AH36" s="74">
        <v>5.3</v>
      </c>
    </row>
    <row r="37" spans="1:34" x14ac:dyDescent="0.35">
      <c r="A37" s="3" t="s">
        <v>139</v>
      </c>
      <c r="B37" s="13" t="s">
        <v>140</v>
      </c>
      <c r="C37" s="13" t="s">
        <v>78</v>
      </c>
      <c r="D37" s="14">
        <v>65066</v>
      </c>
      <c r="E37" s="14">
        <v>65953</v>
      </c>
      <c r="F37" s="14">
        <v>67109</v>
      </c>
      <c r="G37" s="14">
        <v>68294</v>
      </c>
      <c r="H37" s="14">
        <v>69355</v>
      </c>
      <c r="I37" s="14">
        <v>70294</v>
      </c>
      <c r="J37" s="14">
        <v>71420</v>
      </c>
      <c r="K37" s="14">
        <v>72330</v>
      </c>
      <c r="L37" s="14">
        <v>72664</v>
      </c>
      <c r="M37" s="14">
        <v>73266</v>
      </c>
      <c r="N37" s="14">
        <v>73559</v>
      </c>
      <c r="O37" s="14">
        <v>73709</v>
      </c>
      <c r="P37" s="14">
        <v>74052</v>
      </c>
      <c r="Q37" s="14">
        <v>74604</v>
      </c>
      <c r="R37" s="14">
        <v>75200</v>
      </c>
      <c r="S37" s="14">
        <v>75893</v>
      </c>
      <c r="T37" s="14">
        <v>76475</v>
      </c>
      <c r="U37" s="14">
        <v>76901</v>
      </c>
      <c r="V37" s="14">
        <v>77747</v>
      </c>
      <c r="W37" s="14">
        <v>78504</v>
      </c>
      <c r="X37" s="14">
        <v>79370</v>
      </c>
      <c r="Y37" s="14">
        <v>80042</v>
      </c>
      <c r="Z37" s="14">
        <v>81029</v>
      </c>
      <c r="AA37" s="14">
        <v>81645</v>
      </c>
      <c r="AB37" s="14">
        <v>82377</v>
      </c>
      <c r="AC37" s="119">
        <v>732</v>
      </c>
      <c r="AD37" s="74">
        <v>0.9</v>
      </c>
      <c r="AE37" s="119">
        <v>7177</v>
      </c>
      <c r="AF37" s="74">
        <v>9.5</v>
      </c>
      <c r="AG37" s="119">
        <v>13022</v>
      </c>
      <c r="AH37" s="74">
        <v>18.8</v>
      </c>
    </row>
    <row r="38" spans="1:34" x14ac:dyDescent="0.3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7"/>
      <c r="AE38" s="15"/>
      <c r="AF38" s="17"/>
      <c r="AG38" s="15"/>
      <c r="AH38" s="17"/>
    </row>
  </sheetData>
  <phoneticPr fontId="13" type="noConversion"/>
  <pageMargins left="0.7" right="0.7" top="0.75" bottom="0.75" header="0.3" footer="0.3"/>
  <pageSetup paperSize="9" scale="82" fitToWidth="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38"/>
  <sheetViews>
    <sheetView workbookViewId="0"/>
  </sheetViews>
  <sheetFormatPr defaultColWidth="11.53515625" defaultRowHeight="15.5" x14ac:dyDescent="0.35"/>
  <cols>
    <col min="1" max="1" width="21.69140625" customWidth="1"/>
    <col min="2" max="2" width="13.69140625" customWidth="1"/>
    <col min="3" max="3" width="12.69140625" customWidth="1"/>
    <col min="4" max="28" width="10.69140625" customWidth="1"/>
    <col min="29" max="29" width="10.84375" customWidth="1"/>
    <col min="30" max="30" width="10.69140625" customWidth="1"/>
    <col min="31" max="31" width="10.84375" customWidth="1"/>
    <col min="32" max="32" width="10.69140625" customWidth="1"/>
    <col min="33" max="33" width="10.765625" customWidth="1"/>
  </cols>
  <sheetData>
    <row r="1" spans="1:34" ht="20" x14ac:dyDescent="0.4">
      <c r="A1" s="1" t="s">
        <v>282</v>
      </c>
    </row>
    <row r="2" spans="1:34" x14ac:dyDescent="0.35">
      <c r="A2" t="s">
        <v>16</v>
      </c>
    </row>
    <row r="3" spans="1:34" x14ac:dyDescent="0.35">
      <c r="A3" s="5" t="str">
        <f>HYPERLINK("#'Table of Contents'!A1", "Back to contents")</f>
        <v>Back to contents</v>
      </c>
      <c r="U3" s="15"/>
      <c r="V3" s="15"/>
      <c r="W3" s="15"/>
      <c r="X3" s="15"/>
      <c r="Y3" s="15"/>
      <c r="Z3" s="15"/>
      <c r="AA3" s="15"/>
      <c r="AB3" s="15"/>
    </row>
    <row r="4" spans="1:34" ht="46.5" x14ac:dyDescent="0.35">
      <c r="A4" s="11" t="s">
        <v>47</v>
      </c>
      <c r="B4" s="11" t="s">
        <v>48</v>
      </c>
      <c r="C4" s="11" t="s">
        <v>49</v>
      </c>
      <c r="D4" s="12" t="s">
        <v>50</v>
      </c>
      <c r="E4" s="12" t="s">
        <v>51</v>
      </c>
      <c r="F4" s="12" t="s">
        <v>52</v>
      </c>
      <c r="G4" s="12" t="s">
        <v>53</v>
      </c>
      <c r="H4" s="12" t="s">
        <v>54</v>
      </c>
      <c r="I4" s="12" t="s">
        <v>55</v>
      </c>
      <c r="J4" s="12" t="s">
        <v>56</v>
      </c>
      <c r="K4" s="12" t="s">
        <v>57</v>
      </c>
      <c r="L4" s="12" t="s">
        <v>58</v>
      </c>
      <c r="M4" s="12" t="s">
        <v>59</v>
      </c>
      <c r="N4" s="12" t="s">
        <v>60</v>
      </c>
      <c r="O4" s="12" t="s">
        <v>61</v>
      </c>
      <c r="P4" s="12" t="s">
        <v>62</v>
      </c>
      <c r="Q4" s="12" t="s">
        <v>63</v>
      </c>
      <c r="R4" s="12" t="s">
        <v>64</v>
      </c>
      <c r="S4" s="12" t="s">
        <v>65</v>
      </c>
      <c r="T4" s="12" t="s">
        <v>66</v>
      </c>
      <c r="U4" s="12" t="s">
        <v>67</v>
      </c>
      <c r="V4" s="12" t="s">
        <v>68</v>
      </c>
      <c r="W4" s="12" t="s">
        <v>69</v>
      </c>
      <c r="X4" s="12" t="s">
        <v>70</v>
      </c>
      <c r="Y4" s="12" t="s">
        <v>71</v>
      </c>
      <c r="Z4" s="12" t="s">
        <v>72</v>
      </c>
      <c r="AA4" s="12" t="s">
        <v>206</v>
      </c>
      <c r="AB4" s="12" t="s">
        <v>275</v>
      </c>
      <c r="AC4" s="12" t="s">
        <v>276</v>
      </c>
      <c r="AD4" s="12" t="s">
        <v>277</v>
      </c>
      <c r="AE4" s="12" t="s">
        <v>278</v>
      </c>
      <c r="AF4" s="12" t="s">
        <v>279</v>
      </c>
      <c r="AG4" s="12" t="s">
        <v>280</v>
      </c>
      <c r="AH4" s="12" t="s">
        <v>281</v>
      </c>
    </row>
    <row r="5" spans="1:34" ht="25" customHeight="1" x14ac:dyDescent="0.35">
      <c r="A5" s="18" t="s">
        <v>73</v>
      </c>
      <c r="B5" s="19" t="s">
        <v>74</v>
      </c>
      <c r="C5" s="19" t="s">
        <v>75</v>
      </c>
      <c r="D5" s="20">
        <v>2320642</v>
      </c>
      <c r="E5" s="20">
        <v>2338324</v>
      </c>
      <c r="F5" s="20">
        <v>2356176</v>
      </c>
      <c r="G5" s="20">
        <v>2376915</v>
      </c>
      <c r="H5" s="20">
        <v>2396782</v>
      </c>
      <c r="I5" s="20">
        <v>2416071</v>
      </c>
      <c r="J5" s="20">
        <v>2440596</v>
      </c>
      <c r="K5" s="20">
        <v>2460883</v>
      </c>
      <c r="L5" s="20">
        <v>2476157</v>
      </c>
      <c r="M5" s="20">
        <v>2488496</v>
      </c>
      <c r="N5" s="20">
        <v>2500849</v>
      </c>
      <c r="O5" s="20">
        <v>2515042</v>
      </c>
      <c r="P5" s="20">
        <v>2526870</v>
      </c>
      <c r="Q5" s="20">
        <v>2540561</v>
      </c>
      <c r="R5" s="20">
        <v>2557582</v>
      </c>
      <c r="S5" s="20">
        <v>2575667</v>
      </c>
      <c r="T5" s="20">
        <v>2595031</v>
      </c>
      <c r="U5" s="20">
        <v>2615185</v>
      </c>
      <c r="V5" s="20">
        <v>2636871</v>
      </c>
      <c r="W5" s="20">
        <v>2653725</v>
      </c>
      <c r="X5" s="20">
        <v>2674993</v>
      </c>
      <c r="Y5" s="20">
        <v>2699379</v>
      </c>
      <c r="Z5" s="20">
        <v>2721225</v>
      </c>
      <c r="AA5" s="20">
        <v>2740973</v>
      </c>
      <c r="AB5" s="20">
        <v>2757863</v>
      </c>
      <c r="AC5" s="20">
        <v>16890</v>
      </c>
      <c r="AD5" s="21">
        <v>0.61620453758572946</v>
      </c>
      <c r="AE5" s="20">
        <v>200281</v>
      </c>
      <c r="AF5" s="21">
        <v>7.8308730668263937</v>
      </c>
      <c r="AG5" s="20">
        <v>361081</v>
      </c>
      <c r="AH5" s="21">
        <v>15.065241644838778</v>
      </c>
    </row>
    <row r="6" spans="1:34" x14ac:dyDescent="0.35">
      <c r="A6" s="3" t="s">
        <v>141</v>
      </c>
      <c r="B6" s="13" t="s">
        <v>77</v>
      </c>
      <c r="C6" s="13" t="s">
        <v>78</v>
      </c>
      <c r="D6" s="14">
        <v>105030</v>
      </c>
      <c r="E6" s="14">
        <v>105675</v>
      </c>
      <c r="F6" s="14">
        <v>106280</v>
      </c>
      <c r="G6" s="14">
        <v>106754</v>
      </c>
      <c r="H6" s="14">
        <v>107670</v>
      </c>
      <c r="I6" s="14">
        <v>108618</v>
      </c>
      <c r="J6" s="14">
        <v>109425</v>
      </c>
      <c r="K6" s="14">
        <v>110084</v>
      </c>
      <c r="L6" s="14">
        <v>110565</v>
      </c>
      <c r="M6" s="14">
        <v>110968</v>
      </c>
      <c r="N6" s="14">
        <v>111419</v>
      </c>
      <c r="O6" s="14">
        <v>112073</v>
      </c>
      <c r="P6" s="14">
        <v>112713</v>
      </c>
      <c r="Q6" s="14">
        <v>113508</v>
      </c>
      <c r="R6" s="14">
        <v>114234</v>
      </c>
      <c r="S6" s="14">
        <v>115080</v>
      </c>
      <c r="T6" s="14">
        <v>116821</v>
      </c>
      <c r="U6" s="14">
        <v>118131</v>
      </c>
      <c r="V6" s="14">
        <v>119523</v>
      </c>
      <c r="W6" s="14">
        <v>120980</v>
      </c>
      <c r="X6" s="14">
        <v>122242</v>
      </c>
      <c r="Y6" s="14">
        <v>123363</v>
      </c>
      <c r="Z6" s="14">
        <v>124369</v>
      </c>
      <c r="AA6" s="14">
        <v>125828</v>
      </c>
      <c r="AB6" s="14">
        <v>126846</v>
      </c>
      <c r="AC6" s="28">
        <v>1018</v>
      </c>
      <c r="AD6" s="29">
        <v>0.8090409129923426</v>
      </c>
      <c r="AE6" s="28">
        <v>12612</v>
      </c>
      <c r="AF6" s="29">
        <v>11.04049582436053</v>
      </c>
      <c r="AG6" s="28">
        <v>19176</v>
      </c>
      <c r="AH6" s="29">
        <v>17.809974923376991</v>
      </c>
    </row>
    <row r="7" spans="1:34" x14ac:dyDescent="0.35">
      <c r="A7" s="3" t="s">
        <v>79</v>
      </c>
      <c r="B7" s="13" t="s">
        <v>80</v>
      </c>
      <c r="C7" s="13" t="s">
        <v>78</v>
      </c>
      <c r="D7" s="14">
        <v>97014</v>
      </c>
      <c r="E7" s="14">
        <v>98380</v>
      </c>
      <c r="F7" s="14">
        <v>99654</v>
      </c>
      <c r="G7" s="14">
        <v>101357</v>
      </c>
      <c r="H7" s="14">
        <v>102864</v>
      </c>
      <c r="I7" s="14">
        <v>104226</v>
      </c>
      <c r="J7" s="14">
        <v>105503</v>
      </c>
      <c r="K7" s="14">
        <v>106850</v>
      </c>
      <c r="L7" s="14">
        <v>108051</v>
      </c>
      <c r="M7" s="14">
        <v>109552</v>
      </c>
      <c r="N7" s="14">
        <v>110649</v>
      </c>
      <c r="O7" s="14">
        <v>111773</v>
      </c>
      <c r="P7" s="14">
        <v>112867</v>
      </c>
      <c r="Q7" s="14">
        <v>114086</v>
      </c>
      <c r="R7" s="14">
        <v>115223</v>
      </c>
      <c r="S7" s="14">
        <v>116421</v>
      </c>
      <c r="T7" s="14">
        <v>117363</v>
      </c>
      <c r="U7" s="14">
        <v>118197</v>
      </c>
      <c r="V7" s="14">
        <v>119196</v>
      </c>
      <c r="W7" s="14">
        <v>119854</v>
      </c>
      <c r="X7" s="14">
        <v>120682</v>
      </c>
      <c r="Y7" s="14">
        <v>121610</v>
      </c>
      <c r="Z7" s="14">
        <v>122524</v>
      </c>
      <c r="AA7" s="14">
        <v>123367</v>
      </c>
      <c r="AB7" s="14">
        <v>124154</v>
      </c>
      <c r="AC7" s="28">
        <v>787</v>
      </c>
      <c r="AD7" s="29">
        <v>0.63793396937592561</v>
      </c>
      <c r="AE7" s="28">
        <v>8931</v>
      </c>
      <c r="AF7" s="29">
        <v>7.7510566466764352</v>
      </c>
      <c r="AG7" s="28">
        <v>21290</v>
      </c>
      <c r="AH7" s="29">
        <v>20.697231295691388</v>
      </c>
    </row>
    <row r="8" spans="1:34" x14ac:dyDescent="0.35">
      <c r="A8" s="3" t="s">
        <v>81</v>
      </c>
      <c r="B8" s="13" t="s">
        <v>82</v>
      </c>
      <c r="C8" s="13" t="s">
        <v>78</v>
      </c>
      <c r="D8" s="14">
        <v>50313</v>
      </c>
      <c r="E8" s="14">
        <v>50607</v>
      </c>
      <c r="F8" s="14">
        <v>51051</v>
      </c>
      <c r="G8" s="14">
        <v>51550</v>
      </c>
      <c r="H8" s="14">
        <v>51989</v>
      </c>
      <c r="I8" s="14">
        <v>52346</v>
      </c>
      <c r="J8" s="14">
        <v>52870</v>
      </c>
      <c r="K8" s="14">
        <v>53402</v>
      </c>
      <c r="L8" s="14">
        <v>53807</v>
      </c>
      <c r="M8" s="14">
        <v>54060</v>
      </c>
      <c r="N8" s="14">
        <v>54372</v>
      </c>
      <c r="O8" s="14">
        <v>54566</v>
      </c>
      <c r="P8" s="14">
        <v>54872</v>
      </c>
      <c r="Q8" s="14">
        <v>55267</v>
      </c>
      <c r="R8" s="14">
        <v>55619</v>
      </c>
      <c r="S8" s="14">
        <v>55872</v>
      </c>
      <c r="T8" s="14">
        <v>56135</v>
      </c>
      <c r="U8" s="14">
        <v>56485</v>
      </c>
      <c r="V8" s="14">
        <v>56928</v>
      </c>
      <c r="W8" s="14">
        <v>57206</v>
      </c>
      <c r="X8" s="14">
        <v>57711</v>
      </c>
      <c r="Y8" s="14">
        <v>58088</v>
      </c>
      <c r="Z8" s="14">
        <v>58286</v>
      </c>
      <c r="AA8" s="14">
        <v>58435</v>
      </c>
      <c r="AB8" s="14">
        <v>58769</v>
      </c>
      <c r="AC8" s="28">
        <v>334</v>
      </c>
      <c r="AD8" s="29">
        <v>0.57157525455635572</v>
      </c>
      <c r="AE8" s="28">
        <v>3150</v>
      </c>
      <c r="AF8" s="29">
        <v>5.6635322461748627</v>
      </c>
      <c r="AG8" s="28">
        <v>6780</v>
      </c>
      <c r="AH8" s="29">
        <v>13.041220258131524</v>
      </c>
    </row>
    <row r="9" spans="1:34" x14ac:dyDescent="0.35">
      <c r="A9" s="3" t="s">
        <v>83</v>
      </c>
      <c r="B9" s="13" t="s">
        <v>84</v>
      </c>
      <c r="C9" s="13" t="s">
        <v>78</v>
      </c>
      <c r="D9" s="14">
        <v>44556</v>
      </c>
      <c r="E9" s="14">
        <v>44857</v>
      </c>
      <c r="F9" s="14">
        <v>45123</v>
      </c>
      <c r="G9" s="14">
        <v>45246</v>
      </c>
      <c r="H9" s="14">
        <v>45512</v>
      </c>
      <c r="I9" s="14">
        <v>45794</v>
      </c>
      <c r="J9" s="14">
        <v>45932</v>
      </c>
      <c r="K9" s="14">
        <v>46306</v>
      </c>
      <c r="L9" s="14">
        <v>46446</v>
      </c>
      <c r="M9" s="14">
        <v>46679</v>
      </c>
      <c r="N9" s="14">
        <v>46896</v>
      </c>
      <c r="O9" s="14">
        <v>47105</v>
      </c>
      <c r="P9" s="14">
        <v>47336</v>
      </c>
      <c r="Q9" s="14">
        <v>47500</v>
      </c>
      <c r="R9" s="14">
        <v>47712</v>
      </c>
      <c r="S9" s="14">
        <v>47780</v>
      </c>
      <c r="T9" s="14">
        <v>47884</v>
      </c>
      <c r="U9" s="14">
        <v>48020</v>
      </c>
      <c r="V9" s="14">
        <v>48134</v>
      </c>
      <c r="W9" s="14">
        <v>48199</v>
      </c>
      <c r="X9" s="14">
        <v>48411</v>
      </c>
      <c r="Y9" s="14">
        <v>48786</v>
      </c>
      <c r="Z9" s="14">
        <v>49144</v>
      </c>
      <c r="AA9" s="14">
        <v>49697</v>
      </c>
      <c r="AB9" s="14">
        <v>49917</v>
      </c>
      <c r="AC9" s="28">
        <v>220</v>
      </c>
      <c r="AD9" s="29">
        <v>0.44268265690081687</v>
      </c>
      <c r="AE9" s="28">
        <v>2205</v>
      </c>
      <c r="AF9" s="29">
        <v>4.6214788732394263</v>
      </c>
      <c r="AG9" s="28">
        <v>4405</v>
      </c>
      <c r="AH9" s="29">
        <v>9.6787660397257937</v>
      </c>
    </row>
    <row r="10" spans="1:34" x14ac:dyDescent="0.35">
      <c r="A10" s="3" t="s">
        <v>142</v>
      </c>
      <c r="B10" s="13" t="s">
        <v>86</v>
      </c>
      <c r="C10" s="13" t="s">
        <v>78</v>
      </c>
      <c r="D10" s="14">
        <v>216594</v>
      </c>
      <c r="E10" s="14">
        <v>218285</v>
      </c>
      <c r="F10" s="14">
        <v>219239</v>
      </c>
      <c r="G10" s="14">
        <v>221536</v>
      </c>
      <c r="H10" s="14">
        <v>223693</v>
      </c>
      <c r="I10" s="14">
        <v>226247</v>
      </c>
      <c r="J10" s="14">
        <v>228523</v>
      </c>
      <c r="K10" s="14">
        <v>230051</v>
      </c>
      <c r="L10" s="14">
        <v>231903</v>
      </c>
      <c r="M10" s="14">
        <v>233068</v>
      </c>
      <c r="N10" s="14">
        <v>234541</v>
      </c>
      <c r="O10" s="14">
        <v>235850</v>
      </c>
      <c r="P10" s="14">
        <v>237524</v>
      </c>
      <c r="Q10" s="14">
        <v>239525</v>
      </c>
      <c r="R10" s="14">
        <v>241433</v>
      </c>
      <c r="S10" s="14">
        <v>244131</v>
      </c>
      <c r="T10" s="14">
        <v>246818</v>
      </c>
      <c r="U10" s="14">
        <v>249810</v>
      </c>
      <c r="V10" s="14">
        <v>252731</v>
      </c>
      <c r="W10" s="14">
        <v>254929</v>
      </c>
      <c r="X10" s="14">
        <v>257658</v>
      </c>
      <c r="Y10" s="14">
        <v>261000</v>
      </c>
      <c r="Z10" s="14">
        <v>263670</v>
      </c>
      <c r="AA10" s="14">
        <v>266309</v>
      </c>
      <c r="AB10" s="14">
        <v>269306</v>
      </c>
      <c r="AC10" s="28">
        <v>2997</v>
      </c>
      <c r="AD10" s="29">
        <v>1.1253844218558129</v>
      </c>
      <c r="AE10" s="28">
        <v>27873</v>
      </c>
      <c r="AF10" s="29">
        <v>11.544817816951291</v>
      </c>
      <c r="AG10" s="28">
        <v>45613</v>
      </c>
      <c r="AH10" s="29">
        <v>20.390892875503486</v>
      </c>
    </row>
    <row r="11" spans="1:34" x14ac:dyDescent="0.35">
      <c r="A11" s="3" t="s">
        <v>87</v>
      </c>
      <c r="B11" s="13" t="s">
        <v>88</v>
      </c>
      <c r="C11" s="13" t="s">
        <v>78</v>
      </c>
      <c r="D11" s="14">
        <v>21252</v>
      </c>
      <c r="E11" s="14">
        <v>21534</v>
      </c>
      <c r="F11" s="14">
        <v>21682</v>
      </c>
      <c r="G11" s="14">
        <v>22076</v>
      </c>
      <c r="H11" s="14">
        <v>22443</v>
      </c>
      <c r="I11" s="14">
        <v>22770</v>
      </c>
      <c r="J11" s="14">
        <v>23132</v>
      </c>
      <c r="K11" s="14">
        <v>23374</v>
      </c>
      <c r="L11" s="14">
        <v>23549</v>
      </c>
      <c r="M11" s="14">
        <v>23670</v>
      </c>
      <c r="N11" s="14">
        <v>23720</v>
      </c>
      <c r="O11" s="14">
        <v>23774</v>
      </c>
      <c r="P11" s="14">
        <v>23894</v>
      </c>
      <c r="Q11" s="14">
        <v>23995</v>
      </c>
      <c r="R11" s="14">
        <v>24114</v>
      </c>
      <c r="S11" s="14">
        <v>24221</v>
      </c>
      <c r="T11" s="14">
        <v>24377</v>
      </c>
      <c r="U11" s="14">
        <v>24524</v>
      </c>
      <c r="V11" s="14">
        <v>24716</v>
      </c>
      <c r="W11" s="14">
        <v>24838</v>
      </c>
      <c r="X11" s="14">
        <v>24931</v>
      </c>
      <c r="Y11" s="14">
        <v>25109</v>
      </c>
      <c r="Z11" s="14">
        <v>25277</v>
      </c>
      <c r="AA11" s="14">
        <v>25295</v>
      </c>
      <c r="AB11" s="14">
        <v>25328</v>
      </c>
      <c r="AC11" s="28">
        <v>33</v>
      </c>
      <c r="AD11" s="29">
        <v>0.13046056532912687</v>
      </c>
      <c r="AE11" s="28">
        <v>1214</v>
      </c>
      <c r="AF11" s="29">
        <v>5.0344198390976258</v>
      </c>
      <c r="AG11" s="28">
        <v>2885</v>
      </c>
      <c r="AH11" s="29">
        <v>12.854787684355928</v>
      </c>
    </row>
    <row r="12" spans="1:34" x14ac:dyDescent="0.35">
      <c r="A12" s="3" t="s">
        <v>89</v>
      </c>
      <c r="B12" s="13" t="s">
        <v>90</v>
      </c>
      <c r="C12" s="13" t="s">
        <v>78</v>
      </c>
      <c r="D12" s="14">
        <v>67607</v>
      </c>
      <c r="E12" s="14">
        <v>67967</v>
      </c>
      <c r="F12" s="14">
        <v>68497</v>
      </c>
      <c r="G12" s="14">
        <v>69242</v>
      </c>
      <c r="H12" s="14">
        <v>69880</v>
      </c>
      <c r="I12" s="14">
        <v>70501</v>
      </c>
      <c r="J12" s="14">
        <v>71115</v>
      </c>
      <c r="K12" s="14">
        <v>71778</v>
      </c>
      <c r="L12" s="14">
        <v>72106</v>
      </c>
      <c r="M12" s="14">
        <v>72421</v>
      </c>
      <c r="N12" s="14">
        <v>72871</v>
      </c>
      <c r="O12" s="14">
        <v>73224</v>
      </c>
      <c r="P12" s="14">
        <v>73555</v>
      </c>
      <c r="Q12" s="14">
        <v>73895</v>
      </c>
      <c r="R12" s="14">
        <v>74190</v>
      </c>
      <c r="S12" s="14">
        <v>74453</v>
      </c>
      <c r="T12" s="14">
        <v>74687</v>
      </c>
      <c r="U12" s="14">
        <v>74823</v>
      </c>
      <c r="V12" s="14">
        <v>75089</v>
      </c>
      <c r="W12" s="14">
        <v>75298</v>
      </c>
      <c r="X12" s="14">
        <v>75521</v>
      </c>
      <c r="Y12" s="14">
        <v>75922</v>
      </c>
      <c r="Z12" s="14">
        <v>76275</v>
      </c>
      <c r="AA12" s="14">
        <v>76535</v>
      </c>
      <c r="AB12" s="14">
        <v>76696</v>
      </c>
      <c r="AC12" s="28">
        <v>161</v>
      </c>
      <c r="AD12" s="29">
        <v>0.21036127262037407</v>
      </c>
      <c r="AE12" s="28">
        <v>2506</v>
      </c>
      <c r="AF12" s="29">
        <v>3.3778137215258131</v>
      </c>
      <c r="AG12" s="28">
        <v>6816</v>
      </c>
      <c r="AH12" s="29">
        <v>9.753863766456794</v>
      </c>
    </row>
    <row r="13" spans="1:34" x14ac:dyDescent="0.35">
      <c r="A13" s="3" t="s">
        <v>91</v>
      </c>
      <c r="B13" s="13" t="s">
        <v>92</v>
      </c>
      <c r="C13" s="13" t="s">
        <v>78</v>
      </c>
      <c r="D13" s="14">
        <v>71740</v>
      </c>
      <c r="E13" s="14">
        <v>72109</v>
      </c>
      <c r="F13" s="14">
        <v>72297</v>
      </c>
      <c r="G13" s="14">
        <v>72210</v>
      </c>
      <c r="H13" s="14">
        <v>71790</v>
      </c>
      <c r="I13" s="14">
        <v>72165</v>
      </c>
      <c r="J13" s="14">
        <v>72736</v>
      </c>
      <c r="K13" s="14">
        <v>73068</v>
      </c>
      <c r="L13" s="14">
        <v>73696</v>
      </c>
      <c r="M13" s="14">
        <v>74015</v>
      </c>
      <c r="N13" s="14">
        <v>73529</v>
      </c>
      <c r="O13" s="14">
        <v>73818</v>
      </c>
      <c r="P13" s="14">
        <v>73560</v>
      </c>
      <c r="Q13" s="14">
        <v>73575</v>
      </c>
      <c r="R13" s="14">
        <v>73689</v>
      </c>
      <c r="S13" s="14">
        <v>74026</v>
      </c>
      <c r="T13" s="14">
        <v>74354</v>
      </c>
      <c r="U13" s="14">
        <v>74531</v>
      </c>
      <c r="V13" s="14">
        <v>74891</v>
      </c>
      <c r="W13" s="14">
        <v>75027</v>
      </c>
      <c r="X13" s="14">
        <v>75453</v>
      </c>
      <c r="Y13" s="14">
        <v>75840</v>
      </c>
      <c r="Z13" s="14">
        <v>76306</v>
      </c>
      <c r="AA13" s="14">
        <v>76780</v>
      </c>
      <c r="AB13" s="14">
        <v>77323</v>
      </c>
      <c r="AC13" s="28">
        <v>543</v>
      </c>
      <c r="AD13" s="29">
        <v>0.70721542068246102</v>
      </c>
      <c r="AE13" s="28">
        <v>3634</v>
      </c>
      <c r="AF13" s="29">
        <v>4.9315365929786026</v>
      </c>
      <c r="AG13" s="28">
        <v>5533</v>
      </c>
      <c r="AH13" s="29">
        <v>7.7072015601058697</v>
      </c>
    </row>
    <row r="14" spans="1:34" x14ac:dyDescent="0.35">
      <c r="A14" s="3" t="s">
        <v>93</v>
      </c>
      <c r="B14" s="13" t="s">
        <v>94</v>
      </c>
      <c r="C14" s="13" t="s">
        <v>78</v>
      </c>
      <c r="D14" s="14">
        <v>52983</v>
      </c>
      <c r="E14" s="14">
        <v>53312</v>
      </c>
      <c r="F14" s="14">
        <v>53499</v>
      </c>
      <c r="G14" s="14">
        <v>53677</v>
      </c>
      <c r="H14" s="14">
        <v>53842</v>
      </c>
      <c r="I14" s="14">
        <v>54231</v>
      </c>
      <c r="J14" s="14">
        <v>54848</v>
      </c>
      <c r="K14" s="14">
        <v>55717</v>
      </c>
      <c r="L14" s="14">
        <v>56121</v>
      </c>
      <c r="M14" s="14">
        <v>56398</v>
      </c>
      <c r="N14" s="14">
        <v>56614</v>
      </c>
      <c r="O14" s="14">
        <v>56919</v>
      </c>
      <c r="P14" s="14">
        <v>57172</v>
      </c>
      <c r="Q14" s="14">
        <v>57324</v>
      </c>
      <c r="R14" s="14">
        <v>57654</v>
      </c>
      <c r="S14" s="14">
        <v>57873</v>
      </c>
      <c r="T14" s="14">
        <v>58158</v>
      </c>
      <c r="U14" s="14">
        <v>58453</v>
      </c>
      <c r="V14" s="14">
        <v>58628</v>
      </c>
      <c r="W14" s="14">
        <v>58821</v>
      </c>
      <c r="X14" s="14">
        <v>58973</v>
      </c>
      <c r="Y14" s="14">
        <v>59305</v>
      </c>
      <c r="Z14" s="14">
        <v>59737</v>
      </c>
      <c r="AA14" s="14">
        <v>60045</v>
      </c>
      <c r="AB14" s="14">
        <v>60223</v>
      </c>
      <c r="AC14" s="28">
        <v>178</v>
      </c>
      <c r="AD14" s="29">
        <v>0.29644433341660115</v>
      </c>
      <c r="AE14" s="28">
        <v>2569</v>
      </c>
      <c r="AF14" s="29">
        <v>4.4558920456516438</v>
      </c>
      <c r="AG14" s="28">
        <v>6381</v>
      </c>
      <c r="AH14" s="29">
        <v>11.851342817874521</v>
      </c>
    </row>
    <row r="15" spans="1:34" x14ac:dyDescent="0.35">
      <c r="A15" s="3" t="s">
        <v>95</v>
      </c>
      <c r="B15" s="13" t="s">
        <v>96</v>
      </c>
      <c r="C15" s="13" t="s">
        <v>78</v>
      </c>
      <c r="D15" s="14">
        <v>42910</v>
      </c>
      <c r="E15" s="14">
        <v>42906</v>
      </c>
      <c r="F15" s="14">
        <v>42968</v>
      </c>
      <c r="G15" s="14">
        <v>43140</v>
      </c>
      <c r="H15" s="14">
        <v>43405</v>
      </c>
      <c r="I15" s="14">
        <v>43521</v>
      </c>
      <c r="J15" s="14">
        <v>43723</v>
      </c>
      <c r="K15" s="14">
        <v>43990</v>
      </c>
      <c r="L15" s="14">
        <v>44154</v>
      </c>
      <c r="M15" s="14">
        <v>44184</v>
      </c>
      <c r="N15" s="14">
        <v>44332</v>
      </c>
      <c r="O15" s="14">
        <v>44564</v>
      </c>
      <c r="P15" s="14">
        <v>44864</v>
      </c>
      <c r="Q15" s="14">
        <v>45281</v>
      </c>
      <c r="R15" s="14">
        <v>45678</v>
      </c>
      <c r="S15" s="14">
        <v>46026</v>
      </c>
      <c r="T15" s="14">
        <v>46430</v>
      </c>
      <c r="U15" s="14">
        <v>46721</v>
      </c>
      <c r="V15" s="14">
        <v>46986</v>
      </c>
      <c r="W15" s="14">
        <v>47251</v>
      </c>
      <c r="X15" s="14">
        <v>47549</v>
      </c>
      <c r="Y15" s="14">
        <v>47934</v>
      </c>
      <c r="Z15" s="14">
        <v>48165</v>
      </c>
      <c r="AA15" s="14">
        <v>48273</v>
      </c>
      <c r="AB15" s="14">
        <v>48397</v>
      </c>
      <c r="AC15" s="28">
        <v>124</v>
      </c>
      <c r="AD15" s="29">
        <v>0.25687237171918564</v>
      </c>
      <c r="AE15" s="28">
        <v>2719</v>
      </c>
      <c r="AF15" s="29">
        <v>5.9525373265029158</v>
      </c>
      <c r="AG15" s="28">
        <v>4992</v>
      </c>
      <c r="AH15" s="29">
        <v>11.500979149867518</v>
      </c>
    </row>
    <row r="16" spans="1:34" x14ac:dyDescent="0.35">
      <c r="A16" s="3" t="s">
        <v>97</v>
      </c>
      <c r="B16" s="13" t="s">
        <v>98</v>
      </c>
      <c r="C16" s="13" t="s">
        <v>78</v>
      </c>
      <c r="D16" s="14">
        <v>39712</v>
      </c>
      <c r="E16" s="14">
        <v>40105</v>
      </c>
      <c r="F16" s="14">
        <v>40561</v>
      </c>
      <c r="G16" s="14">
        <v>40957</v>
      </c>
      <c r="H16" s="14">
        <v>41441</v>
      </c>
      <c r="I16" s="14">
        <v>42145</v>
      </c>
      <c r="J16" s="14">
        <v>42949</v>
      </c>
      <c r="K16" s="14">
        <v>43749</v>
      </c>
      <c r="L16" s="14">
        <v>44175</v>
      </c>
      <c r="M16" s="14">
        <v>44544</v>
      </c>
      <c r="N16" s="14">
        <v>44967</v>
      </c>
      <c r="O16" s="14">
        <v>45364</v>
      </c>
      <c r="P16" s="14">
        <v>45613</v>
      </c>
      <c r="Q16" s="14">
        <v>45968</v>
      </c>
      <c r="R16" s="14">
        <v>46332</v>
      </c>
      <c r="S16" s="14">
        <v>46672</v>
      </c>
      <c r="T16" s="14">
        <v>47407</v>
      </c>
      <c r="U16" s="14">
        <v>48055</v>
      </c>
      <c r="V16" s="14">
        <v>48851</v>
      </c>
      <c r="W16" s="14">
        <v>49642</v>
      </c>
      <c r="X16" s="14">
        <v>50641</v>
      </c>
      <c r="Y16" s="14">
        <v>51409</v>
      </c>
      <c r="Z16" s="14">
        <v>52327</v>
      </c>
      <c r="AA16" s="14">
        <v>53502</v>
      </c>
      <c r="AB16" s="14">
        <v>54314</v>
      </c>
      <c r="AC16" s="28">
        <v>812</v>
      </c>
      <c r="AD16" s="29">
        <v>1.5177002728870015</v>
      </c>
      <c r="AE16" s="28">
        <v>7982</v>
      </c>
      <c r="AF16" s="29">
        <v>17.227833894500556</v>
      </c>
      <c r="AG16" s="28">
        <v>12873</v>
      </c>
      <c r="AH16" s="29">
        <v>31.063439588813011</v>
      </c>
    </row>
    <row r="17" spans="1:34" x14ac:dyDescent="0.35">
      <c r="A17" s="3" t="s">
        <v>99</v>
      </c>
      <c r="B17" s="13" t="s">
        <v>100</v>
      </c>
      <c r="C17" s="13" t="s">
        <v>78</v>
      </c>
      <c r="D17" s="14">
        <v>36039</v>
      </c>
      <c r="E17" s="14">
        <v>36346</v>
      </c>
      <c r="F17" s="14">
        <v>36445</v>
      </c>
      <c r="G17" s="14">
        <v>36671</v>
      </c>
      <c r="H17" s="14">
        <v>36728</v>
      </c>
      <c r="I17" s="14">
        <v>36781</v>
      </c>
      <c r="J17" s="14">
        <v>36659</v>
      </c>
      <c r="K17" s="14">
        <v>36751</v>
      </c>
      <c r="L17" s="14">
        <v>36890</v>
      </c>
      <c r="M17" s="14">
        <v>37063</v>
      </c>
      <c r="N17" s="14">
        <v>37231</v>
      </c>
      <c r="O17" s="14">
        <v>37448</v>
      </c>
      <c r="P17" s="14">
        <v>37639</v>
      </c>
      <c r="Q17" s="14">
        <v>37852</v>
      </c>
      <c r="R17" s="14">
        <v>38061</v>
      </c>
      <c r="S17" s="14">
        <v>38389</v>
      </c>
      <c r="T17" s="14">
        <v>38677</v>
      </c>
      <c r="U17" s="14">
        <v>38902</v>
      </c>
      <c r="V17" s="14">
        <v>39144</v>
      </c>
      <c r="W17" s="14">
        <v>39453</v>
      </c>
      <c r="X17" s="14">
        <v>39909</v>
      </c>
      <c r="Y17" s="14">
        <v>40507</v>
      </c>
      <c r="Z17" s="14">
        <v>40849</v>
      </c>
      <c r="AA17" s="14">
        <v>41063</v>
      </c>
      <c r="AB17" s="14">
        <v>41304</v>
      </c>
      <c r="AC17" s="28">
        <v>241</v>
      </c>
      <c r="AD17" s="29">
        <v>0.58690305140880472</v>
      </c>
      <c r="AE17" s="28">
        <v>3243</v>
      </c>
      <c r="AF17" s="29">
        <v>8.5205328288799453</v>
      </c>
      <c r="AG17" s="28">
        <v>4576</v>
      </c>
      <c r="AH17" s="29">
        <v>12.459159224569817</v>
      </c>
    </row>
    <row r="18" spans="1:34" x14ac:dyDescent="0.35">
      <c r="A18" s="3" t="s">
        <v>101</v>
      </c>
      <c r="B18" s="13" t="s">
        <v>102</v>
      </c>
      <c r="C18" s="13" t="s">
        <v>78</v>
      </c>
      <c r="D18" s="14">
        <v>64625</v>
      </c>
      <c r="E18" s="14">
        <v>65433</v>
      </c>
      <c r="F18" s="14">
        <v>66478</v>
      </c>
      <c r="G18" s="14">
        <v>67444</v>
      </c>
      <c r="H18" s="14">
        <v>68295</v>
      </c>
      <c r="I18" s="14">
        <v>68911</v>
      </c>
      <c r="J18" s="14">
        <v>69543</v>
      </c>
      <c r="K18" s="14">
        <v>70040</v>
      </c>
      <c r="L18" s="14">
        <v>70533</v>
      </c>
      <c r="M18" s="14">
        <v>71010</v>
      </c>
      <c r="N18" s="14">
        <v>71303</v>
      </c>
      <c r="O18" s="14">
        <v>71742</v>
      </c>
      <c r="P18" s="14">
        <v>72128</v>
      </c>
      <c r="Q18" s="14">
        <v>72624</v>
      </c>
      <c r="R18" s="14">
        <v>73290</v>
      </c>
      <c r="S18" s="14">
        <v>73767</v>
      </c>
      <c r="T18" s="14">
        <v>74361</v>
      </c>
      <c r="U18" s="14">
        <v>74826</v>
      </c>
      <c r="V18" s="14">
        <v>75226</v>
      </c>
      <c r="W18" s="14">
        <v>75595</v>
      </c>
      <c r="X18" s="14">
        <v>75942</v>
      </c>
      <c r="Y18" s="14">
        <v>76359</v>
      </c>
      <c r="Z18" s="14">
        <v>76689</v>
      </c>
      <c r="AA18" s="14">
        <v>76942</v>
      </c>
      <c r="AB18" s="14">
        <v>77222</v>
      </c>
      <c r="AC18" s="28">
        <v>280</v>
      </c>
      <c r="AD18" s="29">
        <v>0.36391047802240006</v>
      </c>
      <c r="AE18" s="28">
        <v>3932</v>
      </c>
      <c r="AF18" s="29">
        <v>5.3649884022376915</v>
      </c>
      <c r="AG18" s="28">
        <v>8927</v>
      </c>
      <c r="AH18" s="29">
        <v>13.0712350830954</v>
      </c>
    </row>
    <row r="19" spans="1:34" x14ac:dyDescent="0.35">
      <c r="A19" s="3" t="s">
        <v>103</v>
      </c>
      <c r="B19" s="13" t="s">
        <v>104</v>
      </c>
      <c r="C19" s="13" t="s">
        <v>78</v>
      </c>
      <c r="D19" s="14">
        <v>157349</v>
      </c>
      <c r="E19" s="14">
        <v>158711</v>
      </c>
      <c r="F19" s="14">
        <v>160268</v>
      </c>
      <c r="G19" s="14">
        <v>161694</v>
      </c>
      <c r="H19" s="14">
        <v>163313</v>
      </c>
      <c r="I19" s="14">
        <v>164592</v>
      </c>
      <c r="J19" s="14">
        <v>166085</v>
      </c>
      <c r="K19" s="14">
        <v>167661</v>
      </c>
      <c r="L19" s="14">
        <v>168677</v>
      </c>
      <c r="M19" s="14">
        <v>169435</v>
      </c>
      <c r="N19" s="14">
        <v>170169</v>
      </c>
      <c r="O19" s="14">
        <v>170881</v>
      </c>
      <c r="P19" s="14">
        <v>171560</v>
      </c>
      <c r="Q19" s="14">
        <v>172425</v>
      </c>
      <c r="R19" s="14">
        <v>173366</v>
      </c>
      <c r="S19" s="14">
        <v>174528</v>
      </c>
      <c r="T19" s="14">
        <v>175915</v>
      </c>
      <c r="U19" s="14">
        <v>177084</v>
      </c>
      <c r="V19" s="14">
        <v>178183</v>
      </c>
      <c r="W19" s="14">
        <v>179232</v>
      </c>
      <c r="X19" s="14">
        <v>180234</v>
      </c>
      <c r="Y19" s="14">
        <v>181405</v>
      </c>
      <c r="Z19" s="14">
        <v>182775</v>
      </c>
      <c r="AA19" s="14">
        <v>183686</v>
      </c>
      <c r="AB19" s="14">
        <v>184628</v>
      </c>
      <c r="AC19" s="28">
        <v>942</v>
      </c>
      <c r="AD19" s="29">
        <v>0.51283168014981673</v>
      </c>
      <c r="AE19" s="28">
        <v>11262</v>
      </c>
      <c r="AF19" s="29">
        <v>6.4960834304304216</v>
      </c>
      <c r="AG19" s="28">
        <v>21315</v>
      </c>
      <c r="AH19" s="29">
        <v>13.05162479410702</v>
      </c>
    </row>
    <row r="20" spans="1:34" x14ac:dyDescent="0.35">
      <c r="A20" s="3" t="s">
        <v>143</v>
      </c>
      <c r="B20" s="13" t="s">
        <v>106</v>
      </c>
      <c r="C20" s="13" t="s">
        <v>78</v>
      </c>
      <c r="D20" s="14">
        <v>288462</v>
      </c>
      <c r="E20" s="14">
        <v>289157</v>
      </c>
      <c r="F20" s="14">
        <v>290740</v>
      </c>
      <c r="G20" s="14">
        <v>293075</v>
      </c>
      <c r="H20" s="14">
        <v>294819</v>
      </c>
      <c r="I20" s="14">
        <v>295295</v>
      </c>
      <c r="J20" s="14">
        <v>298831</v>
      </c>
      <c r="K20" s="14">
        <v>299941</v>
      </c>
      <c r="L20" s="14">
        <v>299915</v>
      </c>
      <c r="M20" s="14">
        <v>299160</v>
      </c>
      <c r="N20" s="14">
        <v>299881</v>
      </c>
      <c r="O20" s="14">
        <v>301513</v>
      </c>
      <c r="P20" s="14">
        <v>301633</v>
      </c>
      <c r="Q20" s="14">
        <v>301891</v>
      </c>
      <c r="R20" s="14">
        <v>304013</v>
      </c>
      <c r="S20" s="14">
        <v>306000</v>
      </c>
      <c r="T20" s="14">
        <v>308293</v>
      </c>
      <c r="U20" s="14">
        <v>311447</v>
      </c>
      <c r="V20" s="14">
        <v>314604</v>
      </c>
      <c r="W20" s="14">
        <v>317193</v>
      </c>
      <c r="X20" s="14">
        <v>319810</v>
      </c>
      <c r="Y20" s="14">
        <v>322238</v>
      </c>
      <c r="Z20" s="14">
        <v>324431</v>
      </c>
      <c r="AA20" s="14">
        <v>327869</v>
      </c>
      <c r="AB20" s="14">
        <v>329581</v>
      </c>
      <c r="AC20" s="28">
        <v>1712</v>
      </c>
      <c r="AD20" s="29">
        <v>0.52215976502809625</v>
      </c>
      <c r="AE20" s="28">
        <v>25568</v>
      </c>
      <c r="AF20" s="29">
        <v>8.4101666705042266</v>
      </c>
      <c r="AG20" s="28">
        <v>34762</v>
      </c>
      <c r="AH20" s="29">
        <v>11.790963268988763</v>
      </c>
    </row>
    <row r="21" spans="1:34" x14ac:dyDescent="0.35">
      <c r="A21" s="3" t="s">
        <v>107</v>
      </c>
      <c r="B21" s="13" t="s">
        <v>108</v>
      </c>
      <c r="C21" s="13" t="s">
        <v>78</v>
      </c>
      <c r="D21" s="14">
        <v>98398</v>
      </c>
      <c r="E21" s="14">
        <v>99712</v>
      </c>
      <c r="F21" s="14">
        <v>101017</v>
      </c>
      <c r="G21" s="14">
        <v>102481</v>
      </c>
      <c r="H21" s="14">
        <v>103940</v>
      </c>
      <c r="I21" s="14">
        <v>105049</v>
      </c>
      <c r="J21" s="14">
        <v>106918</v>
      </c>
      <c r="K21" s="14">
        <v>108438</v>
      </c>
      <c r="L21" s="14">
        <v>109617</v>
      </c>
      <c r="M21" s="14">
        <v>110788</v>
      </c>
      <c r="N21" s="14">
        <v>111830</v>
      </c>
      <c r="O21" s="14">
        <v>112812</v>
      </c>
      <c r="P21" s="14">
        <v>113703</v>
      </c>
      <c r="Q21" s="14">
        <v>114603</v>
      </c>
      <c r="R21" s="14">
        <v>115538</v>
      </c>
      <c r="S21" s="14">
        <v>116453</v>
      </c>
      <c r="T21" s="14">
        <v>117291</v>
      </c>
      <c r="U21" s="14">
        <v>118117</v>
      </c>
      <c r="V21" s="14">
        <v>119061</v>
      </c>
      <c r="W21" s="14">
        <v>119918</v>
      </c>
      <c r="X21" s="14">
        <v>120785</v>
      </c>
      <c r="Y21" s="14">
        <v>122235</v>
      </c>
      <c r="Z21" s="14">
        <v>123568</v>
      </c>
      <c r="AA21" s="14">
        <v>124812</v>
      </c>
      <c r="AB21" s="14">
        <v>125736</v>
      </c>
      <c r="AC21" s="28">
        <v>924</v>
      </c>
      <c r="AD21" s="29">
        <v>0.74031343140081862</v>
      </c>
      <c r="AE21" s="28">
        <v>10198</v>
      </c>
      <c r="AF21" s="29">
        <v>8.8265332617839967</v>
      </c>
      <c r="AG21" s="28">
        <v>21796</v>
      </c>
      <c r="AH21" s="29">
        <v>20.969790263613632</v>
      </c>
    </row>
    <row r="22" spans="1:34" x14ac:dyDescent="0.35">
      <c r="A22" s="3" t="s">
        <v>109</v>
      </c>
      <c r="B22" s="13" t="s">
        <v>110</v>
      </c>
      <c r="C22" s="13" t="s">
        <v>78</v>
      </c>
      <c r="D22" s="14">
        <v>39204</v>
      </c>
      <c r="E22" s="14">
        <v>39290</v>
      </c>
      <c r="F22" s="14">
        <v>39453</v>
      </c>
      <c r="G22" s="14">
        <v>39659</v>
      </c>
      <c r="H22" s="14">
        <v>39376</v>
      </c>
      <c r="I22" s="14">
        <v>39136</v>
      </c>
      <c r="J22" s="14">
        <v>39174</v>
      </c>
      <c r="K22" s="14">
        <v>39285</v>
      </c>
      <c r="L22" s="14">
        <v>39299</v>
      </c>
      <c r="M22" s="14">
        <v>39377</v>
      </c>
      <c r="N22" s="14">
        <v>39457</v>
      </c>
      <c r="O22" s="14">
        <v>39590</v>
      </c>
      <c r="P22" s="14">
        <v>38791</v>
      </c>
      <c r="Q22" s="14">
        <v>38699</v>
      </c>
      <c r="R22" s="14">
        <v>38787</v>
      </c>
      <c r="S22" s="14">
        <v>38835</v>
      </c>
      <c r="T22" s="14">
        <v>38848</v>
      </c>
      <c r="U22" s="14">
        <v>38985</v>
      </c>
      <c r="V22" s="14">
        <v>38977</v>
      </c>
      <c r="W22" s="14">
        <v>39107</v>
      </c>
      <c r="X22" s="14">
        <v>39446</v>
      </c>
      <c r="Y22" s="14">
        <v>39776</v>
      </c>
      <c r="Z22" s="14">
        <v>39913</v>
      </c>
      <c r="AA22" s="14">
        <v>39926</v>
      </c>
      <c r="AB22" s="14">
        <v>39788</v>
      </c>
      <c r="AC22" s="28">
        <v>-138</v>
      </c>
      <c r="AD22" s="29">
        <v>-0.34563943295096156</v>
      </c>
      <c r="AE22" s="28">
        <v>1001</v>
      </c>
      <c r="AF22" s="29">
        <v>2.580761595379899</v>
      </c>
      <c r="AG22" s="28">
        <v>412</v>
      </c>
      <c r="AH22" s="29">
        <v>1.0463226330759801</v>
      </c>
    </row>
    <row r="23" spans="1:34" x14ac:dyDescent="0.35">
      <c r="A23" s="3" t="s">
        <v>111</v>
      </c>
      <c r="B23" s="13" t="s">
        <v>112</v>
      </c>
      <c r="C23" s="13" t="s">
        <v>78</v>
      </c>
      <c r="D23" s="14">
        <v>33285</v>
      </c>
      <c r="E23" s="14">
        <v>33350</v>
      </c>
      <c r="F23" s="14">
        <v>33500</v>
      </c>
      <c r="G23" s="14">
        <v>33669</v>
      </c>
      <c r="H23" s="14">
        <v>33795</v>
      </c>
      <c r="I23" s="14">
        <v>34144</v>
      </c>
      <c r="J23" s="14">
        <v>34408</v>
      </c>
      <c r="K23" s="14">
        <v>34840</v>
      </c>
      <c r="L23" s="14">
        <v>35605</v>
      </c>
      <c r="M23" s="14">
        <v>35986</v>
      </c>
      <c r="N23" s="14">
        <v>36434</v>
      </c>
      <c r="O23" s="14">
        <v>37051</v>
      </c>
      <c r="P23" s="14">
        <v>37503</v>
      </c>
      <c r="Q23" s="14">
        <v>38159</v>
      </c>
      <c r="R23" s="14">
        <v>38675</v>
      </c>
      <c r="S23" s="14">
        <v>39297</v>
      </c>
      <c r="T23" s="14">
        <v>39937</v>
      </c>
      <c r="U23" s="14">
        <v>40612</v>
      </c>
      <c r="V23" s="14">
        <v>41226</v>
      </c>
      <c r="W23" s="14">
        <v>41657</v>
      </c>
      <c r="X23" s="14">
        <v>42492</v>
      </c>
      <c r="Y23" s="14">
        <v>43231</v>
      </c>
      <c r="Z23" s="14">
        <v>44052</v>
      </c>
      <c r="AA23" s="14">
        <v>44858</v>
      </c>
      <c r="AB23" s="14">
        <v>45527</v>
      </c>
      <c r="AC23" s="28">
        <v>669</v>
      </c>
      <c r="AD23" s="29">
        <v>1.4913727763163687</v>
      </c>
      <c r="AE23" s="28">
        <v>6852</v>
      </c>
      <c r="AF23" s="29">
        <v>17.716871363930188</v>
      </c>
      <c r="AG23" s="28">
        <v>11732</v>
      </c>
      <c r="AH23" s="29">
        <v>34.715194555407614</v>
      </c>
    </row>
    <row r="24" spans="1:34" x14ac:dyDescent="0.35">
      <c r="A24" s="3" t="s">
        <v>113</v>
      </c>
      <c r="B24" s="13" t="s">
        <v>114</v>
      </c>
      <c r="C24" s="13" t="s">
        <v>78</v>
      </c>
      <c r="D24" s="14">
        <v>38861</v>
      </c>
      <c r="E24" s="14">
        <v>39123</v>
      </c>
      <c r="F24" s="14">
        <v>39416</v>
      </c>
      <c r="G24" s="14">
        <v>39774</v>
      </c>
      <c r="H24" s="14">
        <v>40179</v>
      </c>
      <c r="I24" s="14">
        <v>40607</v>
      </c>
      <c r="J24" s="14">
        <v>41172</v>
      </c>
      <c r="K24" s="14">
        <v>41544</v>
      </c>
      <c r="L24" s="14">
        <v>41981</v>
      </c>
      <c r="M24" s="14">
        <v>42241</v>
      </c>
      <c r="N24" s="14">
        <v>42699</v>
      </c>
      <c r="O24" s="14">
        <v>43139</v>
      </c>
      <c r="P24" s="14">
        <v>43495</v>
      </c>
      <c r="Q24" s="14">
        <v>43788</v>
      </c>
      <c r="R24" s="14">
        <v>44096</v>
      </c>
      <c r="S24" s="14">
        <v>44454</v>
      </c>
      <c r="T24" s="14">
        <v>44838</v>
      </c>
      <c r="U24" s="14">
        <v>45209</v>
      </c>
      <c r="V24" s="14">
        <v>45630</v>
      </c>
      <c r="W24" s="14">
        <v>45838</v>
      </c>
      <c r="X24" s="14">
        <v>46166</v>
      </c>
      <c r="Y24" s="14">
        <v>46585</v>
      </c>
      <c r="Z24" s="14">
        <v>47060</v>
      </c>
      <c r="AA24" s="14">
        <v>47471</v>
      </c>
      <c r="AB24" s="14">
        <v>47804</v>
      </c>
      <c r="AC24" s="28">
        <v>333</v>
      </c>
      <c r="AD24" s="29">
        <v>0.70148090413093556</v>
      </c>
      <c r="AE24" s="28">
        <v>3708</v>
      </c>
      <c r="AF24" s="29">
        <v>8.4089259796807028</v>
      </c>
      <c r="AG24" s="28">
        <v>7625</v>
      </c>
      <c r="AH24" s="29">
        <v>18.977575350307376</v>
      </c>
    </row>
    <row r="25" spans="1:34" x14ac:dyDescent="0.35">
      <c r="A25" s="3" t="s">
        <v>115</v>
      </c>
      <c r="B25" s="13" t="s">
        <v>116</v>
      </c>
      <c r="C25" s="13" t="s">
        <v>78</v>
      </c>
      <c r="D25" s="14">
        <v>13462</v>
      </c>
      <c r="E25" s="14">
        <v>13522</v>
      </c>
      <c r="F25" s="14">
        <v>13630</v>
      </c>
      <c r="G25" s="14">
        <v>13682</v>
      </c>
      <c r="H25" s="14">
        <v>13676</v>
      </c>
      <c r="I25" s="14">
        <v>13759</v>
      </c>
      <c r="J25" s="14">
        <v>13893</v>
      </c>
      <c r="K25" s="14">
        <v>14006</v>
      </c>
      <c r="L25" s="14">
        <v>14101</v>
      </c>
      <c r="M25" s="14">
        <v>14258</v>
      </c>
      <c r="N25" s="14">
        <v>14396</v>
      </c>
      <c r="O25" s="14">
        <v>14458</v>
      </c>
      <c r="P25" s="14">
        <v>14490</v>
      </c>
      <c r="Q25" s="14">
        <v>14520</v>
      </c>
      <c r="R25" s="14">
        <v>14577</v>
      </c>
      <c r="S25" s="14">
        <v>14599</v>
      </c>
      <c r="T25" s="14">
        <v>14714</v>
      </c>
      <c r="U25" s="14">
        <v>14706</v>
      </c>
      <c r="V25" s="14">
        <v>14734</v>
      </c>
      <c r="W25" s="14">
        <v>14764</v>
      </c>
      <c r="X25" s="14">
        <v>14856</v>
      </c>
      <c r="Y25" s="14">
        <v>14975</v>
      </c>
      <c r="Z25" s="14">
        <v>15097</v>
      </c>
      <c r="AA25" s="14">
        <v>15254</v>
      </c>
      <c r="AB25" s="14">
        <v>15353</v>
      </c>
      <c r="AC25" s="28">
        <v>99</v>
      </c>
      <c r="AD25" s="29">
        <v>0.64901009571260992</v>
      </c>
      <c r="AE25" s="28">
        <v>776</v>
      </c>
      <c r="AF25" s="29">
        <v>5.3234547574946944</v>
      </c>
      <c r="AG25" s="28">
        <v>1677</v>
      </c>
      <c r="AH25" s="29">
        <v>12.262357414448676</v>
      </c>
    </row>
    <row r="26" spans="1:34" x14ac:dyDescent="0.35">
      <c r="A26" s="3" t="s">
        <v>117</v>
      </c>
      <c r="B26" s="13" t="s">
        <v>118</v>
      </c>
      <c r="C26" s="13" t="s">
        <v>78</v>
      </c>
      <c r="D26" s="14">
        <v>62321</v>
      </c>
      <c r="E26" s="14">
        <v>62809</v>
      </c>
      <c r="F26" s="14">
        <v>63195</v>
      </c>
      <c r="G26" s="14">
        <v>63697</v>
      </c>
      <c r="H26" s="14">
        <v>64130</v>
      </c>
      <c r="I26" s="14">
        <v>64609</v>
      </c>
      <c r="J26" s="14">
        <v>65270</v>
      </c>
      <c r="K26" s="14">
        <v>65913</v>
      </c>
      <c r="L26" s="14">
        <v>66204</v>
      </c>
      <c r="M26" s="14">
        <v>66461</v>
      </c>
      <c r="N26" s="14">
        <v>66648</v>
      </c>
      <c r="O26" s="14">
        <v>66888</v>
      </c>
      <c r="P26" s="14">
        <v>67082</v>
      </c>
      <c r="Q26" s="14">
        <v>67204</v>
      </c>
      <c r="R26" s="14">
        <v>67590</v>
      </c>
      <c r="S26" s="14">
        <v>67800</v>
      </c>
      <c r="T26" s="14">
        <v>67960</v>
      </c>
      <c r="U26" s="14">
        <v>68158</v>
      </c>
      <c r="V26" s="14">
        <v>68496</v>
      </c>
      <c r="W26" s="14">
        <v>68843</v>
      </c>
      <c r="X26" s="14">
        <v>69175</v>
      </c>
      <c r="Y26" s="14">
        <v>69747</v>
      </c>
      <c r="Z26" s="14">
        <v>70223</v>
      </c>
      <c r="AA26" s="14">
        <v>70256</v>
      </c>
      <c r="AB26" s="14">
        <v>70686</v>
      </c>
      <c r="AC26" s="28">
        <v>430</v>
      </c>
      <c r="AD26" s="29">
        <v>0.61204736961968376</v>
      </c>
      <c r="AE26" s="28">
        <v>3096</v>
      </c>
      <c r="AF26" s="29">
        <v>4.5805592543275653</v>
      </c>
      <c r="AG26" s="28">
        <v>6556</v>
      </c>
      <c r="AH26" s="29">
        <v>10.222984562607195</v>
      </c>
    </row>
    <row r="27" spans="1:34" x14ac:dyDescent="0.35">
      <c r="A27" s="3" t="s">
        <v>119</v>
      </c>
      <c r="B27" s="13" t="s">
        <v>120</v>
      </c>
      <c r="C27" s="13" t="s">
        <v>78</v>
      </c>
      <c r="D27" s="14">
        <v>136941</v>
      </c>
      <c r="E27" s="14">
        <v>138343</v>
      </c>
      <c r="F27" s="14">
        <v>139606</v>
      </c>
      <c r="G27" s="14">
        <v>140864</v>
      </c>
      <c r="H27" s="14">
        <v>142679</v>
      </c>
      <c r="I27" s="14">
        <v>144337</v>
      </c>
      <c r="J27" s="14">
        <v>145621</v>
      </c>
      <c r="K27" s="14">
        <v>146740</v>
      </c>
      <c r="L27" s="14">
        <v>147604</v>
      </c>
      <c r="M27" s="14">
        <v>148553</v>
      </c>
      <c r="N27" s="14">
        <v>149190</v>
      </c>
      <c r="O27" s="14">
        <v>149763</v>
      </c>
      <c r="P27" s="14">
        <v>150541</v>
      </c>
      <c r="Q27" s="14">
        <v>151424</v>
      </c>
      <c r="R27" s="14">
        <v>152293</v>
      </c>
      <c r="S27" s="14">
        <v>153388</v>
      </c>
      <c r="T27" s="14">
        <v>154286</v>
      </c>
      <c r="U27" s="14">
        <v>155364</v>
      </c>
      <c r="V27" s="14">
        <v>156694</v>
      </c>
      <c r="W27" s="14">
        <v>157625</v>
      </c>
      <c r="X27" s="14">
        <v>158456</v>
      </c>
      <c r="Y27" s="14">
        <v>159586</v>
      </c>
      <c r="Z27" s="14">
        <v>160560</v>
      </c>
      <c r="AA27" s="14">
        <v>161228</v>
      </c>
      <c r="AB27" s="14">
        <v>161718</v>
      </c>
      <c r="AC27" s="28">
        <v>490</v>
      </c>
      <c r="AD27" s="29">
        <v>0.3039174336963768</v>
      </c>
      <c r="AE27" s="28">
        <v>9425</v>
      </c>
      <c r="AF27" s="29">
        <v>6.1887283066194732</v>
      </c>
      <c r="AG27" s="28">
        <v>19039</v>
      </c>
      <c r="AH27" s="29">
        <v>13.343939893046631</v>
      </c>
    </row>
    <row r="28" spans="1:34" x14ac:dyDescent="0.35">
      <c r="A28" s="3" t="s">
        <v>121</v>
      </c>
      <c r="B28" s="13" t="s">
        <v>122</v>
      </c>
      <c r="C28" s="13" t="s">
        <v>78</v>
      </c>
      <c r="D28" s="14">
        <v>9237</v>
      </c>
      <c r="E28" s="14">
        <v>9354</v>
      </c>
      <c r="F28" s="14">
        <v>9423</v>
      </c>
      <c r="G28" s="14">
        <v>9548</v>
      </c>
      <c r="H28" s="14">
        <v>9642</v>
      </c>
      <c r="I28" s="14">
        <v>9726</v>
      </c>
      <c r="J28" s="14">
        <v>9880</v>
      </c>
      <c r="K28" s="14">
        <v>10039</v>
      </c>
      <c r="L28" s="14">
        <v>10190</v>
      </c>
      <c r="M28" s="14">
        <v>10265</v>
      </c>
      <c r="N28" s="14">
        <v>10438</v>
      </c>
      <c r="O28" s="14">
        <v>10613</v>
      </c>
      <c r="P28" s="14">
        <v>10717</v>
      </c>
      <c r="Q28" s="14">
        <v>10816</v>
      </c>
      <c r="R28" s="14">
        <v>10924</v>
      </c>
      <c r="S28" s="14">
        <v>11063</v>
      </c>
      <c r="T28" s="14">
        <v>11192</v>
      </c>
      <c r="U28" s="14">
        <v>11261</v>
      </c>
      <c r="V28" s="14">
        <v>11322</v>
      </c>
      <c r="W28" s="14">
        <v>11391</v>
      </c>
      <c r="X28" s="14">
        <v>11475</v>
      </c>
      <c r="Y28" s="14">
        <v>11618</v>
      </c>
      <c r="Z28" s="14">
        <v>11719</v>
      </c>
      <c r="AA28" s="14">
        <v>11833</v>
      </c>
      <c r="AB28" s="14">
        <v>11896</v>
      </c>
      <c r="AC28" s="28">
        <v>63</v>
      </c>
      <c r="AD28" s="29">
        <v>0.53240936364404856</v>
      </c>
      <c r="AE28" s="28">
        <v>972</v>
      </c>
      <c r="AF28" s="29">
        <v>8.8978396191871099</v>
      </c>
      <c r="AG28" s="28">
        <v>2254</v>
      </c>
      <c r="AH28" s="29">
        <v>23.376892760838007</v>
      </c>
    </row>
    <row r="29" spans="1:34" x14ac:dyDescent="0.35">
      <c r="A29" s="3" t="s">
        <v>123</v>
      </c>
      <c r="B29" s="13" t="s">
        <v>124</v>
      </c>
      <c r="C29" s="13" t="s">
        <v>78</v>
      </c>
      <c r="D29" s="14">
        <v>62573</v>
      </c>
      <c r="E29" s="14">
        <v>63270</v>
      </c>
      <c r="F29" s="14">
        <v>64139</v>
      </c>
      <c r="G29" s="14">
        <v>65021</v>
      </c>
      <c r="H29" s="14">
        <v>65608</v>
      </c>
      <c r="I29" s="14">
        <v>66252</v>
      </c>
      <c r="J29" s="14">
        <v>67010</v>
      </c>
      <c r="K29" s="14">
        <v>67896</v>
      </c>
      <c r="L29" s="14">
        <v>68349</v>
      </c>
      <c r="M29" s="14">
        <v>68788</v>
      </c>
      <c r="N29" s="14">
        <v>69236</v>
      </c>
      <c r="O29" s="14">
        <v>69618</v>
      </c>
      <c r="P29" s="14">
        <v>69923</v>
      </c>
      <c r="Q29" s="14">
        <v>70312</v>
      </c>
      <c r="R29" s="14">
        <v>70828</v>
      </c>
      <c r="S29" s="14">
        <v>71347</v>
      </c>
      <c r="T29" s="14">
        <v>71810</v>
      </c>
      <c r="U29" s="14">
        <v>72441</v>
      </c>
      <c r="V29" s="14">
        <v>73267</v>
      </c>
      <c r="W29" s="14">
        <v>73775</v>
      </c>
      <c r="X29" s="14">
        <v>74589</v>
      </c>
      <c r="Y29" s="14">
        <v>75321</v>
      </c>
      <c r="Z29" s="14">
        <v>76136</v>
      </c>
      <c r="AA29" s="14">
        <v>76762</v>
      </c>
      <c r="AB29" s="14">
        <v>77337</v>
      </c>
      <c r="AC29" s="28">
        <v>575</v>
      </c>
      <c r="AD29" s="29">
        <v>0.74906854954275293</v>
      </c>
      <c r="AE29" s="28">
        <v>6509</v>
      </c>
      <c r="AF29" s="29">
        <v>9.1898684136217277</v>
      </c>
      <c r="AG29" s="28">
        <v>11729</v>
      </c>
      <c r="AH29" s="29">
        <v>17.877393000853559</v>
      </c>
    </row>
    <row r="30" spans="1:34" x14ac:dyDescent="0.35">
      <c r="A30" s="3" t="s">
        <v>125</v>
      </c>
      <c r="B30" s="13" t="s">
        <v>126</v>
      </c>
      <c r="C30" s="13" t="s">
        <v>78</v>
      </c>
      <c r="D30" s="14">
        <v>80747</v>
      </c>
      <c r="E30" s="14">
        <v>80781</v>
      </c>
      <c r="F30" s="14">
        <v>80580</v>
      </c>
      <c r="G30" s="14">
        <v>80579</v>
      </c>
      <c r="H30" s="14">
        <v>80632</v>
      </c>
      <c r="I30" s="14">
        <v>81020</v>
      </c>
      <c r="J30" s="14">
        <v>81749</v>
      </c>
      <c r="K30" s="14">
        <v>82059</v>
      </c>
      <c r="L30" s="14">
        <v>82663</v>
      </c>
      <c r="M30" s="14">
        <v>82760</v>
      </c>
      <c r="N30" s="14">
        <v>82944</v>
      </c>
      <c r="O30" s="14">
        <v>83166</v>
      </c>
      <c r="P30" s="14">
        <v>83933</v>
      </c>
      <c r="Q30" s="14">
        <v>84442</v>
      </c>
      <c r="R30" s="14">
        <v>84997</v>
      </c>
      <c r="S30" s="14">
        <v>85724</v>
      </c>
      <c r="T30" s="14">
        <v>86449</v>
      </c>
      <c r="U30" s="14">
        <v>87265</v>
      </c>
      <c r="V30" s="14">
        <v>88086</v>
      </c>
      <c r="W30" s="14">
        <v>88624</v>
      </c>
      <c r="X30" s="14">
        <v>89571</v>
      </c>
      <c r="Y30" s="14">
        <v>90485</v>
      </c>
      <c r="Z30" s="14">
        <v>91192</v>
      </c>
      <c r="AA30" s="14">
        <v>91736</v>
      </c>
      <c r="AB30" s="14">
        <v>91995</v>
      </c>
      <c r="AC30" s="28">
        <v>259</v>
      </c>
      <c r="AD30" s="29">
        <v>0.28233190895614602</v>
      </c>
      <c r="AE30" s="28">
        <v>6998</v>
      </c>
      <c r="AF30" s="29">
        <v>8.2332317611209849</v>
      </c>
      <c r="AG30" s="28">
        <v>11363</v>
      </c>
      <c r="AH30" s="29">
        <v>14.09241988292489</v>
      </c>
    </row>
    <row r="31" spans="1:34" x14ac:dyDescent="0.35">
      <c r="A31" s="3" t="s">
        <v>127</v>
      </c>
      <c r="B31" s="13" t="s">
        <v>128</v>
      </c>
      <c r="C31" s="13" t="s">
        <v>78</v>
      </c>
      <c r="D31" s="14">
        <v>51279</v>
      </c>
      <c r="E31" s="14">
        <v>51803</v>
      </c>
      <c r="F31" s="14">
        <v>52327</v>
      </c>
      <c r="G31" s="14">
        <v>52833</v>
      </c>
      <c r="H31" s="14">
        <v>53252</v>
      </c>
      <c r="I31" s="14">
        <v>53912</v>
      </c>
      <c r="J31" s="14">
        <v>54588</v>
      </c>
      <c r="K31" s="14">
        <v>55179</v>
      </c>
      <c r="L31" s="14">
        <v>55666</v>
      </c>
      <c r="M31" s="14">
        <v>56129</v>
      </c>
      <c r="N31" s="14">
        <v>56530</v>
      </c>
      <c r="O31" s="14">
        <v>56765</v>
      </c>
      <c r="P31" s="14">
        <v>57097</v>
      </c>
      <c r="Q31" s="14">
        <v>57274</v>
      </c>
      <c r="R31" s="14">
        <v>57628</v>
      </c>
      <c r="S31" s="14">
        <v>57940</v>
      </c>
      <c r="T31" s="14">
        <v>58167</v>
      </c>
      <c r="U31" s="14">
        <v>58425</v>
      </c>
      <c r="V31" s="14">
        <v>58671</v>
      </c>
      <c r="W31" s="14">
        <v>58814</v>
      </c>
      <c r="X31" s="14">
        <v>59126</v>
      </c>
      <c r="Y31" s="14">
        <v>59557</v>
      </c>
      <c r="Z31" s="14">
        <v>59974</v>
      </c>
      <c r="AA31" s="14">
        <v>60064</v>
      </c>
      <c r="AB31" s="14">
        <v>60195</v>
      </c>
      <c r="AC31" s="28">
        <v>131</v>
      </c>
      <c r="AD31" s="29">
        <v>0.21810069259455833</v>
      </c>
      <c r="AE31" s="28">
        <v>2567</v>
      </c>
      <c r="AF31" s="29">
        <v>4.4544318733948707</v>
      </c>
      <c r="AG31" s="28">
        <v>6943</v>
      </c>
      <c r="AH31" s="29">
        <v>13.038007962142274</v>
      </c>
    </row>
    <row r="32" spans="1:34" x14ac:dyDescent="0.35">
      <c r="A32" s="3" t="s">
        <v>129</v>
      </c>
      <c r="B32" s="13" t="s">
        <v>130</v>
      </c>
      <c r="C32" s="13" t="s">
        <v>78</v>
      </c>
      <c r="D32" s="14">
        <v>9959</v>
      </c>
      <c r="E32" s="14">
        <v>10014</v>
      </c>
      <c r="F32" s="14">
        <v>10052</v>
      </c>
      <c r="G32" s="14">
        <v>10120</v>
      </c>
      <c r="H32" s="14">
        <v>10157</v>
      </c>
      <c r="I32" s="14">
        <v>10219</v>
      </c>
      <c r="J32" s="14">
        <v>10313</v>
      </c>
      <c r="K32" s="14">
        <v>10403</v>
      </c>
      <c r="L32" s="14">
        <v>10522</v>
      </c>
      <c r="M32" s="14">
        <v>10621</v>
      </c>
      <c r="N32" s="14">
        <v>10707</v>
      </c>
      <c r="O32" s="14">
        <v>10789</v>
      </c>
      <c r="P32" s="14">
        <v>10852</v>
      </c>
      <c r="Q32" s="14">
        <v>10950</v>
      </c>
      <c r="R32" s="14">
        <v>11021</v>
      </c>
      <c r="S32" s="14">
        <v>11109</v>
      </c>
      <c r="T32" s="14">
        <v>11180</v>
      </c>
      <c r="U32" s="14">
        <v>11270</v>
      </c>
      <c r="V32" s="14">
        <v>11305</v>
      </c>
      <c r="W32" s="14">
        <v>11374</v>
      </c>
      <c r="X32" s="14">
        <v>11462</v>
      </c>
      <c r="Y32" s="14">
        <v>11544</v>
      </c>
      <c r="Z32" s="14">
        <v>11629</v>
      </c>
      <c r="AA32" s="14">
        <v>11667</v>
      </c>
      <c r="AB32" s="14">
        <v>11702</v>
      </c>
      <c r="AC32" s="28">
        <v>35</v>
      </c>
      <c r="AD32" s="29">
        <v>0.29999142881631524</v>
      </c>
      <c r="AE32" s="28">
        <v>681</v>
      </c>
      <c r="AF32" s="29">
        <v>6.1791126032120447</v>
      </c>
      <c r="AG32" s="28">
        <v>1545</v>
      </c>
      <c r="AH32" s="29">
        <v>15.211184404843948</v>
      </c>
    </row>
    <row r="33" spans="1:34" x14ac:dyDescent="0.35">
      <c r="A33" s="3" t="s">
        <v>131</v>
      </c>
      <c r="B33" s="13" t="s">
        <v>132</v>
      </c>
      <c r="C33" s="13" t="s">
        <v>78</v>
      </c>
      <c r="D33" s="14">
        <v>50754</v>
      </c>
      <c r="E33" s="14">
        <v>51237</v>
      </c>
      <c r="F33" s="14">
        <v>51642</v>
      </c>
      <c r="G33" s="14">
        <v>52047</v>
      </c>
      <c r="H33" s="14">
        <v>52391</v>
      </c>
      <c r="I33" s="14">
        <v>52665</v>
      </c>
      <c r="J33" s="14">
        <v>53069</v>
      </c>
      <c r="K33" s="14">
        <v>53209</v>
      </c>
      <c r="L33" s="14">
        <v>53424</v>
      </c>
      <c r="M33" s="14">
        <v>53788</v>
      </c>
      <c r="N33" s="14">
        <v>53968</v>
      </c>
      <c r="O33" s="14">
        <v>54202</v>
      </c>
      <c r="P33" s="14">
        <v>54385</v>
      </c>
      <c r="Q33" s="14">
        <v>54489</v>
      </c>
      <c r="R33" s="14">
        <v>54635</v>
      </c>
      <c r="S33" s="14">
        <v>54942</v>
      </c>
      <c r="T33" s="14">
        <v>55252</v>
      </c>
      <c r="U33" s="14">
        <v>55486</v>
      </c>
      <c r="V33" s="14">
        <v>55668</v>
      </c>
      <c r="W33" s="14">
        <v>55793</v>
      </c>
      <c r="X33" s="14">
        <v>56016</v>
      </c>
      <c r="Y33" s="14">
        <v>56453</v>
      </c>
      <c r="Z33" s="14">
        <v>56697</v>
      </c>
      <c r="AA33" s="14">
        <v>56953</v>
      </c>
      <c r="AB33" s="14">
        <v>57312</v>
      </c>
      <c r="AC33" s="28">
        <v>359</v>
      </c>
      <c r="AD33" s="29">
        <v>0.63034431899988697</v>
      </c>
      <c r="AE33" s="28">
        <v>2677</v>
      </c>
      <c r="AF33" s="29">
        <v>4.899789512217434</v>
      </c>
      <c r="AG33" s="28">
        <v>4921</v>
      </c>
      <c r="AH33" s="29">
        <v>9.3928346471722222</v>
      </c>
    </row>
    <row r="34" spans="1:34" x14ac:dyDescent="0.35">
      <c r="A34" s="3" t="s">
        <v>133</v>
      </c>
      <c r="B34" s="13" t="s">
        <v>134</v>
      </c>
      <c r="C34" s="13" t="s">
        <v>78</v>
      </c>
      <c r="D34" s="14">
        <v>130836</v>
      </c>
      <c r="E34" s="14">
        <v>132464</v>
      </c>
      <c r="F34" s="14">
        <v>133822</v>
      </c>
      <c r="G34" s="14">
        <v>135488</v>
      </c>
      <c r="H34" s="14">
        <v>136862</v>
      </c>
      <c r="I34" s="14">
        <v>138527</v>
      </c>
      <c r="J34" s="14">
        <v>140112</v>
      </c>
      <c r="K34" s="14">
        <v>141534</v>
      </c>
      <c r="L34" s="14">
        <v>142594</v>
      </c>
      <c r="M34" s="14">
        <v>143470</v>
      </c>
      <c r="N34" s="14">
        <v>144386</v>
      </c>
      <c r="O34" s="14">
        <v>145257</v>
      </c>
      <c r="P34" s="14">
        <v>146110</v>
      </c>
      <c r="Q34" s="14">
        <v>146925</v>
      </c>
      <c r="R34" s="14">
        <v>147849</v>
      </c>
      <c r="S34" s="14">
        <v>148771</v>
      </c>
      <c r="T34" s="14">
        <v>149972</v>
      </c>
      <c r="U34" s="14">
        <v>151352</v>
      </c>
      <c r="V34" s="14">
        <v>152998</v>
      </c>
      <c r="W34" s="14">
        <v>153863</v>
      </c>
      <c r="X34" s="14">
        <v>155373</v>
      </c>
      <c r="Y34" s="14">
        <v>157277</v>
      </c>
      <c r="Z34" s="14">
        <v>158594</v>
      </c>
      <c r="AA34" s="14">
        <v>159662</v>
      </c>
      <c r="AB34" s="14">
        <v>160843</v>
      </c>
      <c r="AC34" s="28">
        <v>1181</v>
      </c>
      <c r="AD34" s="29">
        <v>0.73968759003395501</v>
      </c>
      <c r="AE34" s="28">
        <v>12994</v>
      </c>
      <c r="AF34" s="29">
        <v>8.7886965755602056</v>
      </c>
      <c r="AG34" s="28">
        <v>23981</v>
      </c>
      <c r="AH34" s="29">
        <v>17.522029489558832</v>
      </c>
    </row>
    <row r="35" spans="1:34" x14ac:dyDescent="0.35">
      <c r="A35" s="3" t="s">
        <v>135</v>
      </c>
      <c r="B35" s="13" t="s">
        <v>136</v>
      </c>
      <c r="C35" s="13" t="s">
        <v>78</v>
      </c>
      <c r="D35" s="14">
        <v>36835</v>
      </c>
      <c r="E35" s="14">
        <v>37167</v>
      </c>
      <c r="F35" s="14">
        <v>37566</v>
      </c>
      <c r="G35" s="14">
        <v>37815</v>
      </c>
      <c r="H35" s="14">
        <v>38198</v>
      </c>
      <c r="I35" s="14">
        <v>38316</v>
      </c>
      <c r="J35" s="14">
        <v>38582</v>
      </c>
      <c r="K35" s="14">
        <v>38984</v>
      </c>
      <c r="L35" s="14">
        <v>39091</v>
      </c>
      <c r="M35" s="14">
        <v>39246</v>
      </c>
      <c r="N35" s="14">
        <v>39509</v>
      </c>
      <c r="O35" s="14">
        <v>39798</v>
      </c>
      <c r="P35" s="14">
        <v>39965</v>
      </c>
      <c r="Q35" s="14">
        <v>40320</v>
      </c>
      <c r="R35" s="14">
        <v>40646</v>
      </c>
      <c r="S35" s="14">
        <v>40998</v>
      </c>
      <c r="T35" s="14">
        <v>41250</v>
      </c>
      <c r="U35" s="14">
        <v>41443</v>
      </c>
      <c r="V35" s="14">
        <v>41638</v>
      </c>
      <c r="W35" s="14">
        <v>41950</v>
      </c>
      <c r="X35" s="14">
        <v>42140</v>
      </c>
      <c r="Y35" s="14">
        <v>42644</v>
      </c>
      <c r="Z35" s="14">
        <v>42990</v>
      </c>
      <c r="AA35" s="14">
        <v>43214</v>
      </c>
      <c r="AB35" s="14">
        <v>43489</v>
      </c>
      <c r="AC35" s="28">
        <v>275</v>
      </c>
      <c r="AD35" s="29">
        <v>0.63636784375433741</v>
      </c>
      <c r="AE35" s="28">
        <v>2843</v>
      </c>
      <c r="AF35" s="29">
        <v>6.9945382079417362</v>
      </c>
      <c r="AG35" s="28">
        <v>5291</v>
      </c>
      <c r="AH35" s="29">
        <v>13.851510550290591</v>
      </c>
    </row>
    <row r="36" spans="1:34" x14ac:dyDescent="0.35">
      <c r="A36" s="3" t="s">
        <v>137</v>
      </c>
      <c r="B36" s="13" t="s">
        <v>138</v>
      </c>
      <c r="C36" s="13" t="s">
        <v>78</v>
      </c>
      <c r="D36" s="14">
        <v>43437</v>
      </c>
      <c r="E36" s="14">
        <v>43535</v>
      </c>
      <c r="F36" s="14">
        <v>43694</v>
      </c>
      <c r="G36" s="14">
        <v>43505</v>
      </c>
      <c r="H36" s="14">
        <v>43827</v>
      </c>
      <c r="I36" s="14">
        <v>43880</v>
      </c>
      <c r="J36" s="14">
        <v>43982</v>
      </c>
      <c r="K36" s="14">
        <v>44104</v>
      </c>
      <c r="L36" s="14">
        <v>44262</v>
      </c>
      <c r="M36" s="14">
        <v>44415</v>
      </c>
      <c r="N36" s="14">
        <v>44586</v>
      </c>
      <c r="O36" s="14">
        <v>44790</v>
      </c>
      <c r="P36" s="14">
        <v>44880</v>
      </c>
      <c r="Q36" s="14">
        <v>44734</v>
      </c>
      <c r="R36" s="14">
        <v>45056</v>
      </c>
      <c r="S36" s="14">
        <v>45104</v>
      </c>
      <c r="T36" s="14">
        <v>45093</v>
      </c>
      <c r="U36" s="14">
        <v>45228</v>
      </c>
      <c r="V36" s="14">
        <v>45357</v>
      </c>
      <c r="W36" s="14">
        <v>45148</v>
      </c>
      <c r="X36" s="14">
        <v>45607</v>
      </c>
      <c r="Y36" s="14">
        <v>45846</v>
      </c>
      <c r="Z36" s="14">
        <v>46068</v>
      </c>
      <c r="AA36" s="14">
        <v>46198</v>
      </c>
      <c r="AB36" s="14">
        <v>46216</v>
      </c>
      <c r="AC36" s="28">
        <v>18</v>
      </c>
      <c r="AD36" s="29">
        <v>3.8962725659108521E-2</v>
      </c>
      <c r="AE36" s="28">
        <v>1160</v>
      </c>
      <c r="AF36" s="29">
        <v>2.5745738636363535</v>
      </c>
      <c r="AG36" s="28">
        <v>2389</v>
      </c>
      <c r="AH36" s="29">
        <v>5.4509777078056931</v>
      </c>
    </row>
    <row r="37" spans="1:34" x14ac:dyDescent="0.35">
      <c r="A37" s="3" t="s">
        <v>139</v>
      </c>
      <c r="B37" s="13" t="s">
        <v>140</v>
      </c>
      <c r="C37" s="13" t="s">
        <v>78</v>
      </c>
      <c r="D37" s="14">
        <v>66327</v>
      </c>
      <c r="E37" s="14">
        <v>67166</v>
      </c>
      <c r="F37" s="14">
        <v>68332</v>
      </c>
      <c r="G37" s="14">
        <v>69504</v>
      </c>
      <c r="H37" s="14">
        <v>70754</v>
      </c>
      <c r="I37" s="14">
        <v>71770</v>
      </c>
      <c r="J37" s="14">
        <v>72981</v>
      </c>
      <c r="K37" s="14">
        <v>73948</v>
      </c>
      <c r="L37" s="14">
        <v>74397</v>
      </c>
      <c r="M37" s="14">
        <v>75123</v>
      </c>
      <c r="N37" s="14">
        <v>75397</v>
      </c>
      <c r="O37" s="14">
        <v>75729</v>
      </c>
      <c r="P37" s="14">
        <v>76473</v>
      </c>
      <c r="Q37" s="14">
        <v>77186</v>
      </c>
      <c r="R37" s="14">
        <v>77834</v>
      </c>
      <c r="S37" s="14">
        <v>78604</v>
      </c>
      <c r="T37" s="14">
        <v>79112</v>
      </c>
      <c r="U37" s="14">
        <v>79854</v>
      </c>
      <c r="V37" s="14">
        <v>80911</v>
      </c>
      <c r="W37" s="14">
        <v>81723</v>
      </c>
      <c r="X37" s="14">
        <v>82591</v>
      </c>
      <c r="Y37" s="14">
        <v>83624</v>
      </c>
      <c r="Z37" s="14">
        <v>84929</v>
      </c>
      <c r="AA37" s="14">
        <v>85453</v>
      </c>
      <c r="AB37" s="14">
        <v>86258</v>
      </c>
      <c r="AC37" s="28">
        <v>805</v>
      </c>
      <c r="AD37" s="29">
        <v>0.94203831345887057</v>
      </c>
      <c r="AE37" s="28">
        <v>8424</v>
      </c>
      <c r="AF37" s="29">
        <v>10.823033635686198</v>
      </c>
      <c r="AG37" s="28">
        <v>15504</v>
      </c>
      <c r="AH37" s="29">
        <v>21.912542047092742</v>
      </c>
    </row>
    <row r="38" spans="1:34" x14ac:dyDescent="0.3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7"/>
      <c r="AD38" s="15"/>
      <c r="AE38" s="17"/>
      <c r="AF38" s="15"/>
      <c r="AG38" s="17"/>
    </row>
  </sheetData>
  <phoneticPr fontId="11" type="noConversion"/>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B39"/>
  <sheetViews>
    <sheetView workbookViewId="0"/>
  </sheetViews>
  <sheetFormatPr defaultColWidth="11.53515625" defaultRowHeight="15.5" x14ac:dyDescent="0.35"/>
  <cols>
    <col min="1" max="1" width="26.69140625" customWidth="1"/>
    <col min="2" max="2" width="10.69140625" customWidth="1"/>
    <col min="3" max="3" width="12.69140625" customWidth="1"/>
    <col min="4" max="27" width="10.69140625" customWidth="1"/>
  </cols>
  <sheetData>
    <row r="1" spans="1:28" ht="20" x14ac:dyDescent="0.4">
      <c r="A1" s="1" t="s">
        <v>340</v>
      </c>
    </row>
    <row r="2" spans="1:28" x14ac:dyDescent="0.35">
      <c r="A2" t="s">
        <v>46</v>
      </c>
    </row>
    <row r="3" spans="1:28" x14ac:dyDescent="0.35">
      <c r="A3" s="33" t="s">
        <v>209</v>
      </c>
    </row>
    <row r="4" spans="1:28" x14ac:dyDescent="0.35">
      <c r="A4" s="5" t="str">
        <f>HYPERLINK("#'Table of Contents'!A1", "Back to contents")</f>
        <v>Back to contents</v>
      </c>
    </row>
    <row r="5" spans="1:28" x14ac:dyDescent="0.35">
      <c r="A5" s="11" t="s">
        <v>47</v>
      </c>
      <c r="B5" s="11" t="s">
        <v>48</v>
      </c>
      <c r="C5" s="11" t="s">
        <v>49</v>
      </c>
      <c r="D5" s="12" t="s">
        <v>50</v>
      </c>
      <c r="E5" s="12" t="s">
        <v>51</v>
      </c>
      <c r="F5" s="12" t="s">
        <v>52</v>
      </c>
      <c r="G5" s="12" t="s">
        <v>53</v>
      </c>
      <c r="H5" s="12" t="s">
        <v>54</v>
      </c>
      <c r="I5" s="12" t="s">
        <v>55</v>
      </c>
      <c r="J5" s="12" t="s">
        <v>56</v>
      </c>
      <c r="K5" s="12" t="s">
        <v>57</v>
      </c>
      <c r="L5" s="12" t="s">
        <v>58</v>
      </c>
      <c r="M5" s="12" t="s">
        <v>59</v>
      </c>
      <c r="N5" s="12" t="s">
        <v>60</v>
      </c>
      <c r="O5" s="12" t="s">
        <v>61</v>
      </c>
      <c r="P5" s="12" t="s">
        <v>62</v>
      </c>
      <c r="Q5" s="12" t="s">
        <v>63</v>
      </c>
      <c r="R5" s="12" t="s">
        <v>64</v>
      </c>
      <c r="S5" s="12" t="s">
        <v>65</v>
      </c>
      <c r="T5" s="12" t="s">
        <v>66</v>
      </c>
      <c r="U5" s="12" t="s">
        <v>67</v>
      </c>
      <c r="V5" s="12" t="s">
        <v>68</v>
      </c>
      <c r="W5" s="12" t="s">
        <v>69</v>
      </c>
      <c r="X5" s="12" t="s">
        <v>70</v>
      </c>
      <c r="Y5" s="12" t="s">
        <v>71</v>
      </c>
      <c r="Z5" s="12" t="s">
        <v>72</v>
      </c>
      <c r="AA5" s="117" t="s">
        <v>206</v>
      </c>
      <c r="AB5" s="117" t="s">
        <v>275</v>
      </c>
    </row>
    <row r="6" spans="1:28" ht="25" customHeight="1" x14ac:dyDescent="0.35">
      <c r="A6" s="18" t="s">
        <v>73</v>
      </c>
      <c r="B6" s="19" t="s">
        <v>74</v>
      </c>
      <c r="C6" s="19" t="s">
        <v>75</v>
      </c>
      <c r="D6" s="24">
        <v>2.27</v>
      </c>
      <c r="E6" s="24">
        <v>2.25</v>
      </c>
      <c r="F6" s="24">
        <v>2.23</v>
      </c>
      <c r="G6" s="24">
        <v>2.2200000000000002</v>
      </c>
      <c r="H6" s="24">
        <v>2.21</v>
      </c>
      <c r="I6" s="24">
        <v>2.2000000000000002</v>
      </c>
      <c r="J6" s="24">
        <v>2.19</v>
      </c>
      <c r="K6" s="24">
        <v>2.1800000000000002</v>
      </c>
      <c r="L6" s="24">
        <v>2.1800000000000002</v>
      </c>
      <c r="M6" s="24">
        <v>2.1800000000000002</v>
      </c>
      <c r="N6" s="123">
        <v>2.1884896027294385</v>
      </c>
      <c r="O6" s="123">
        <v>2.1855736849682339</v>
      </c>
      <c r="P6" s="123">
        <v>2.179377351691429</v>
      </c>
      <c r="Q6" s="123">
        <v>2.173954985026028</v>
      </c>
      <c r="R6" s="123">
        <v>2.171334251794439</v>
      </c>
      <c r="S6" s="123">
        <v>2.1683039140541132</v>
      </c>
      <c r="T6" s="123">
        <v>2.1607862807664855</v>
      </c>
      <c r="U6" s="123">
        <v>2.1510316767476341</v>
      </c>
      <c r="V6" s="123">
        <v>2.1450059218989321</v>
      </c>
      <c r="W6" s="123">
        <v>2.1366656241134057</v>
      </c>
      <c r="X6" s="123">
        <v>2.1239462555088564</v>
      </c>
      <c r="Y6" s="24">
        <v>2.12</v>
      </c>
      <c r="Z6" s="24">
        <v>2.13</v>
      </c>
      <c r="AA6" s="118">
        <v>2.13</v>
      </c>
      <c r="AB6" s="118">
        <v>2.11</v>
      </c>
    </row>
    <row r="7" spans="1:28" x14ac:dyDescent="0.35">
      <c r="A7" s="3" t="s">
        <v>76</v>
      </c>
      <c r="B7" s="13" t="s">
        <v>77</v>
      </c>
      <c r="C7" s="13" t="s">
        <v>78</v>
      </c>
      <c r="D7" s="22">
        <v>2.13</v>
      </c>
      <c r="E7" s="22">
        <v>2.1</v>
      </c>
      <c r="F7" s="22">
        <v>2.08</v>
      </c>
      <c r="G7" s="22">
        <v>2.0499999999999998</v>
      </c>
      <c r="H7" s="22">
        <v>2.04</v>
      </c>
      <c r="I7" s="22">
        <v>2.02</v>
      </c>
      <c r="J7" s="22">
        <v>2.0099999999999998</v>
      </c>
      <c r="K7" s="22">
        <v>2.0099999999999998</v>
      </c>
      <c r="L7" s="22">
        <v>2.0299999999999998</v>
      </c>
      <c r="M7" s="22">
        <v>2.0499999999999998</v>
      </c>
      <c r="N7" s="120">
        <v>2.068125634507628</v>
      </c>
      <c r="O7" s="120">
        <v>2.074764478821201</v>
      </c>
      <c r="P7" s="120">
        <v>2.0661635781941974</v>
      </c>
      <c r="Q7" s="120">
        <v>2.0719581411168635</v>
      </c>
      <c r="R7" s="120">
        <v>2.0783682556422272</v>
      </c>
      <c r="S7" s="120">
        <v>2.0403960850807668</v>
      </c>
      <c r="T7" s="120">
        <v>2.0127039801890123</v>
      </c>
      <c r="U7" s="120">
        <v>1.9817877769666021</v>
      </c>
      <c r="V7" s="120">
        <v>1.974721073604794</v>
      </c>
      <c r="W7" s="120">
        <v>1.9671465485639152</v>
      </c>
      <c r="X7" s="120">
        <v>1.9517345108342075</v>
      </c>
      <c r="Y7" s="22">
        <v>1.97</v>
      </c>
      <c r="Z7" s="22">
        <v>2</v>
      </c>
      <c r="AA7" s="22">
        <v>1.98</v>
      </c>
      <c r="AB7" s="120">
        <v>1.96</v>
      </c>
    </row>
    <row r="8" spans="1:28" x14ac:dyDescent="0.35">
      <c r="A8" s="3" t="s">
        <v>79</v>
      </c>
      <c r="B8" s="13" t="s">
        <v>80</v>
      </c>
      <c r="C8" s="13" t="s">
        <v>78</v>
      </c>
      <c r="D8" s="22">
        <v>2.4700000000000002</v>
      </c>
      <c r="E8" s="22">
        <v>2.4500000000000002</v>
      </c>
      <c r="F8" s="22">
        <v>2.44</v>
      </c>
      <c r="G8" s="22">
        <v>2.42</v>
      </c>
      <c r="H8" s="22">
        <v>2.41</v>
      </c>
      <c r="I8" s="22">
        <v>2.41</v>
      </c>
      <c r="J8" s="22">
        <v>2.41</v>
      </c>
      <c r="K8" s="22">
        <v>2.4</v>
      </c>
      <c r="L8" s="22">
        <v>2.4</v>
      </c>
      <c r="M8" s="22">
        <v>2.39</v>
      </c>
      <c r="N8" s="120">
        <v>2.3918675031752987</v>
      </c>
      <c r="O8" s="120">
        <v>2.3872569363795315</v>
      </c>
      <c r="P8" s="120">
        <v>2.3831129626417611</v>
      </c>
      <c r="Q8" s="120">
        <v>2.3835548396764779</v>
      </c>
      <c r="R8" s="120">
        <v>2.3721253601544539</v>
      </c>
      <c r="S8" s="120">
        <v>2.3583241461982811</v>
      </c>
      <c r="T8" s="120">
        <v>2.3384607304091851</v>
      </c>
      <c r="U8" s="120">
        <v>2.3263574717961228</v>
      </c>
      <c r="V8" s="120">
        <v>2.302334282577732</v>
      </c>
      <c r="W8" s="120">
        <v>2.285369197595494</v>
      </c>
      <c r="X8" s="120">
        <v>2.2751014742246976</v>
      </c>
      <c r="Y8" s="22">
        <v>2.2599999999999998</v>
      </c>
      <c r="Z8" s="22">
        <v>2.25</v>
      </c>
      <c r="AA8" s="22">
        <v>2.2400000000000002</v>
      </c>
      <c r="AB8" s="120">
        <v>2.2200000000000002</v>
      </c>
    </row>
    <row r="9" spans="1:28" x14ac:dyDescent="0.35">
      <c r="A9" s="3" t="s">
        <v>81</v>
      </c>
      <c r="B9" s="13" t="s">
        <v>82</v>
      </c>
      <c r="C9" s="13" t="s">
        <v>78</v>
      </c>
      <c r="D9" s="22">
        <v>2.27</v>
      </c>
      <c r="E9" s="22">
        <v>2.2599999999999998</v>
      </c>
      <c r="F9" s="22">
        <v>2.2400000000000002</v>
      </c>
      <c r="G9" s="22">
        <v>2.2400000000000002</v>
      </c>
      <c r="H9" s="22">
        <v>2.2400000000000002</v>
      </c>
      <c r="I9" s="22">
        <v>2.23</v>
      </c>
      <c r="J9" s="22">
        <v>2.23</v>
      </c>
      <c r="K9" s="22">
        <v>2.23</v>
      </c>
      <c r="L9" s="22">
        <v>2.21</v>
      </c>
      <c r="M9" s="22">
        <v>2.21</v>
      </c>
      <c r="N9" s="120">
        <v>2.2165016935591124</v>
      </c>
      <c r="O9" s="120">
        <v>2.203763655903018</v>
      </c>
      <c r="P9" s="120">
        <v>2.1968939123295446</v>
      </c>
      <c r="Q9" s="120">
        <v>2.1972007386506269</v>
      </c>
      <c r="R9" s="120">
        <v>2.1893524571552976</v>
      </c>
      <c r="S9" s="120">
        <v>2.1784165684739722</v>
      </c>
      <c r="T9" s="120">
        <v>2.1644684637951452</v>
      </c>
      <c r="U9" s="120">
        <v>2.1498018991906713</v>
      </c>
      <c r="V9" s="120">
        <v>2.1398332082156042</v>
      </c>
      <c r="W9" s="120">
        <v>2.1243509875919946</v>
      </c>
      <c r="X9" s="120">
        <v>2.1080229711026051</v>
      </c>
      <c r="Y9" s="22">
        <v>2.09</v>
      </c>
      <c r="Z9" s="22">
        <v>2.08</v>
      </c>
      <c r="AA9" s="22">
        <v>2.0699999999999998</v>
      </c>
      <c r="AB9">
        <v>2.06</v>
      </c>
    </row>
    <row r="10" spans="1:28" x14ac:dyDescent="0.35">
      <c r="A10" s="3" t="s">
        <v>83</v>
      </c>
      <c r="B10" s="13" t="s">
        <v>84</v>
      </c>
      <c r="C10" s="13" t="s">
        <v>78</v>
      </c>
      <c r="D10" s="22">
        <v>2.2400000000000002</v>
      </c>
      <c r="E10" s="22">
        <v>2.23</v>
      </c>
      <c r="F10" s="22">
        <v>2.2000000000000002</v>
      </c>
      <c r="G10" s="22">
        <v>2.19</v>
      </c>
      <c r="H10" s="22">
        <v>2.16</v>
      </c>
      <c r="I10" s="22">
        <v>2.17</v>
      </c>
      <c r="J10" s="22">
        <v>2.17</v>
      </c>
      <c r="K10" s="22">
        <v>2.15</v>
      </c>
      <c r="L10" s="22">
        <v>2.15</v>
      </c>
      <c r="M10" s="22">
        <v>2.13</v>
      </c>
      <c r="N10" s="120">
        <v>2.1384606375638295</v>
      </c>
      <c r="O10" s="120">
        <v>2.0946465243048511</v>
      </c>
      <c r="P10" s="120">
        <v>2.1070929289193261</v>
      </c>
      <c r="Q10" s="120">
        <v>2.11366755364008</v>
      </c>
      <c r="R10" s="120">
        <v>2.0981773544573969</v>
      </c>
      <c r="S10" s="120">
        <v>2.1050741649361755</v>
      </c>
      <c r="T10" s="120">
        <v>2.0836648959913107</v>
      </c>
      <c r="U10" s="120">
        <v>2.0661215382201892</v>
      </c>
      <c r="V10" s="120">
        <v>2.0557309592411914</v>
      </c>
      <c r="W10" s="120">
        <v>2.0515373088382463</v>
      </c>
      <c r="X10" s="120">
        <v>2.0466489782567177</v>
      </c>
      <c r="Y10" s="22">
        <v>2.04</v>
      </c>
      <c r="Z10" s="22">
        <v>2.04</v>
      </c>
      <c r="AA10" s="22">
        <v>2.02</v>
      </c>
      <c r="AB10" s="120">
        <v>2.02</v>
      </c>
    </row>
    <row r="11" spans="1:28" x14ac:dyDescent="0.35">
      <c r="A11" s="3" t="s">
        <v>85</v>
      </c>
      <c r="B11" s="13" t="s">
        <v>86</v>
      </c>
      <c r="C11" s="13" t="s">
        <v>78</v>
      </c>
      <c r="D11" s="22">
        <v>2.14</v>
      </c>
      <c r="E11" s="22">
        <v>2.11</v>
      </c>
      <c r="F11" s="22">
        <v>2.09</v>
      </c>
      <c r="G11" s="22">
        <v>2.0699999999999998</v>
      </c>
      <c r="H11" s="22">
        <v>2.06</v>
      </c>
      <c r="I11" s="22">
        <v>2.0499999999999998</v>
      </c>
      <c r="J11" s="22">
        <v>2.04</v>
      </c>
      <c r="K11" s="22">
        <v>2.0299999999999998</v>
      </c>
      <c r="L11" s="22">
        <v>2.04</v>
      </c>
      <c r="M11" s="22">
        <v>2.0499999999999998</v>
      </c>
      <c r="N11" s="120">
        <v>2.069256307617632</v>
      </c>
      <c r="O11" s="120">
        <v>2.075407872095949</v>
      </c>
      <c r="P11" s="120">
        <v>2.0666161267666752</v>
      </c>
      <c r="Q11" s="120">
        <v>2.0577173276771572</v>
      </c>
      <c r="R11" s="120">
        <v>2.0727612130518271</v>
      </c>
      <c r="S11" s="120">
        <v>2.0824803353633095</v>
      </c>
      <c r="T11" s="120">
        <v>2.0828237289378011</v>
      </c>
      <c r="U11" s="120">
        <v>2.0750248853236588</v>
      </c>
      <c r="V11" s="120">
        <v>2.0704998625769107</v>
      </c>
      <c r="W11" s="120">
        <v>2.0710100500854485</v>
      </c>
      <c r="X11" s="120">
        <v>2.0392538622781391</v>
      </c>
      <c r="Y11" s="22">
        <v>2.0499999999999998</v>
      </c>
      <c r="Z11" s="22">
        <v>2.08</v>
      </c>
      <c r="AA11" s="22">
        <v>2.0699999999999998</v>
      </c>
      <c r="AB11">
        <v>2.0499999999999998</v>
      </c>
    </row>
    <row r="12" spans="1:28" x14ac:dyDescent="0.35">
      <c r="A12" s="3" t="s">
        <v>87</v>
      </c>
      <c r="B12" s="13" t="s">
        <v>88</v>
      </c>
      <c r="C12" s="13" t="s">
        <v>78</v>
      </c>
      <c r="D12" s="22">
        <v>2.29</v>
      </c>
      <c r="E12" s="22">
        <v>2.2799999999999998</v>
      </c>
      <c r="F12" s="22">
        <v>2.25</v>
      </c>
      <c r="G12" s="22">
        <v>2.25</v>
      </c>
      <c r="H12" s="22">
        <v>2.2400000000000002</v>
      </c>
      <c r="I12" s="22">
        <v>2.2200000000000002</v>
      </c>
      <c r="J12" s="22">
        <v>2.23</v>
      </c>
      <c r="K12" s="22">
        <v>2.23</v>
      </c>
      <c r="L12" s="22">
        <v>2.21</v>
      </c>
      <c r="M12" s="22">
        <v>2.21</v>
      </c>
      <c r="N12" s="120">
        <v>2.2151197192270575</v>
      </c>
      <c r="O12" s="120">
        <v>2.2005771656894377</v>
      </c>
      <c r="P12" s="120">
        <v>2.1936273641698891</v>
      </c>
      <c r="Q12" s="120">
        <v>2.1707218384988871</v>
      </c>
      <c r="R12" s="120">
        <v>2.1673603066279332</v>
      </c>
      <c r="S12" s="120">
        <v>2.1603227363123838</v>
      </c>
      <c r="T12" s="120">
        <v>2.1493941868375921</v>
      </c>
      <c r="U12" s="120">
        <v>2.1357641054315502</v>
      </c>
      <c r="V12" s="120">
        <v>2.1216272238051386</v>
      </c>
      <c r="W12" s="120">
        <v>2.0956646018475489</v>
      </c>
      <c r="X12" s="120">
        <v>2.1030347286151008</v>
      </c>
      <c r="Y12" s="22">
        <v>2.1</v>
      </c>
      <c r="Z12" s="22">
        <v>2.09</v>
      </c>
      <c r="AA12" s="22">
        <v>2.08</v>
      </c>
      <c r="AB12">
        <v>2.06</v>
      </c>
    </row>
    <row r="13" spans="1:28" x14ac:dyDescent="0.35">
      <c r="A13" s="3" t="s">
        <v>89</v>
      </c>
      <c r="B13" s="13" t="s">
        <v>90</v>
      </c>
      <c r="C13" s="13" t="s">
        <v>78</v>
      </c>
      <c r="D13" s="22">
        <v>2.2799999999999998</v>
      </c>
      <c r="E13" s="22">
        <v>2.27</v>
      </c>
      <c r="F13" s="22">
        <v>2.25</v>
      </c>
      <c r="G13" s="22">
        <v>2.2400000000000002</v>
      </c>
      <c r="H13" s="22">
        <v>2.23</v>
      </c>
      <c r="I13" s="22">
        <v>2.2200000000000002</v>
      </c>
      <c r="J13" s="22">
        <v>2.2200000000000002</v>
      </c>
      <c r="K13" s="22">
        <v>2.21</v>
      </c>
      <c r="L13" s="22">
        <v>2.2000000000000002</v>
      </c>
      <c r="M13" s="22">
        <v>2.2000000000000002</v>
      </c>
      <c r="N13" s="120">
        <v>2.1955666209979725</v>
      </c>
      <c r="O13" s="120">
        <v>2.1765124712032344</v>
      </c>
      <c r="P13" s="120">
        <v>2.1579788736929988</v>
      </c>
      <c r="Q13" s="120">
        <v>2.1485342230193374</v>
      </c>
      <c r="R13" s="120">
        <v>2.1348790790113075</v>
      </c>
      <c r="S13" s="120">
        <v>2.1240370618483975</v>
      </c>
      <c r="T13" s="120">
        <v>2.1081487390986204</v>
      </c>
      <c r="U13" s="120">
        <v>2.0955021942098235</v>
      </c>
      <c r="V13" s="120">
        <v>2.0910837994075697</v>
      </c>
      <c r="W13" s="120">
        <v>2.0746930907632382</v>
      </c>
      <c r="X13" s="120">
        <v>2.0652495357630141</v>
      </c>
      <c r="Y13" s="22">
        <v>2.04</v>
      </c>
      <c r="Z13" s="22">
        <v>2.0499999999999998</v>
      </c>
      <c r="AA13" s="22">
        <v>2.04</v>
      </c>
      <c r="AB13">
        <v>2.02</v>
      </c>
    </row>
    <row r="14" spans="1:28" x14ac:dyDescent="0.35">
      <c r="A14" s="3" t="s">
        <v>91</v>
      </c>
      <c r="B14" s="13" t="s">
        <v>92</v>
      </c>
      <c r="C14" s="13" t="s">
        <v>78</v>
      </c>
      <c r="D14" s="22">
        <v>2.13</v>
      </c>
      <c r="E14" s="22">
        <v>2.1</v>
      </c>
      <c r="F14" s="22">
        <v>2.09</v>
      </c>
      <c r="G14" s="22">
        <v>2.0699999999999998</v>
      </c>
      <c r="H14" s="22">
        <v>2.08</v>
      </c>
      <c r="I14" s="22">
        <v>2.08</v>
      </c>
      <c r="J14" s="22">
        <v>2.0499999999999998</v>
      </c>
      <c r="K14" s="22">
        <v>2.04</v>
      </c>
      <c r="L14" s="22">
        <v>2.0299999999999998</v>
      </c>
      <c r="M14" s="22">
        <v>2.04</v>
      </c>
      <c r="N14" s="120">
        <v>2.0540780043269509</v>
      </c>
      <c r="O14" s="120">
        <v>2.0606783740435115</v>
      </c>
      <c r="P14" s="120">
        <v>2.0585908398968278</v>
      </c>
      <c r="Q14" s="120">
        <v>2.057493164344482</v>
      </c>
      <c r="R14" s="120">
        <v>2.0641856386152488</v>
      </c>
      <c r="S14" s="120">
        <v>2.0647880078599861</v>
      </c>
      <c r="T14" s="120">
        <v>2.0657992138863879</v>
      </c>
      <c r="U14" s="120">
        <v>2.061776956864199</v>
      </c>
      <c r="V14" s="120">
        <v>2.0638735483193664</v>
      </c>
      <c r="W14" s="120">
        <v>2.0657194058679762</v>
      </c>
      <c r="X14" s="120">
        <v>2.0374774858768738</v>
      </c>
      <c r="Y14" s="22">
        <v>2.0499999999999998</v>
      </c>
      <c r="Z14" s="22">
        <v>2.06</v>
      </c>
      <c r="AA14" s="22">
        <v>2.0299999999999998</v>
      </c>
      <c r="AB14" s="120">
        <v>2</v>
      </c>
    </row>
    <row r="15" spans="1:28" x14ac:dyDescent="0.35">
      <c r="A15" s="3" t="s">
        <v>93</v>
      </c>
      <c r="B15" s="13" t="s">
        <v>94</v>
      </c>
      <c r="C15" s="13" t="s">
        <v>78</v>
      </c>
      <c r="D15" s="22">
        <v>2.35</v>
      </c>
      <c r="E15" s="22">
        <v>2.34</v>
      </c>
      <c r="F15" s="22">
        <v>2.3199999999999998</v>
      </c>
      <c r="G15" s="22">
        <v>2.31</v>
      </c>
      <c r="H15" s="22">
        <v>2.31</v>
      </c>
      <c r="I15" s="22">
        <v>2.29</v>
      </c>
      <c r="J15" s="22">
        <v>2.2799999999999998</v>
      </c>
      <c r="K15" s="22">
        <v>2.2599999999999998</v>
      </c>
      <c r="L15" s="22">
        <v>2.25</v>
      </c>
      <c r="M15" s="22">
        <v>2.25</v>
      </c>
      <c r="N15" s="120">
        <v>2.2479957789556444</v>
      </c>
      <c r="O15" s="120">
        <v>2.24221619078364</v>
      </c>
      <c r="P15" s="120">
        <v>2.2275675652920102</v>
      </c>
      <c r="Q15" s="120">
        <v>2.2268822769846186</v>
      </c>
      <c r="R15" s="120">
        <v>2.2198464452868945</v>
      </c>
      <c r="S15" s="120">
        <v>2.2163697240940681</v>
      </c>
      <c r="T15" s="120">
        <v>2.2079558694480457</v>
      </c>
      <c r="U15" s="120">
        <v>2.1968568641243986</v>
      </c>
      <c r="V15" s="120">
        <v>2.1912580662698371</v>
      </c>
      <c r="W15" s="120">
        <v>2.1790913991289709</v>
      </c>
      <c r="X15" s="120">
        <v>2.1636574268439106</v>
      </c>
      <c r="Y15" s="22">
        <v>2.15</v>
      </c>
      <c r="Z15" s="22">
        <v>2.14</v>
      </c>
      <c r="AA15" s="22">
        <v>2.14</v>
      </c>
      <c r="AB15">
        <v>2.13</v>
      </c>
    </row>
    <row r="16" spans="1:28" x14ac:dyDescent="0.35">
      <c r="A16" s="3" t="s">
        <v>95</v>
      </c>
      <c r="B16" s="13" t="s">
        <v>96</v>
      </c>
      <c r="C16" s="13" t="s">
        <v>78</v>
      </c>
      <c r="D16" s="22">
        <v>2.5299999999999998</v>
      </c>
      <c r="E16" s="22">
        <v>2.5099999999999998</v>
      </c>
      <c r="F16" s="22">
        <v>2.5</v>
      </c>
      <c r="G16" s="22">
        <v>2.48</v>
      </c>
      <c r="H16" s="22">
        <v>2.46</v>
      </c>
      <c r="I16" s="22">
        <v>2.44</v>
      </c>
      <c r="J16" s="22">
        <v>2.4300000000000002</v>
      </c>
      <c r="K16" s="22">
        <v>2.42</v>
      </c>
      <c r="L16" s="22">
        <v>2.41</v>
      </c>
      <c r="M16" s="22">
        <v>2.41</v>
      </c>
      <c r="N16" s="120">
        <v>2.4003390491079641</v>
      </c>
      <c r="O16" s="120">
        <v>2.4068032837984195</v>
      </c>
      <c r="P16" s="120">
        <v>2.3920668757202161</v>
      </c>
      <c r="Q16" s="120">
        <v>2.3934693959503632</v>
      </c>
      <c r="R16" s="120">
        <v>2.3775168259027475</v>
      </c>
      <c r="S16" s="120">
        <v>2.3717288993426555</v>
      </c>
      <c r="T16" s="120">
        <v>2.3693288570336066</v>
      </c>
      <c r="U16" s="120">
        <v>2.3559581934524094</v>
      </c>
      <c r="V16" s="120">
        <v>2.3537844949467313</v>
      </c>
      <c r="W16" s="120">
        <v>2.3385829533978941</v>
      </c>
      <c r="X16" s="120">
        <v>2.3266623993049564</v>
      </c>
      <c r="Y16" s="22">
        <v>2.3199999999999998</v>
      </c>
      <c r="Z16" s="22">
        <v>2.3199999999999998</v>
      </c>
      <c r="AA16" s="22">
        <v>2.3199999999999998</v>
      </c>
      <c r="AB16">
        <v>2.31</v>
      </c>
    </row>
    <row r="17" spans="1:28" x14ac:dyDescent="0.35">
      <c r="A17" s="3" t="s">
        <v>97</v>
      </c>
      <c r="B17" s="13" t="s">
        <v>98</v>
      </c>
      <c r="C17" s="13" t="s">
        <v>78</v>
      </c>
      <c r="D17" s="22">
        <v>2.33</v>
      </c>
      <c r="E17" s="22">
        <v>2.33</v>
      </c>
      <c r="F17" s="22">
        <v>2.3199999999999998</v>
      </c>
      <c r="G17" s="22">
        <v>2.31</v>
      </c>
      <c r="H17" s="22">
        <v>2.2999999999999998</v>
      </c>
      <c r="I17" s="22">
        <v>2.29</v>
      </c>
      <c r="J17" s="22">
        <v>2.29</v>
      </c>
      <c r="K17" s="22">
        <v>2.29</v>
      </c>
      <c r="L17" s="22">
        <v>2.29</v>
      </c>
      <c r="M17" s="22">
        <v>2.2799999999999998</v>
      </c>
      <c r="N17" s="120">
        <v>2.2795975652188472</v>
      </c>
      <c r="O17" s="120">
        <v>2.2852797857052076</v>
      </c>
      <c r="P17" s="120">
        <v>2.2926766136221954</v>
      </c>
      <c r="Q17" s="120">
        <v>2.3012318532185927</v>
      </c>
      <c r="R17" s="120">
        <v>2.3098195869722016</v>
      </c>
      <c r="S17" s="120">
        <v>2.316512543423221</v>
      </c>
      <c r="T17" s="120">
        <v>2.3102830575510813</v>
      </c>
      <c r="U17" s="120">
        <v>2.2998400398253378</v>
      </c>
      <c r="V17" s="120">
        <v>2.2933108008145342</v>
      </c>
      <c r="W17" s="120">
        <v>2.2820100712947968</v>
      </c>
      <c r="X17" s="120">
        <v>2.2764131868981869</v>
      </c>
      <c r="Y17" s="22">
        <v>2.27</v>
      </c>
      <c r="Z17" s="22">
        <v>2.2599999999999998</v>
      </c>
      <c r="AA17" s="22">
        <v>2.2400000000000002</v>
      </c>
      <c r="AB17">
        <v>2.2200000000000002</v>
      </c>
    </row>
    <row r="18" spans="1:28" x14ac:dyDescent="0.35">
      <c r="A18" s="3" t="s">
        <v>99</v>
      </c>
      <c r="B18" s="13" t="s">
        <v>100</v>
      </c>
      <c r="C18" s="13" t="s">
        <v>78</v>
      </c>
      <c r="D18" s="22">
        <v>2.5299999999999998</v>
      </c>
      <c r="E18" s="22">
        <v>2.5299999999999998</v>
      </c>
      <c r="F18" s="22">
        <v>2.5099999999999998</v>
      </c>
      <c r="G18" s="22">
        <v>2.4900000000000002</v>
      </c>
      <c r="H18" s="22">
        <v>2.48</v>
      </c>
      <c r="I18" s="22">
        <v>2.4700000000000002</v>
      </c>
      <c r="J18" s="22">
        <v>2.46</v>
      </c>
      <c r="K18" s="22">
        <v>2.4500000000000002</v>
      </c>
      <c r="L18" s="22">
        <v>2.44</v>
      </c>
      <c r="M18" s="22">
        <v>2.4300000000000002</v>
      </c>
      <c r="N18" s="120">
        <v>2.4188979088747686</v>
      </c>
      <c r="O18" s="120">
        <v>2.4127214712555265</v>
      </c>
      <c r="P18" s="120">
        <v>2.4189183358056923</v>
      </c>
      <c r="Q18" s="120">
        <v>2.4312019624285193</v>
      </c>
      <c r="R18" s="120">
        <v>2.4366831722095772</v>
      </c>
      <c r="S18" s="120">
        <v>2.4426153766312328</v>
      </c>
      <c r="T18" s="120">
        <v>2.4516565100364467</v>
      </c>
      <c r="U18" s="120">
        <v>2.4503368439171815</v>
      </c>
      <c r="V18" s="120">
        <v>2.4493129482207565</v>
      </c>
      <c r="W18" s="120">
        <v>2.4499645388660367</v>
      </c>
      <c r="X18" s="120">
        <v>2.4346555929993761</v>
      </c>
      <c r="Y18" s="22">
        <v>2.4300000000000002</v>
      </c>
      <c r="Z18" s="22">
        <v>2.44</v>
      </c>
      <c r="AA18" s="22">
        <v>2.44</v>
      </c>
      <c r="AB18">
        <v>2.44</v>
      </c>
    </row>
    <row r="19" spans="1:28" x14ac:dyDescent="0.35">
      <c r="A19" s="3" t="s">
        <v>101</v>
      </c>
      <c r="B19" s="13" t="s">
        <v>102</v>
      </c>
      <c r="C19" s="13" t="s">
        <v>78</v>
      </c>
      <c r="D19" s="22">
        <v>2.29</v>
      </c>
      <c r="E19" s="22">
        <v>2.27</v>
      </c>
      <c r="F19" s="22">
        <v>2.25</v>
      </c>
      <c r="G19" s="22">
        <v>2.2400000000000002</v>
      </c>
      <c r="H19" s="22">
        <v>2.25</v>
      </c>
      <c r="I19" s="22">
        <v>2.2400000000000002</v>
      </c>
      <c r="J19" s="22">
        <v>2.2400000000000002</v>
      </c>
      <c r="K19" s="22">
        <v>2.2400000000000002</v>
      </c>
      <c r="L19" s="22">
        <v>2.2400000000000002</v>
      </c>
      <c r="M19" s="22">
        <v>2.2400000000000002</v>
      </c>
      <c r="N19" s="120">
        <v>2.2425514450720181</v>
      </c>
      <c r="O19" s="120">
        <v>2.2393992741771109</v>
      </c>
      <c r="P19" s="120">
        <v>2.2403394196771589</v>
      </c>
      <c r="Q19" s="120">
        <v>2.2419701104455485</v>
      </c>
      <c r="R19" s="120">
        <v>2.2308915488637693</v>
      </c>
      <c r="S19" s="120">
        <v>2.2254863113949268</v>
      </c>
      <c r="T19" s="120">
        <v>2.2147404665336921</v>
      </c>
      <c r="U19" s="120">
        <v>2.2021498173129164</v>
      </c>
      <c r="V19" s="120">
        <v>2.1997092933502764</v>
      </c>
      <c r="W19" s="120">
        <v>2.1863158034622474</v>
      </c>
      <c r="X19" s="120">
        <v>2.1755663576296684</v>
      </c>
      <c r="Y19" s="22">
        <v>2.17</v>
      </c>
      <c r="Z19" s="22">
        <v>2.16</v>
      </c>
      <c r="AA19" s="22">
        <v>2.17</v>
      </c>
      <c r="AB19">
        <v>2.16</v>
      </c>
    </row>
    <row r="20" spans="1:28" x14ac:dyDescent="0.35">
      <c r="A20" s="3" t="s">
        <v>103</v>
      </c>
      <c r="B20" s="13" t="s">
        <v>104</v>
      </c>
      <c r="C20" s="13" t="s">
        <v>78</v>
      </c>
      <c r="D20" s="22">
        <v>2.2799999999999998</v>
      </c>
      <c r="E20" s="22">
        <v>2.27</v>
      </c>
      <c r="F20" s="22">
        <v>2.2599999999999998</v>
      </c>
      <c r="G20" s="22">
        <v>2.25</v>
      </c>
      <c r="H20" s="22">
        <v>2.2400000000000002</v>
      </c>
      <c r="I20" s="22">
        <v>2.2400000000000002</v>
      </c>
      <c r="J20" s="22">
        <v>2.23</v>
      </c>
      <c r="K20" s="22">
        <v>2.2200000000000002</v>
      </c>
      <c r="L20" s="22">
        <v>2.2200000000000002</v>
      </c>
      <c r="M20" s="22">
        <v>2.21</v>
      </c>
      <c r="N20" s="120">
        <v>2.2195173668202051</v>
      </c>
      <c r="O20" s="120">
        <v>2.2162476081923703</v>
      </c>
      <c r="P20" s="120">
        <v>2.2169868450556685</v>
      </c>
      <c r="Q20" s="120">
        <v>2.1964874539230337</v>
      </c>
      <c r="R20" s="120">
        <v>2.1935527504052792</v>
      </c>
      <c r="S20" s="120">
        <v>2.1925188349206794</v>
      </c>
      <c r="T20" s="120">
        <v>2.1842319059165241</v>
      </c>
      <c r="U20" s="120">
        <v>2.1737972984169809</v>
      </c>
      <c r="V20" s="120">
        <v>2.168172683535933</v>
      </c>
      <c r="W20" s="120">
        <v>2.163856833669533</v>
      </c>
      <c r="X20" s="120">
        <v>2.1524979018375303</v>
      </c>
      <c r="Y20" s="22">
        <v>2.14</v>
      </c>
      <c r="Z20" s="22">
        <v>2.14</v>
      </c>
      <c r="AA20" s="22">
        <v>2.14</v>
      </c>
      <c r="AB20" s="120">
        <v>2.12</v>
      </c>
    </row>
    <row r="21" spans="1:28" x14ac:dyDescent="0.35">
      <c r="A21" s="3" t="s">
        <v>105</v>
      </c>
      <c r="B21" s="13" t="s">
        <v>106</v>
      </c>
      <c r="C21" s="13" t="s">
        <v>78</v>
      </c>
      <c r="D21" s="22">
        <v>2.08</v>
      </c>
      <c r="E21" s="22">
        <v>2.0699999999999998</v>
      </c>
      <c r="F21" s="22">
        <v>2.04</v>
      </c>
      <c r="G21" s="22">
        <v>2.0099999999999998</v>
      </c>
      <c r="H21" s="22">
        <v>1.99</v>
      </c>
      <c r="I21" s="22">
        <v>1.98</v>
      </c>
      <c r="J21" s="22">
        <v>1.98</v>
      </c>
      <c r="K21" s="22">
        <v>1.98</v>
      </c>
      <c r="L21" s="22">
        <v>2</v>
      </c>
      <c r="M21" s="22">
        <v>2.0099999999999998</v>
      </c>
      <c r="N21" s="120">
        <v>2.0217351080344002</v>
      </c>
      <c r="O21" s="120">
        <v>2.0269111525945793</v>
      </c>
      <c r="P21" s="120">
        <v>2.0255185551061796</v>
      </c>
      <c r="Q21" s="120">
        <v>2.0237897758657839</v>
      </c>
      <c r="R21" s="120">
        <v>2.0221688304791936</v>
      </c>
      <c r="S21" s="120">
        <v>2.027861606143198</v>
      </c>
      <c r="T21" s="120">
        <v>2.0245945763861624</v>
      </c>
      <c r="U21" s="120">
        <v>2.0201596825588517</v>
      </c>
      <c r="V21" s="120">
        <v>2.0197716052896144</v>
      </c>
      <c r="W21" s="120">
        <v>2.012624042466638</v>
      </c>
      <c r="X21" s="120">
        <v>1.9933290728212973</v>
      </c>
      <c r="Y21" s="22">
        <v>2.02</v>
      </c>
      <c r="Z21" s="22">
        <v>2.0699999999999998</v>
      </c>
      <c r="AA21" s="22">
        <v>2.09</v>
      </c>
      <c r="AB21">
        <v>2.09</v>
      </c>
    </row>
    <row r="22" spans="1:28" x14ac:dyDescent="0.35">
      <c r="A22" s="3" t="s">
        <v>107</v>
      </c>
      <c r="B22" s="13" t="s">
        <v>108</v>
      </c>
      <c r="C22" s="13" t="s">
        <v>78</v>
      </c>
      <c r="D22" s="22">
        <v>2.29</v>
      </c>
      <c r="E22" s="22">
        <v>2.2799999999999998</v>
      </c>
      <c r="F22" s="22">
        <v>2.27</v>
      </c>
      <c r="G22" s="22">
        <v>2.27</v>
      </c>
      <c r="H22" s="22">
        <v>2.2599999999999998</v>
      </c>
      <c r="I22" s="22">
        <v>2.2599999999999998</v>
      </c>
      <c r="J22" s="22">
        <v>2.25</v>
      </c>
      <c r="K22" s="22">
        <v>2.2400000000000002</v>
      </c>
      <c r="L22" s="22">
        <v>2.2400000000000002</v>
      </c>
      <c r="M22" s="22">
        <v>2.2400000000000002</v>
      </c>
      <c r="N22" s="120">
        <v>2.2365393148988466</v>
      </c>
      <c r="O22" s="120">
        <v>2.2186042601991303</v>
      </c>
      <c r="P22" s="120">
        <v>2.1952508786030345</v>
      </c>
      <c r="Q22" s="120">
        <v>2.1697373877639303</v>
      </c>
      <c r="R22" s="120">
        <v>2.1548682121041045</v>
      </c>
      <c r="S22" s="120">
        <v>2.1445668557849604</v>
      </c>
      <c r="T22" s="120">
        <v>2.1317319118548137</v>
      </c>
      <c r="U22" s="120">
        <v>2.1181776533607617</v>
      </c>
      <c r="V22" s="120">
        <v>2.1055343037718637</v>
      </c>
      <c r="W22" s="120">
        <v>2.0891336887028458</v>
      </c>
      <c r="X22" s="120">
        <v>2.0937562904940061</v>
      </c>
      <c r="Y22" s="22">
        <v>2.08</v>
      </c>
      <c r="Z22" s="22">
        <v>2.0699999999999998</v>
      </c>
      <c r="AA22" s="22">
        <v>2.06</v>
      </c>
      <c r="AB22">
        <v>2.04</v>
      </c>
    </row>
    <row r="23" spans="1:28" x14ac:dyDescent="0.35">
      <c r="A23" s="3" t="s">
        <v>109</v>
      </c>
      <c r="B23" s="13" t="s">
        <v>110</v>
      </c>
      <c r="C23" s="13" t="s">
        <v>78</v>
      </c>
      <c r="D23" s="22">
        <v>2.2599999999999998</v>
      </c>
      <c r="E23" s="22">
        <v>2.25</v>
      </c>
      <c r="F23" s="22">
        <v>2.2400000000000002</v>
      </c>
      <c r="G23" s="22">
        <v>2.21</v>
      </c>
      <c r="H23" s="22">
        <v>2.2000000000000002</v>
      </c>
      <c r="I23" s="22">
        <v>2.1800000000000002</v>
      </c>
      <c r="J23" s="22">
        <v>2.1800000000000002</v>
      </c>
      <c r="K23" s="22">
        <v>2.17</v>
      </c>
      <c r="L23" s="22">
        <v>2.16</v>
      </c>
      <c r="M23" s="22">
        <v>2.15</v>
      </c>
      <c r="N23" s="120">
        <v>2.1427609635087719</v>
      </c>
      <c r="O23" s="120">
        <v>2.1439866783463635</v>
      </c>
      <c r="P23" s="120">
        <v>2.1435739459172805</v>
      </c>
      <c r="Q23" s="120">
        <v>2.1370669583245423</v>
      </c>
      <c r="R23" s="120">
        <v>2.1343426692016805</v>
      </c>
      <c r="S23" s="120">
        <v>2.1240555245243722</v>
      </c>
      <c r="T23" s="120">
        <v>2.1175603080642906</v>
      </c>
      <c r="U23" s="120">
        <v>2.1105911716542747</v>
      </c>
      <c r="V23" s="120">
        <v>2.1116943054102966</v>
      </c>
      <c r="W23" s="120">
        <v>2.0995998082136289</v>
      </c>
      <c r="X23" s="120">
        <v>2.0821342888775427</v>
      </c>
      <c r="Y23" s="22">
        <v>2.0699999999999998</v>
      </c>
      <c r="Z23" s="22">
        <v>2.0699999999999998</v>
      </c>
      <c r="AA23" s="22">
        <v>2.0699999999999998</v>
      </c>
      <c r="AB23" s="120">
        <v>2.06</v>
      </c>
    </row>
    <row r="24" spans="1:28" x14ac:dyDescent="0.35">
      <c r="A24" s="3" t="s">
        <v>111</v>
      </c>
      <c r="B24" s="13" t="s">
        <v>112</v>
      </c>
      <c r="C24" s="13" t="s">
        <v>78</v>
      </c>
      <c r="D24" s="22">
        <v>2.4300000000000002</v>
      </c>
      <c r="E24" s="22">
        <v>2.4300000000000002</v>
      </c>
      <c r="F24" s="22">
        <v>2.4</v>
      </c>
      <c r="G24" s="22">
        <v>2.4</v>
      </c>
      <c r="H24" s="22">
        <v>2.38</v>
      </c>
      <c r="I24" s="22">
        <v>2.37</v>
      </c>
      <c r="J24" s="22">
        <v>2.37</v>
      </c>
      <c r="K24" s="22">
        <v>2.38</v>
      </c>
      <c r="L24" s="22">
        <v>2.36</v>
      </c>
      <c r="M24" s="22">
        <v>2.34</v>
      </c>
      <c r="N24" s="120">
        <v>2.3519855145664694</v>
      </c>
      <c r="O24" s="120">
        <v>2.3513922746513987</v>
      </c>
      <c r="P24" s="120">
        <v>2.3438683684826898</v>
      </c>
      <c r="Q24" s="120">
        <v>2.35659787283929</v>
      </c>
      <c r="R24" s="120">
        <v>2.3647874662496955</v>
      </c>
      <c r="S24" s="120">
        <v>2.3582108863420541</v>
      </c>
      <c r="T24" s="120">
        <v>2.3523155571066985</v>
      </c>
      <c r="U24" s="120">
        <v>2.3524752978432786</v>
      </c>
      <c r="V24" s="120">
        <v>2.3494604687304004</v>
      </c>
      <c r="W24" s="120">
        <v>2.3478519040312769</v>
      </c>
      <c r="X24" s="120">
        <v>2.3449264763117186</v>
      </c>
      <c r="Y24" s="22">
        <v>2.34</v>
      </c>
      <c r="Z24" s="22">
        <v>2.33</v>
      </c>
      <c r="AA24" s="22">
        <v>2.31</v>
      </c>
      <c r="AB24">
        <v>2.29</v>
      </c>
    </row>
    <row r="25" spans="1:28" x14ac:dyDescent="0.35">
      <c r="A25" s="3" t="s">
        <v>113</v>
      </c>
      <c r="B25" s="13" t="s">
        <v>114</v>
      </c>
      <c r="C25" s="13" t="s">
        <v>78</v>
      </c>
      <c r="D25" s="22">
        <v>2.37</v>
      </c>
      <c r="E25" s="22">
        <v>2.36</v>
      </c>
      <c r="F25" s="22">
        <v>2.37</v>
      </c>
      <c r="G25" s="22">
        <v>2.35</v>
      </c>
      <c r="H25" s="22">
        <v>2.33</v>
      </c>
      <c r="I25" s="22">
        <v>2.31</v>
      </c>
      <c r="J25" s="22">
        <v>2.2999999999999998</v>
      </c>
      <c r="K25" s="22">
        <v>2.31</v>
      </c>
      <c r="L25" s="22">
        <v>2.31</v>
      </c>
      <c r="M25" s="22">
        <v>2.2999999999999998</v>
      </c>
      <c r="N25" s="120">
        <v>2.2758175821257787</v>
      </c>
      <c r="O25" s="120">
        <v>2.2414117469454138</v>
      </c>
      <c r="P25" s="120">
        <v>2.2542857058632113</v>
      </c>
      <c r="Q25" s="120">
        <v>2.238179069525827</v>
      </c>
      <c r="R25" s="120">
        <v>2.2364978619092204</v>
      </c>
      <c r="S25" s="120">
        <v>2.2293997906084928</v>
      </c>
      <c r="T25" s="120">
        <v>2.2053779387550763</v>
      </c>
      <c r="U25" s="120">
        <v>2.1799543125380332</v>
      </c>
      <c r="V25" s="120">
        <v>2.165254151097658</v>
      </c>
      <c r="W25" s="120">
        <v>2.148771058470059</v>
      </c>
      <c r="X25" s="120">
        <v>2.1400198658469565</v>
      </c>
      <c r="Y25" s="22">
        <v>2.12</v>
      </c>
      <c r="Z25" s="22">
        <v>2.11</v>
      </c>
      <c r="AA25" s="22">
        <v>2.1</v>
      </c>
      <c r="AB25">
        <v>2.08</v>
      </c>
    </row>
    <row r="26" spans="1:28" x14ac:dyDescent="0.35">
      <c r="A26" s="3" t="s">
        <v>115</v>
      </c>
      <c r="B26" s="13" t="s">
        <v>116</v>
      </c>
      <c r="C26" s="13" t="s">
        <v>78</v>
      </c>
      <c r="D26" s="22">
        <v>2.3199999999999998</v>
      </c>
      <c r="E26" s="22">
        <v>2.31</v>
      </c>
      <c r="F26" s="22">
        <v>2.29</v>
      </c>
      <c r="G26" s="22">
        <v>2.29</v>
      </c>
      <c r="H26" s="22">
        <v>2.29</v>
      </c>
      <c r="I26" s="22">
        <v>2.27</v>
      </c>
      <c r="J26" s="22">
        <v>2.25</v>
      </c>
      <c r="K26" s="22">
        <v>2.23</v>
      </c>
      <c r="L26" s="22">
        <v>2.2200000000000002</v>
      </c>
      <c r="M26" s="22">
        <v>2.2000000000000002</v>
      </c>
      <c r="N26" s="120">
        <v>2.1706324016706389</v>
      </c>
      <c r="O26" s="120">
        <v>2.1362622947305021</v>
      </c>
      <c r="P26" s="120">
        <v>2.0972603427581316</v>
      </c>
      <c r="Q26" s="120">
        <v>2.0892203741832618</v>
      </c>
      <c r="R26" s="120">
        <v>2.0665918036494317</v>
      </c>
      <c r="S26" s="120">
        <v>2.0560958860936305</v>
      </c>
      <c r="T26" s="120">
        <v>2.0830517511662356</v>
      </c>
      <c r="U26" s="120">
        <v>2.0778624179300946</v>
      </c>
      <c r="V26" s="120">
        <v>2.0598808592981879</v>
      </c>
      <c r="W26" s="120">
        <v>2.0414433543388921</v>
      </c>
      <c r="X26" s="120">
        <v>2.0399124499657351</v>
      </c>
      <c r="Y26" s="22">
        <v>2.0299999999999998</v>
      </c>
      <c r="Z26" s="22">
        <v>2.0099999999999998</v>
      </c>
      <c r="AA26" s="22">
        <v>1.99</v>
      </c>
      <c r="AB26">
        <v>1.97</v>
      </c>
    </row>
    <row r="27" spans="1:28" x14ac:dyDescent="0.35">
      <c r="A27" s="3" t="s">
        <v>117</v>
      </c>
      <c r="B27" s="13" t="s">
        <v>118</v>
      </c>
      <c r="C27" s="13" t="s">
        <v>78</v>
      </c>
      <c r="D27" s="22">
        <v>2.29</v>
      </c>
      <c r="E27" s="22">
        <v>2.27</v>
      </c>
      <c r="F27" s="22">
        <v>2.2599999999999998</v>
      </c>
      <c r="G27" s="22">
        <v>2.25</v>
      </c>
      <c r="H27" s="22">
        <v>2.2400000000000002</v>
      </c>
      <c r="I27" s="22">
        <v>2.2200000000000002</v>
      </c>
      <c r="J27" s="22">
        <v>2.2200000000000002</v>
      </c>
      <c r="K27" s="22">
        <v>2.21</v>
      </c>
      <c r="L27" s="22">
        <v>2.19</v>
      </c>
      <c r="M27" s="22">
        <v>2.19</v>
      </c>
      <c r="N27" s="120">
        <v>2.1856972771640311</v>
      </c>
      <c r="O27" s="120">
        <v>2.180796933220186</v>
      </c>
      <c r="P27" s="120">
        <v>2.1727860183038259</v>
      </c>
      <c r="Q27" s="120">
        <v>2.1631889121516013</v>
      </c>
      <c r="R27" s="120">
        <v>2.1465859764592903</v>
      </c>
      <c r="S27" s="120">
        <v>2.1375632823373576</v>
      </c>
      <c r="T27" s="120">
        <v>2.1284667723234527</v>
      </c>
      <c r="U27" s="120">
        <v>2.1155986893125394</v>
      </c>
      <c r="V27" s="120">
        <v>2.1037398706043358</v>
      </c>
      <c r="W27" s="120">
        <v>2.0901495788003213</v>
      </c>
      <c r="X27" s="120">
        <v>2.0758281948371806</v>
      </c>
      <c r="Y27" s="22">
        <v>2.06</v>
      </c>
      <c r="Z27" s="22">
        <v>2.0499999999999998</v>
      </c>
      <c r="AA27" s="22">
        <v>2.04</v>
      </c>
      <c r="AB27">
        <v>2.02</v>
      </c>
    </row>
    <row r="28" spans="1:28" x14ac:dyDescent="0.35">
      <c r="A28" s="3" t="s">
        <v>119</v>
      </c>
      <c r="B28" s="13" t="s">
        <v>120</v>
      </c>
      <c r="C28" s="13" t="s">
        <v>78</v>
      </c>
      <c r="D28" s="22">
        <v>2.4</v>
      </c>
      <c r="E28" s="22">
        <v>2.37</v>
      </c>
      <c r="F28" s="22">
        <v>2.35</v>
      </c>
      <c r="G28" s="22">
        <v>2.34</v>
      </c>
      <c r="H28" s="22">
        <v>2.3199999999999998</v>
      </c>
      <c r="I28" s="22">
        <v>2.31</v>
      </c>
      <c r="J28" s="22">
        <v>2.2999999999999998</v>
      </c>
      <c r="K28" s="22">
        <v>2.2999999999999998</v>
      </c>
      <c r="L28" s="22">
        <v>2.2999999999999998</v>
      </c>
      <c r="M28" s="22">
        <v>2.2999999999999998</v>
      </c>
      <c r="N28" s="120">
        <v>2.2942085457595018</v>
      </c>
      <c r="O28" s="120">
        <v>2.2882863403043938</v>
      </c>
      <c r="P28" s="120">
        <v>2.2823414486791154</v>
      </c>
      <c r="Q28" s="120">
        <v>2.2731434071931704</v>
      </c>
      <c r="R28" s="120">
        <v>2.2690373599160258</v>
      </c>
      <c r="S28" s="120">
        <v>2.2633479085855597</v>
      </c>
      <c r="T28" s="120">
        <v>2.2593243203353963</v>
      </c>
      <c r="U28" s="120">
        <v>2.2548715282252845</v>
      </c>
      <c r="V28" s="120">
        <v>2.2566329003543721</v>
      </c>
      <c r="W28" s="120">
        <v>2.2526780393770971</v>
      </c>
      <c r="X28" s="120">
        <v>2.2451921018381134</v>
      </c>
      <c r="Y28" s="22">
        <v>2.2400000000000002</v>
      </c>
      <c r="Z28" s="22">
        <v>2.23</v>
      </c>
      <c r="AA28" s="22">
        <v>2.23</v>
      </c>
      <c r="AB28" s="120">
        <v>2.2200000000000002</v>
      </c>
    </row>
    <row r="29" spans="1:28" x14ac:dyDescent="0.35">
      <c r="A29" s="3" t="s">
        <v>121</v>
      </c>
      <c r="B29" s="13" t="s">
        <v>122</v>
      </c>
      <c r="C29" s="13" t="s">
        <v>78</v>
      </c>
      <c r="D29" s="22">
        <v>2.2799999999999998</v>
      </c>
      <c r="E29" s="22">
        <v>2.2599999999999998</v>
      </c>
      <c r="F29" s="22">
        <v>2.25</v>
      </c>
      <c r="G29" s="22">
        <v>2.2400000000000002</v>
      </c>
      <c r="H29" s="22">
        <v>2.2200000000000002</v>
      </c>
      <c r="I29" s="22">
        <v>2.2200000000000002</v>
      </c>
      <c r="J29" s="22">
        <v>2.21</v>
      </c>
      <c r="K29" s="22">
        <v>2.2000000000000002</v>
      </c>
      <c r="L29" s="22">
        <v>2.1800000000000002</v>
      </c>
      <c r="M29" s="22">
        <v>2.1800000000000002</v>
      </c>
      <c r="N29" s="120">
        <v>2.1743177783422132</v>
      </c>
      <c r="O29" s="120">
        <v>2.1641327603641534</v>
      </c>
      <c r="P29" s="120">
        <v>2.1495229254025898</v>
      </c>
      <c r="Q29" s="120">
        <v>2.1317949441214785</v>
      </c>
      <c r="R29" s="120">
        <v>2.1140952755495142</v>
      </c>
      <c r="S29" s="120">
        <v>2.1061882647252754</v>
      </c>
      <c r="T29" s="120">
        <v>2.0918892961657396</v>
      </c>
      <c r="U29" s="120">
        <v>2.0802629811358839</v>
      </c>
      <c r="V29" s="120">
        <v>2.0708927458753856</v>
      </c>
      <c r="W29" s="120">
        <v>2.0743654766268809</v>
      </c>
      <c r="X29" s="120">
        <v>2.0592362715873191</v>
      </c>
      <c r="Y29" s="22">
        <v>2.0499999999999998</v>
      </c>
      <c r="Z29" s="22">
        <v>2.02</v>
      </c>
      <c r="AA29" s="22">
        <v>2.0099999999999998</v>
      </c>
      <c r="AB29">
        <v>1.99</v>
      </c>
    </row>
    <row r="30" spans="1:28" x14ac:dyDescent="0.35">
      <c r="A30" s="3" t="s">
        <v>123</v>
      </c>
      <c r="B30" s="13" t="s">
        <v>124</v>
      </c>
      <c r="C30" s="13" t="s">
        <v>78</v>
      </c>
      <c r="D30" s="22">
        <v>2.2400000000000002</v>
      </c>
      <c r="E30" s="22">
        <v>2.2200000000000002</v>
      </c>
      <c r="F30" s="22">
        <v>2.2000000000000002</v>
      </c>
      <c r="G30" s="22">
        <v>2.1800000000000002</v>
      </c>
      <c r="H30" s="22">
        <v>2.17</v>
      </c>
      <c r="I30" s="22">
        <v>2.16</v>
      </c>
      <c r="J30" s="22">
        <v>2.17</v>
      </c>
      <c r="K30" s="22">
        <v>2.16</v>
      </c>
      <c r="L30" s="22">
        <v>2.17</v>
      </c>
      <c r="M30" s="22">
        <v>2.1800000000000002</v>
      </c>
      <c r="N30" s="120">
        <v>2.1929112830413682</v>
      </c>
      <c r="O30" s="120">
        <v>2.1950060484559071</v>
      </c>
      <c r="P30" s="120">
        <v>2.1829044918795049</v>
      </c>
      <c r="Q30" s="120">
        <v>2.1863992888286492</v>
      </c>
      <c r="R30" s="120">
        <v>2.1854714741661367</v>
      </c>
      <c r="S30" s="120">
        <v>2.1829915668763489</v>
      </c>
      <c r="T30" s="120">
        <v>2.1773570704940401</v>
      </c>
      <c r="U30" s="120">
        <v>2.1618351379959542</v>
      </c>
      <c r="V30" s="120">
        <v>2.1477358564916473</v>
      </c>
      <c r="W30" s="120">
        <v>2.1353175625258269</v>
      </c>
      <c r="X30" s="120">
        <v>2.1322754942771041</v>
      </c>
      <c r="Y30" s="22">
        <v>2.12</v>
      </c>
      <c r="Z30" s="22">
        <v>2.12</v>
      </c>
      <c r="AA30" s="22">
        <v>2.12</v>
      </c>
      <c r="AB30" s="120">
        <v>2.11</v>
      </c>
    </row>
    <row r="31" spans="1:28" x14ac:dyDescent="0.35">
      <c r="A31" s="3" t="s">
        <v>125</v>
      </c>
      <c r="B31" s="13" t="s">
        <v>126</v>
      </c>
      <c r="C31" s="13" t="s">
        <v>78</v>
      </c>
      <c r="D31" s="22">
        <v>2.2599999999999998</v>
      </c>
      <c r="E31" s="22">
        <v>2.23</v>
      </c>
      <c r="F31" s="22">
        <v>2.2000000000000002</v>
      </c>
      <c r="G31" s="22">
        <v>2.2000000000000002</v>
      </c>
      <c r="H31" s="22">
        <v>2.1800000000000002</v>
      </c>
      <c r="I31" s="22">
        <v>2.16</v>
      </c>
      <c r="J31" s="22">
        <v>2.15</v>
      </c>
      <c r="K31" s="22">
        <v>2.13</v>
      </c>
      <c r="L31" s="22">
        <v>2.13</v>
      </c>
      <c r="M31" s="22">
        <v>2.13</v>
      </c>
      <c r="N31" s="120">
        <v>2.1322737235090536</v>
      </c>
      <c r="O31" s="120">
        <v>2.1352759224872941</v>
      </c>
      <c r="P31" s="120">
        <v>2.1160048141739871</v>
      </c>
      <c r="Q31" s="120">
        <v>2.1128475277722378</v>
      </c>
      <c r="R31" s="120">
        <v>2.1023974298878705</v>
      </c>
      <c r="S31" s="120">
        <v>2.1046259246892989</v>
      </c>
      <c r="T31" s="120">
        <v>2.0992642720404886</v>
      </c>
      <c r="U31" s="120">
        <v>2.0948958725471272</v>
      </c>
      <c r="V31" s="120">
        <v>2.0938982223344036</v>
      </c>
      <c r="W31" s="120">
        <v>2.091060824611334</v>
      </c>
      <c r="X31" s="120">
        <v>2.0873795372207398</v>
      </c>
      <c r="Y31" s="22">
        <v>2.09</v>
      </c>
      <c r="Z31" s="22">
        <v>2.11</v>
      </c>
      <c r="AA31" s="22">
        <v>2.12</v>
      </c>
      <c r="AB31">
        <v>2.11</v>
      </c>
    </row>
    <row r="32" spans="1:28" x14ac:dyDescent="0.35">
      <c r="A32" s="3" t="s">
        <v>127</v>
      </c>
      <c r="B32" s="13" t="s">
        <v>128</v>
      </c>
      <c r="C32" s="13" t="s">
        <v>78</v>
      </c>
      <c r="D32" s="22">
        <v>2.2200000000000002</v>
      </c>
      <c r="E32" s="22">
        <v>2.21</v>
      </c>
      <c r="F32" s="22">
        <v>2.2000000000000002</v>
      </c>
      <c r="G32" s="22">
        <v>2.2000000000000002</v>
      </c>
      <c r="H32" s="22">
        <v>2.19</v>
      </c>
      <c r="I32" s="22">
        <v>2.1800000000000002</v>
      </c>
      <c r="J32" s="22">
        <v>2.1800000000000002</v>
      </c>
      <c r="K32" s="22">
        <v>2.1800000000000002</v>
      </c>
      <c r="L32" s="22">
        <v>2.17</v>
      </c>
      <c r="M32" s="22">
        <v>2.15</v>
      </c>
      <c r="N32" s="120">
        <v>2.1452719238386648</v>
      </c>
      <c r="O32" s="120">
        <v>2.1395003362245886</v>
      </c>
      <c r="P32" s="120">
        <v>2.1372067110824764</v>
      </c>
      <c r="Q32" s="120">
        <v>2.1365059994602</v>
      </c>
      <c r="R32" s="120">
        <v>2.1318207487053185</v>
      </c>
      <c r="S32" s="120">
        <v>2.1256981213487851</v>
      </c>
      <c r="T32" s="120">
        <v>2.1153826842749708</v>
      </c>
      <c r="U32" s="120">
        <v>2.1158921632381249</v>
      </c>
      <c r="V32" s="120">
        <v>2.1102667238499651</v>
      </c>
      <c r="W32" s="120">
        <v>2.1058559571955962</v>
      </c>
      <c r="X32" s="120">
        <v>2.1000155088068717</v>
      </c>
      <c r="Y32" s="22">
        <v>2.08</v>
      </c>
      <c r="Z32" s="22">
        <v>2.08</v>
      </c>
      <c r="AA32" s="22">
        <v>2.0699999999999998</v>
      </c>
      <c r="AB32">
        <v>2.0499999999999998</v>
      </c>
    </row>
    <row r="33" spans="1:28" x14ac:dyDescent="0.35">
      <c r="A33" s="3" t="s">
        <v>129</v>
      </c>
      <c r="B33" s="13" t="s">
        <v>130</v>
      </c>
      <c r="C33" s="13" t="s">
        <v>78</v>
      </c>
      <c r="D33" s="22">
        <v>2.38</v>
      </c>
      <c r="E33" s="22">
        <v>2.37</v>
      </c>
      <c r="F33" s="22">
        <v>2.35</v>
      </c>
      <c r="G33" s="22">
        <v>2.35</v>
      </c>
      <c r="H33" s="22">
        <v>2.34</v>
      </c>
      <c r="I33" s="22">
        <v>2.3199999999999998</v>
      </c>
      <c r="J33" s="22">
        <v>2.3199999999999998</v>
      </c>
      <c r="K33" s="22">
        <v>2.31</v>
      </c>
      <c r="L33" s="22">
        <v>2.31</v>
      </c>
      <c r="M33" s="22">
        <v>2.31</v>
      </c>
      <c r="N33" s="120">
        <v>2.3118144723586043</v>
      </c>
      <c r="O33" s="120">
        <v>2.2832286808447684</v>
      </c>
      <c r="P33" s="120">
        <v>2.2687686145800954</v>
      </c>
      <c r="Q33" s="120">
        <v>2.2763734216617597</v>
      </c>
      <c r="R33" s="120">
        <v>2.2647805887634904</v>
      </c>
      <c r="S33" s="120">
        <v>2.2415466375651372</v>
      </c>
      <c r="T33" s="120">
        <v>2.2165925268125921</v>
      </c>
      <c r="U33" s="120">
        <v>2.1969907962854163</v>
      </c>
      <c r="V33" s="120">
        <v>2.1765195430250976</v>
      </c>
      <c r="W33" s="120">
        <v>2.170128863471787</v>
      </c>
      <c r="X33" s="120">
        <v>2.1574255888350411</v>
      </c>
      <c r="Y33" s="22">
        <v>2.15</v>
      </c>
      <c r="Z33" s="22">
        <v>2.13</v>
      </c>
      <c r="AA33" s="22">
        <v>2.1</v>
      </c>
      <c r="AB33">
        <v>2.08</v>
      </c>
    </row>
    <row r="34" spans="1:28" x14ac:dyDescent="0.35">
      <c r="A34" s="3" t="s">
        <v>131</v>
      </c>
      <c r="B34" s="13" t="s">
        <v>132</v>
      </c>
      <c r="C34" s="13" t="s">
        <v>78</v>
      </c>
      <c r="D34" s="22">
        <v>2.2599999999999998</v>
      </c>
      <c r="E34" s="22">
        <v>2.2400000000000002</v>
      </c>
      <c r="F34" s="22">
        <v>2.2200000000000002</v>
      </c>
      <c r="G34" s="22">
        <v>2.21</v>
      </c>
      <c r="H34" s="22">
        <v>2.2000000000000002</v>
      </c>
      <c r="I34" s="22">
        <v>2.2000000000000002</v>
      </c>
      <c r="J34" s="22">
        <v>2.19</v>
      </c>
      <c r="K34" s="22">
        <v>2.1800000000000002</v>
      </c>
      <c r="L34" s="22">
        <v>2.1800000000000002</v>
      </c>
      <c r="M34" s="22">
        <v>2.17</v>
      </c>
      <c r="N34" s="120">
        <v>2.1695681538807454</v>
      </c>
      <c r="O34" s="120">
        <v>2.163359313302021</v>
      </c>
      <c r="P34" s="120">
        <v>2.1555343339302366</v>
      </c>
      <c r="Q34" s="120">
        <v>2.1428558163995253</v>
      </c>
      <c r="R34" s="120">
        <v>2.1395112273173926</v>
      </c>
      <c r="S34" s="120">
        <v>2.1395690762051975</v>
      </c>
      <c r="T34" s="120">
        <v>2.1375630188250008</v>
      </c>
      <c r="U34" s="120">
        <v>2.1241629635354506</v>
      </c>
      <c r="V34" s="120">
        <v>2.1137841987107846</v>
      </c>
      <c r="W34" s="120">
        <v>2.1058931047783416</v>
      </c>
      <c r="X34" s="120">
        <v>2.1019278274710005</v>
      </c>
      <c r="Y34" s="22">
        <v>2.1</v>
      </c>
      <c r="Z34" s="22">
        <v>2.09</v>
      </c>
      <c r="AA34" s="22">
        <v>2.09</v>
      </c>
      <c r="AB34">
        <v>2.08</v>
      </c>
    </row>
    <row r="35" spans="1:28" x14ac:dyDescent="0.35">
      <c r="A35" s="3" t="s">
        <v>133</v>
      </c>
      <c r="B35" s="13" t="s">
        <v>134</v>
      </c>
      <c r="C35" s="13" t="s">
        <v>78</v>
      </c>
      <c r="D35" s="22">
        <v>2.36</v>
      </c>
      <c r="E35" s="22">
        <v>2.34</v>
      </c>
      <c r="F35" s="22">
        <v>2.33</v>
      </c>
      <c r="G35" s="22">
        <v>2.33</v>
      </c>
      <c r="H35" s="22">
        <v>2.31</v>
      </c>
      <c r="I35" s="22">
        <v>2.29</v>
      </c>
      <c r="J35" s="22">
        <v>2.27</v>
      </c>
      <c r="K35" s="22">
        <v>2.2599999999999998</v>
      </c>
      <c r="L35" s="22">
        <v>2.25</v>
      </c>
      <c r="M35" s="22">
        <v>2.2400000000000002</v>
      </c>
      <c r="N35" s="120">
        <v>2.2293144697470426</v>
      </c>
      <c r="O35" s="120">
        <v>2.2261209058755109</v>
      </c>
      <c r="P35" s="120">
        <v>2.2244413547437851</v>
      </c>
      <c r="Q35" s="120">
        <v>2.2183060067403737</v>
      </c>
      <c r="R35" s="120">
        <v>2.2169980185116045</v>
      </c>
      <c r="S35" s="120">
        <v>2.2159280174209179</v>
      </c>
      <c r="T35" s="120">
        <v>2.2152751878079759</v>
      </c>
      <c r="U35" s="120">
        <v>2.2113120389449623</v>
      </c>
      <c r="V35" s="120">
        <v>2.2099660167339041</v>
      </c>
      <c r="W35" s="120">
        <v>2.2030231156521558</v>
      </c>
      <c r="X35" s="120">
        <v>2.1999482835510622</v>
      </c>
      <c r="Y35" s="22">
        <v>2.19</v>
      </c>
      <c r="Z35" s="22">
        <v>2.2000000000000002</v>
      </c>
      <c r="AA35" s="22">
        <v>2.19</v>
      </c>
      <c r="AB35">
        <v>2.1800000000000002</v>
      </c>
    </row>
    <row r="36" spans="1:28" x14ac:dyDescent="0.35">
      <c r="A36" s="3" t="s">
        <v>135</v>
      </c>
      <c r="B36" s="13" t="s">
        <v>136</v>
      </c>
      <c r="C36" s="13" t="s">
        <v>78</v>
      </c>
      <c r="D36" s="22">
        <v>2.36</v>
      </c>
      <c r="E36" s="22">
        <v>2.34</v>
      </c>
      <c r="F36" s="22">
        <v>2.3199999999999998</v>
      </c>
      <c r="G36" s="22">
        <v>2.2999999999999998</v>
      </c>
      <c r="H36" s="22">
        <v>2.2999999999999998</v>
      </c>
      <c r="I36" s="22">
        <v>2.2999999999999998</v>
      </c>
      <c r="J36" s="22">
        <v>2.2999999999999998</v>
      </c>
      <c r="K36" s="22">
        <v>2.2799999999999998</v>
      </c>
      <c r="L36" s="22">
        <v>2.27</v>
      </c>
      <c r="M36" s="22">
        <v>2.2799999999999998</v>
      </c>
      <c r="N36" s="120">
        <v>2.2832508484972771</v>
      </c>
      <c r="O36" s="120">
        <v>2.2750422669371457</v>
      </c>
      <c r="P36" s="120">
        <v>2.2625138330670014</v>
      </c>
      <c r="Q36" s="120">
        <v>2.2465418912451707</v>
      </c>
      <c r="R36" s="120">
        <v>2.2466773137549692</v>
      </c>
      <c r="S36" s="120">
        <v>2.2501445777213323</v>
      </c>
      <c r="T36" s="120">
        <v>2.2379040988465611</v>
      </c>
      <c r="U36" s="120">
        <v>2.2354549829600363</v>
      </c>
      <c r="V36" s="120">
        <v>2.2297508757417792</v>
      </c>
      <c r="W36" s="120">
        <v>2.2185018432345118</v>
      </c>
      <c r="X36" s="120">
        <v>2.1907266179077798</v>
      </c>
      <c r="Y36" s="22">
        <v>2.2000000000000002</v>
      </c>
      <c r="Z36" s="22">
        <v>2.2000000000000002</v>
      </c>
      <c r="AA36" s="22">
        <v>2.21</v>
      </c>
      <c r="AB36">
        <v>2.1800000000000002</v>
      </c>
    </row>
    <row r="37" spans="1:28" x14ac:dyDescent="0.35">
      <c r="A37" s="3" t="s">
        <v>137</v>
      </c>
      <c r="B37" s="13" t="s">
        <v>138</v>
      </c>
      <c r="C37" s="13" t="s">
        <v>78</v>
      </c>
      <c r="D37" s="22">
        <v>2.27</v>
      </c>
      <c r="E37" s="22">
        <v>2.27</v>
      </c>
      <c r="F37" s="22">
        <v>2.25</v>
      </c>
      <c r="G37" s="22">
        <v>2.2400000000000002</v>
      </c>
      <c r="H37" s="22">
        <v>2.21</v>
      </c>
      <c r="I37" s="22">
        <v>2.19</v>
      </c>
      <c r="J37" s="22">
        <v>2.1800000000000002</v>
      </c>
      <c r="K37" s="22">
        <v>2.16</v>
      </c>
      <c r="L37" s="22">
        <v>2.16</v>
      </c>
      <c r="M37" s="22">
        <v>2.14</v>
      </c>
      <c r="N37" s="120">
        <v>2.135180088375086</v>
      </c>
      <c r="O37" s="120">
        <v>2.1353331138481311</v>
      </c>
      <c r="P37" s="120">
        <v>2.129569727751413</v>
      </c>
      <c r="Q37" s="120">
        <v>2.1201794237403004</v>
      </c>
      <c r="R37" s="120">
        <v>2.1129998185859495</v>
      </c>
      <c r="S37" s="120">
        <v>2.1206694286259906</v>
      </c>
      <c r="T37" s="120">
        <v>2.1170957183882471</v>
      </c>
      <c r="U37" s="120">
        <v>2.1045125215943488</v>
      </c>
      <c r="V37" s="120">
        <v>2.0983608275162329</v>
      </c>
      <c r="W37" s="120">
        <v>2.082711635302966</v>
      </c>
      <c r="X37" s="120">
        <v>2.0660383709398307</v>
      </c>
      <c r="Y37" s="22">
        <v>2.06</v>
      </c>
      <c r="Z37" s="22">
        <v>2.06</v>
      </c>
      <c r="AA37" s="22">
        <v>2.0499999999999998</v>
      </c>
      <c r="AB37">
        <v>2.0299999999999998</v>
      </c>
    </row>
    <row r="38" spans="1:28" x14ac:dyDescent="0.35">
      <c r="A38" s="3" t="s">
        <v>139</v>
      </c>
      <c r="B38" s="13" t="s">
        <v>140</v>
      </c>
      <c r="C38" s="13" t="s">
        <v>78</v>
      </c>
      <c r="D38" s="22">
        <v>2.4300000000000002</v>
      </c>
      <c r="E38" s="22">
        <v>2.41</v>
      </c>
      <c r="F38" s="22">
        <v>2.39</v>
      </c>
      <c r="G38" s="22">
        <v>2.38</v>
      </c>
      <c r="H38" s="22">
        <v>2.36</v>
      </c>
      <c r="I38" s="22">
        <v>2.36</v>
      </c>
      <c r="J38" s="22">
        <v>2.35</v>
      </c>
      <c r="K38" s="22">
        <v>2.35</v>
      </c>
      <c r="L38" s="22">
        <v>2.36</v>
      </c>
      <c r="M38" s="22">
        <v>2.35</v>
      </c>
      <c r="N38" s="120">
        <v>2.358543795269104</v>
      </c>
      <c r="O38" s="120">
        <v>2.3564528077911788</v>
      </c>
      <c r="P38" s="120">
        <v>2.3420854579160588</v>
      </c>
      <c r="Q38" s="120">
        <v>2.336457005049327</v>
      </c>
      <c r="R38" s="120">
        <v>2.3313936193420215</v>
      </c>
      <c r="S38" s="120">
        <v>2.3269628044993613</v>
      </c>
      <c r="T38" s="120">
        <v>2.3192529290209869</v>
      </c>
      <c r="U38" s="120">
        <v>2.3091380605312026</v>
      </c>
      <c r="V38" s="120">
        <v>2.2902828120724914</v>
      </c>
      <c r="W38" s="120">
        <v>2.270750479387547</v>
      </c>
      <c r="X38" s="120">
        <v>2.257863201529545</v>
      </c>
      <c r="Y38" s="22">
        <v>2.25</v>
      </c>
      <c r="Z38" s="22">
        <v>2.25</v>
      </c>
      <c r="AA38" s="22">
        <v>2.2599999999999998</v>
      </c>
      <c r="AB38">
        <v>2.25</v>
      </c>
    </row>
    <row r="39" spans="1:28" x14ac:dyDescent="0.35">
      <c r="B39" s="15"/>
      <c r="C39" s="15"/>
      <c r="D39" s="23"/>
      <c r="E39" s="23"/>
      <c r="F39" s="23"/>
      <c r="G39" s="23"/>
      <c r="H39" s="23"/>
      <c r="I39" s="23"/>
      <c r="J39" s="23"/>
      <c r="K39" s="23"/>
      <c r="L39" s="23"/>
      <c r="M39" s="23"/>
      <c r="N39" s="23"/>
      <c r="O39" s="23"/>
      <c r="P39" s="23"/>
      <c r="Q39" s="23"/>
      <c r="R39" s="23"/>
      <c r="S39" s="23"/>
      <c r="T39" s="23"/>
      <c r="U39" s="23"/>
      <c r="V39" s="23"/>
      <c r="W39" s="23"/>
      <c r="X39" s="23"/>
      <c r="Y39" s="23"/>
      <c r="Z39" s="23"/>
      <c r="AA39" s="23"/>
    </row>
  </sheetData>
  <phoneticPr fontId="11" type="noConversion"/>
  <pageMargins left="0.7" right="0.7" top="0.75" bottom="0.75" header="0.3" footer="0.3"/>
  <pageSetup paperSize="9" scale="84" fitToWidth="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38"/>
  <sheetViews>
    <sheetView workbookViewId="0"/>
  </sheetViews>
  <sheetFormatPr defaultColWidth="11.53515625" defaultRowHeight="15.5" x14ac:dyDescent="0.35"/>
  <cols>
    <col min="1" max="1" width="21.69140625" customWidth="1"/>
    <col min="2" max="2" width="13.69140625" customWidth="1"/>
    <col min="3" max="3" width="12.69140625" customWidth="1"/>
    <col min="4" max="6" width="10.69140625" customWidth="1"/>
    <col min="7" max="7" width="13.69140625" customWidth="1"/>
    <col min="8" max="9" width="10.69140625" customWidth="1"/>
    <col min="10" max="18" width="13.69140625" customWidth="1"/>
  </cols>
  <sheetData>
    <row r="1" spans="1:25" ht="20" x14ac:dyDescent="0.4">
      <c r="A1" s="1" t="s">
        <v>286</v>
      </c>
      <c r="J1" s="15"/>
    </row>
    <row r="2" spans="1:25" x14ac:dyDescent="0.35">
      <c r="A2" t="s">
        <v>16</v>
      </c>
      <c r="J2" s="15"/>
    </row>
    <row r="3" spans="1:25" s="7" customFormat="1" x14ac:dyDescent="0.35">
      <c r="A3" s="31" t="str">
        <f>HYPERLINK("#'Table of Contents'!A1", "Back to contents")</f>
        <v>Back to contents</v>
      </c>
    </row>
    <row r="4" spans="1:25" ht="77.5" x14ac:dyDescent="0.35">
      <c r="A4" s="11" t="s">
        <v>47</v>
      </c>
      <c r="B4" s="11" t="s">
        <v>48</v>
      </c>
      <c r="C4" s="11" t="s">
        <v>49</v>
      </c>
      <c r="D4" s="12" t="s">
        <v>144</v>
      </c>
      <c r="E4" s="12" t="s">
        <v>145</v>
      </c>
      <c r="F4" s="12" t="s">
        <v>146</v>
      </c>
      <c r="G4" s="12" t="s">
        <v>147</v>
      </c>
      <c r="H4" s="12" t="s">
        <v>148</v>
      </c>
      <c r="I4" s="12" t="s">
        <v>149</v>
      </c>
      <c r="J4" s="12" t="s">
        <v>151</v>
      </c>
      <c r="K4" s="12" t="s">
        <v>150</v>
      </c>
      <c r="L4" s="12" t="s">
        <v>152</v>
      </c>
      <c r="M4" s="12" t="s">
        <v>153</v>
      </c>
      <c r="N4" s="12" t="s">
        <v>154</v>
      </c>
      <c r="O4" s="12" t="s">
        <v>155</v>
      </c>
      <c r="P4" s="12" t="s">
        <v>156</v>
      </c>
      <c r="Q4" s="12" t="s">
        <v>158</v>
      </c>
      <c r="R4" s="12" t="s">
        <v>157</v>
      </c>
    </row>
    <row r="5" spans="1:25" ht="25" customHeight="1" x14ac:dyDescent="0.35">
      <c r="A5" s="18" t="s">
        <v>73</v>
      </c>
      <c r="B5" s="19" t="s">
        <v>74</v>
      </c>
      <c r="C5" s="19" t="s">
        <v>75</v>
      </c>
      <c r="D5" s="20">
        <v>2757863</v>
      </c>
      <c r="E5" s="20">
        <v>2647494</v>
      </c>
      <c r="F5" s="20">
        <v>89442</v>
      </c>
      <c r="G5" s="20">
        <v>44989</v>
      </c>
      <c r="H5" s="20">
        <v>44453</v>
      </c>
      <c r="I5" s="20">
        <v>20927</v>
      </c>
      <c r="J5" s="20">
        <v>89725</v>
      </c>
      <c r="K5" s="20">
        <v>1068355</v>
      </c>
      <c r="L5" s="21">
        <v>96</v>
      </c>
      <c r="M5" s="21">
        <v>3.2</v>
      </c>
      <c r="N5" s="21">
        <v>1.6</v>
      </c>
      <c r="O5" s="21">
        <v>1.6</v>
      </c>
      <c r="P5" s="21">
        <v>0.8</v>
      </c>
      <c r="Q5" s="21">
        <v>3.3</v>
      </c>
      <c r="R5" s="21">
        <v>38.700000000000003</v>
      </c>
      <c r="S5" s="30"/>
      <c r="T5" s="30"/>
      <c r="U5" s="30"/>
      <c r="V5" s="30"/>
      <c r="W5" s="30"/>
      <c r="X5" s="30"/>
      <c r="Y5" s="30"/>
    </row>
    <row r="6" spans="1:25" x14ac:dyDescent="0.35">
      <c r="A6" s="3" t="s">
        <v>141</v>
      </c>
      <c r="B6" s="13" t="s">
        <v>77</v>
      </c>
      <c r="C6" s="13" t="s">
        <v>78</v>
      </c>
      <c r="D6" s="14">
        <v>126846</v>
      </c>
      <c r="E6" s="14">
        <v>118037</v>
      </c>
      <c r="F6" s="14">
        <v>8389</v>
      </c>
      <c r="G6" s="14">
        <v>2265</v>
      </c>
      <c r="H6" s="14">
        <v>6124</v>
      </c>
      <c r="I6" s="14">
        <v>420</v>
      </c>
      <c r="J6" s="14">
        <v>7816</v>
      </c>
      <c r="K6" s="14">
        <v>51889</v>
      </c>
      <c r="L6" s="16">
        <v>93.1</v>
      </c>
      <c r="M6" s="16">
        <v>6.6</v>
      </c>
      <c r="N6" s="16">
        <v>1.8</v>
      </c>
      <c r="O6" s="16">
        <v>4.8</v>
      </c>
      <c r="P6" s="16">
        <v>0.3</v>
      </c>
      <c r="Q6" s="16">
        <v>6.2</v>
      </c>
      <c r="R6" s="16">
        <v>40.9</v>
      </c>
      <c r="S6" s="30"/>
      <c r="T6" s="30"/>
      <c r="U6" s="30"/>
      <c r="V6" s="30"/>
      <c r="W6" s="30"/>
      <c r="X6" s="30"/>
      <c r="Y6" s="30"/>
    </row>
    <row r="7" spans="1:25" x14ac:dyDescent="0.35">
      <c r="A7" s="3" t="s">
        <v>79</v>
      </c>
      <c r="B7" s="13" t="s">
        <v>80</v>
      </c>
      <c r="C7" s="13" t="s">
        <v>78</v>
      </c>
      <c r="D7" s="14">
        <v>124154</v>
      </c>
      <c r="E7" s="14">
        <v>117686</v>
      </c>
      <c r="F7" s="14">
        <v>5314</v>
      </c>
      <c r="G7" s="14">
        <v>2418</v>
      </c>
      <c r="H7" s="14">
        <v>2896</v>
      </c>
      <c r="I7" s="14">
        <v>1154</v>
      </c>
      <c r="J7" s="14">
        <v>1502</v>
      </c>
      <c r="K7" s="14">
        <v>41501</v>
      </c>
      <c r="L7" s="16">
        <v>94.8</v>
      </c>
      <c r="M7" s="16">
        <v>4.3</v>
      </c>
      <c r="N7" s="16">
        <v>1.9</v>
      </c>
      <c r="O7" s="16">
        <v>2.2999999999999998</v>
      </c>
      <c r="P7" s="16">
        <v>0.9</v>
      </c>
      <c r="Q7" s="16">
        <v>1.2</v>
      </c>
      <c r="R7" s="16">
        <v>33.4</v>
      </c>
      <c r="S7" s="30"/>
      <c r="T7" s="30"/>
      <c r="U7" s="30"/>
      <c r="V7" s="30"/>
      <c r="W7" s="30"/>
      <c r="X7" s="30"/>
      <c r="Y7" s="30"/>
    </row>
    <row r="8" spans="1:25" x14ac:dyDescent="0.35">
      <c r="A8" s="3" t="s">
        <v>81</v>
      </c>
      <c r="B8" s="13" t="s">
        <v>82</v>
      </c>
      <c r="C8" s="13" t="s">
        <v>78</v>
      </c>
      <c r="D8" s="14">
        <v>58769</v>
      </c>
      <c r="E8" s="14">
        <v>55884</v>
      </c>
      <c r="F8" s="14">
        <v>2605</v>
      </c>
      <c r="G8" s="14">
        <v>1222</v>
      </c>
      <c r="H8" s="14">
        <v>1383</v>
      </c>
      <c r="I8" s="14">
        <v>280</v>
      </c>
      <c r="J8" s="14">
        <v>825</v>
      </c>
      <c r="K8" s="14">
        <v>22933</v>
      </c>
      <c r="L8" s="16">
        <v>95.1</v>
      </c>
      <c r="M8" s="16">
        <v>4.4000000000000004</v>
      </c>
      <c r="N8" s="16">
        <v>2.1</v>
      </c>
      <c r="O8" s="16">
        <v>2.4</v>
      </c>
      <c r="P8" s="16">
        <v>0.5</v>
      </c>
      <c r="Q8" s="16">
        <v>1.4</v>
      </c>
      <c r="R8" s="16">
        <v>39</v>
      </c>
      <c r="S8" s="30"/>
      <c r="T8" s="30"/>
      <c r="U8" s="30"/>
      <c r="V8" s="30"/>
      <c r="W8" s="30"/>
      <c r="X8" s="30"/>
      <c r="Y8" s="30"/>
    </row>
    <row r="9" spans="1:25" x14ac:dyDescent="0.35">
      <c r="A9" s="3" t="s">
        <v>83</v>
      </c>
      <c r="B9" s="13" t="s">
        <v>84</v>
      </c>
      <c r="C9" s="13" t="s">
        <v>78</v>
      </c>
      <c r="D9" s="14">
        <v>49917</v>
      </c>
      <c r="E9" s="14">
        <v>43743</v>
      </c>
      <c r="F9" s="14">
        <v>3369</v>
      </c>
      <c r="G9" s="14">
        <v>909</v>
      </c>
      <c r="H9" s="14">
        <v>2460</v>
      </c>
      <c r="I9" s="14">
        <v>2805</v>
      </c>
      <c r="J9" s="14">
        <v>1220</v>
      </c>
      <c r="K9" s="14">
        <v>17870</v>
      </c>
      <c r="L9" s="16">
        <v>87.6</v>
      </c>
      <c r="M9" s="16">
        <v>6.7</v>
      </c>
      <c r="N9" s="16">
        <v>1.8</v>
      </c>
      <c r="O9" s="16">
        <v>4.9000000000000004</v>
      </c>
      <c r="P9" s="16">
        <v>5.6</v>
      </c>
      <c r="Q9" s="16">
        <v>2.4</v>
      </c>
      <c r="R9" s="16">
        <v>35.799999999999997</v>
      </c>
      <c r="S9" s="30"/>
      <c r="T9" s="30"/>
      <c r="U9" s="30"/>
      <c r="V9" s="30"/>
      <c r="W9" s="30"/>
      <c r="X9" s="30"/>
      <c r="Y9" s="30"/>
    </row>
    <row r="10" spans="1:25" x14ac:dyDescent="0.35">
      <c r="A10" s="3" t="s">
        <v>142</v>
      </c>
      <c r="B10" s="13" t="s">
        <v>86</v>
      </c>
      <c r="C10" s="13" t="s">
        <v>78</v>
      </c>
      <c r="D10" s="14">
        <v>269306</v>
      </c>
      <c r="E10" s="14">
        <v>261402</v>
      </c>
      <c r="F10" s="14">
        <v>6464</v>
      </c>
      <c r="G10" s="14">
        <v>3384</v>
      </c>
      <c r="H10" s="14">
        <v>3080</v>
      </c>
      <c r="I10" s="14">
        <v>1440</v>
      </c>
      <c r="J10" s="14">
        <v>17452</v>
      </c>
      <c r="K10" s="14">
        <v>100737</v>
      </c>
      <c r="L10" s="16">
        <v>97.1</v>
      </c>
      <c r="M10" s="16">
        <v>2.4</v>
      </c>
      <c r="N10" s="16">
        <v>1.3</v>
      </c>
      <c r="O10" s="16">
        <v>1.1000000000000001</v>
      </c>
      <c r="P10" s="16">
        <v>0.5</v>
      </c>
      <c r="Q10" s="16">
        <v>6.5</v>
      </c>
      <c r="R10" s="16">
        <v>37.4</v>
      </c>
      <c r="S10" s="30"/>
      <c r="T10" s="30"/>
      <c r="U10" s="30"/>
      <c r="V10" s="30"/>
      <c r="W10" s="30"/>
      <c r="X10" s="30"/>
      <c r="Y10" s="30"/>
    </row>
    <row r="11" spans="1:25" x14ac:dyDescent="0.35">
      <c r="A11" s="3" t="s">
        <v>87</v>
      </c>
      <c r="B11" s="13" t="s">
        <v>88</v>
      </c>
      <c r="C11" s="13" t="s">
        <v>78</v>
      </c>
      <c r="D11" s="14">
        <v>25328</v>
      </c>
      <c r="E11" s="14">
        <v>24687</v>
      </c>
      <c r="F11" s="14">
        <v>610</v>
      </c>
      <c r="G11" s="14">
        <v>450</v>
      </c>
      <c r="H11" s="14">
        <v>160</v>
      </c>
      <c r="I11" s="14">
        <v>31</v>
      </c>
      <c r="J11" s="14">
        <v>369</v>
      </c>
      <c r="K11" s="14">
        <v>10163</v>
      </c>
      <c r="L11" s="16">
        <v>97.5</v>
      </c>
      <c r="M11" s="16">
        <v>2.4</v>
      </c>
      <c r="N11" s="16">
        <v>1.8</v>
      </c>
      <c r="O11" s="16">
        <v>0.6</v>
      </c>
      <c r="P11" s="16">
        <v>0.1</v>
      </c>
      <c r="Q11" s="16">
        <v>1.5</v>
      </c>
      <c r="R11" s="16">
        <v>40.1</v>
      </c>
      <c r="S11" s="30"/>
      <c r="T11" s="30"/>
      <c r="U11" s="30"/>
      <c r="V11" s="30"/>
      <c r="W11" s="30"/>
      <c r="X11" s="30"/>
      <c r="Y11" s="30"/>
    </row>
    <row r="12" spans="1:25" x14ac:dyDescent="0.35">
      <c r="A12" s="3" t="s">
        <v>89</v>
      </c>
      <c r="B12" s="13" t="s">
        <v>90</v>
      </c>
      <c r="C12" s="13" t="s">
        <v>78</v>
      </c>
      <c r="D12" s="14">
        <v>76696</v>
      </c>
      <c r="E12" s="14">
        <v>72384</v>
      </c>
      <c r="F12" s="14">
        <v>3112</v>
      </c>
      <c r="G12" s="14">
        <v>1362</v>
      </c>
      <c r="H12" s="14">
        <v>1750</v>
      </c>
      <c r="I12" s="14">
        <v>1200</v>
      </c>
      <c r="J12" s="14">
        <v>1006</v>
      </c>
      <c r="K12" s="14">
        <v>30080</v>
      </c>
      <c r="L12" s="16">
        <v>94.4</v>
      </c>
      <c r="M12" s="16">
        <v>4.0999999999999996</v>
      </c>
      <c r="N12" s="16">
        <v>1.8</v>
      </c>
      <c r="O12" s="16">
        <v>2.2999999999999998</v>
      </c>
      <c r="P12" s="16">
        <v>1.6</v>
      </c>
      <c r="Q12" s="16">
        <v>1.3</v>
      </c>
      <c r="R12" s="16">
        <v>39.200000000000003</v>
      </c>
      <c r="S12" s="30"/>
      <c r="T12" s="30"/>
      <c r="U12" s="30"/>
      <c r="V12" s="30"/>
      <c r="W12" s="30"/>
      <c r="X12" s="30"/>
      <c r="Y12" s="30"/>
    </row>
    <row r="13" spans="1:25" x14ac:dyDescent="0.35">
      <c r="A13" s="3" t="s">
        <v>91</v>
      </c>
      <c r="B13" s="13" t="s">
        <v>92</v>
      </c>
      <c r="C13" s="13" t="s">
        <v>78</v>
      </c>
      <c r="D13" s="14">
        <v>77323</v>
      </c>
      <c r="E13" s="14">
        <v>74322</v>
      </c>
      <c r="F13" s="14">
        <v>2828</v>
      </c>
      <c r="G13" s="14">
        <v>1889</v>
      </c>
      <c r="H13" s="14">
        <v>939</v>
      </c>
      <c r="I13" s="14">
        <v>173</v>
      </c>
      <c r="J13" s="14">
        <v>5113</v>
      </c>
      <c r="K13" s="14">
        <v>34336</v>
      </c>
      <c r="L13" s="16">
        <v>96.1</v>
      </c>
      <c r="M13" s="16">
        <v>3.7</v>
      </c>
      <c r="N13" s="16">
        <v>2.4</v>
      </c>
      <c r="O13" s="16">
        <v>1.2</v>
      </c>
      <c r="P13" s="16">
        <v>0.2</v>
      </c>
      <c r="Q13" s="16">
        <v>6.6</v>
      </c>
      <c r="R13" s="16">
        <v>44.4</v>
      </c>
      <c r="S13" s="30"/>
      <c r="T13" s="30"/>
      <c r="U13" s="30"/>
      <c r="V13" s="30"/>
      <c r="W13" s="30"/>
      <c r="X13" s="30"/>
      <c r="Y13" s="30"/>
    </row>
    <row r="14" spans="1:25" x14ac:dyDescent="0.35">
      <c r="A14" s="3" t="s">
        <v>93</v>
      </c>
      <c r="B14" s="13" t="s">
        <v>94</v>
      </c>
      <c r="C14" s="13" t="s">
        <v>78</v>
      </c>
      <c r="D14" s="14">
        <v>60223</v>
      </c>
      <c r="E14" s="14">
        <v>58779</v>
      </c>
      <c r="F14" s="14">
        <v>1361</v>
      </c>
      <c r="G14" s="14">
        <v>892</v>
      </c>
      <c r="H14" s="14">
        <v>469</v>
      </c>
      <c r="I14" s="14">
        <v>83</v>
      </c>
      <c r="J14" s="14">
        <v>671</v>
      </c>
      <c r="K14" s="14">
        <v>23859</v>
      </c>
      <c r="L14" s="16">
        <v>97.6</v>
      </c>
      <c r="M14" s="16">
        <v>2.2999999999999998</v>
      </c>
      <c r="N14" s="16">
        <v>1.5</v>
      </c>
      <c r="O14" s="16">
        <v>0.8</v>
      </c>
      <c r="P14" s="16">
        <v>0.1</v>
      </c>
      <c r="Q14" s="16">
        <v>1.1000000000000001</v>
      </c>
      <c r="R14" s="16">
        <v>39.6</v>
      </c>
      <c r="S14" s="30"/>
      <c r="T14" s="30"/>
      <c r="U14" s="30"/>
      <c r="V14" s="30"/>
      <c r="W14" s="30"/>
      <c r="X14" s="30"/>
      <c r="Y14" s="30"/>
    </row>
    <row r="15" spans="1:25" x14ac:dyDescent="0.35">
      <c r="A15" s="3" t="s">
        <v>95</v>
      </c>
      <c r="B15" s="13" t="s">
        <v>96</v>
      </c>
      <c r="C15" s="13" t="s">
        <v>78</v>
      </c>
      <c r="D15" s="14">
        <v>48397</v>
      </c>
      <c r="E15" s="14">
        <v>47539</v>
      </c>
      <c r="F15" s="14">
        <v>792</v>
      </c>
      <c r="G15" s="14">
        <v>540</v>
      </c>
      <c r="H15" s="14">
        <v>252</v>
      </c>
      <c r="I15" s="14">
        <v>66</v>
      </c>
      <c r="J15" s="14">
        <v>574</v>
      </c>
      <c r="K15" s="14">
        <v>15767</v>
      </c>
      <c r="L15" s="16">
        <v>98.2</v>
      </c>
      <c r="M15" s="16">
        <v>1.6</v>
      </c>
      <c r="N15" s="16">
        <v>1.1000000000000001</v>
      </c>
      <c r="O15" s="16">
        <v>0.5</v>
      </c>
      <c r="P15" s="16">
        <v>0.1</v>
      </c>
      <c r="Q15" s="16">
        <v>1.2</v>
      </c>
      <c r="R15" s="16">
        <v>32.6</v>
      </c>
      <c r="S15" s="30"/>
      <c r="T15" s="30"/>
      <c r="U15" s="30"/>
      <c r="V15" s="30"/>
      <c r="W15" s="30"/>
      <c r="X15" s="30"/>
      <c r="Y15" s="30"/>
    </row>
    <row r="16" spans="1:25" x14ac:dyDescent="0.35">
      <c r="A16" s="3" t="s">
        <v>97</v>
      </c>
      <c r="B16" s="13" t="s">
        <v>98</v>
      </c>
      <c r="C16" s="13" t="s">
        <v>78</v>
      </c>
      <c r="D16" s="14">
        <v>54314</v>
      </c>
      <c r="E16" s="14">
        <v>52669</v>
      </c>
      <c r="F16" s="14">
        <v>1076</v>
      </c>
      <c r="G16" s="14">
        <v>612</v>
      </c>
      <c r="H16" s="14">
        <v>464</v>
      </c>
      <c r="I16" s="14">
        <v>569</v>
      </c>
      <c r="J16" s="14">
        <v>793</v>
      </c>
      <c r="K16" s="14">
        <v>18763</v>
      </c>
      <c r="L16" s="16">
        <v>97</v>
      </c>
      <c r="M16" s="16">
        <v>2</v>
      </c>
      <c r="N16" s="16">
        <v>1.1000000000000001</v>
      </c>
      <c r="O16" s="16">
        <v>0.9</v>
      </c>
      <c r="P16" s="16">
        <v>1</v>
      </c>
      <c r="Q16" s="16">
        <v>1.5</v>
      </c>
      <c r="R16" s="16">
        <v>34.5</v>
      </c>
      <c r="S16" s="30"/>
      <c r="T16" s="30"/>
      <c r="U16" s="30"/>
      <c r="V16" s="30"/>
      <c r="W16" s="30"/>
      <c r="X16" s="30"/>
      <c r="Y16" s="30"/>
    </row>
    <row r="17" spans="1:25" x14ac:dyDescent="0.35">
      <c r="A17" s="3" t="s">
        <v>99</v>
      </c>
      <c r="B17" s="13" t="s">
        <v>100</v>
      </c>
      <c r="C17" s="13" t="s">
        <v>78</v>
      </c>
      <c r="D17" s="14">
        <v>41304</v>
      </c>
      <c r="E17" s="14">
        <v>40840</v>
      </c>
      <c r="F17" s="14">
        <v>427</v>
      </c>
      <c r="G17" s="14">
        <v>391</v>
      </c>
      <c r="H17" s="14">
        <v>36</v>
      </c>
      <c r="I17" s="14">
        <v>37</v>
      </c>
      <c r="J17" s="14">
        <v>574</v>
      </c>
      <c r="K17" s="14">
        <v>12744</v>
      </c>
      <c r="L17" s="16">
        <v>98.9</v>
      </c>
      <c r="M17" s="16">
        <v>1</v>
      </c>
      <c r="N17" s="16">
        <v>0.9</v>
      </c>
      <c r="O17" s="16">
        <v>0.1</v>
      </c>
      <c r="P17" s="16">
        <v>0.1</v>
      </c>
      <c r="Q17" s="16">
        <v>1.4</v>
      </c>
      <c r="R17" s="16">
        <v>30.9</v>
      </c>
      <c r="S17" s="30"/>
      <c r="T17" s="30"/>
      <c r="U17" s="30"/>
      <c r="V17" s="30"/>
      <c r="W17" s="30"/>
      <c r="X17" s="30"/>
      <c r="Y17" s="30"/>
    </row>
    <row r="18" spans="1:25" x14ac:dyDescent="0.35">
      <c r="A18" s="3" t="s">
        <v>101</v>
      </c>
      <c r="B18" s="13" t="s">
        <v>102</v>
      </c>
      <c r="C18" s="13" t="s">
        <v>78</v>
      </c>
      <c r="D18" s="14">
        <v>77222</v>
      </c>
      <c r="E18" s="14">
        <v>75457</v>
      </c>
      <c r="F18" s="14">
        <v>1691</v>
      </c>
      <c r="G18" s="14">
        <v>1038</v>
      </c>
      <c r="H18" s="14">
        <v>653</v>
      </c>
      <c r="I18" s="14">
        <v>74</v>
      </c>
      <c r="J18" s="14">
        <v>999</v>
      </c>
      <c r="K18" s="14">
        <v>31023</v>
      </c>
      <c r="L18" s="16">
        <v>97.7</v>
      </c>
      <c r="M18" s="16">
        <v>2.2000000000000002</v>
      </c>
      <c r="N18" s="16">
        <v>1.3</v>
      </c>
      <c r="O18" s="16">
        <v>0.8</v>
      </c>
      <c r="P18" s="16">
        <v>0.1</v>
      </c>
      <c r="Q18" s="16">
        <v>1.3</v>
      </c>
      <c r="R18" s="16">
        <v>40.200000000000003</v>
      </c>
      <c r="S18" s="30"/>
      <c r="T18" s="30"/>
      <c r="U18" s="30"/>
      <c r="V18" s="30"/>
      <c r="W18" s="30"/>
      <c r="X18" s="30"/>
      <c r="Y18" s="30"/>
    </row>
    <row r="19" spans="1:25" x14ac:dyDescent="0.35">
      <c r="A19" s="3" t="s">
        <v>103</v>
      </c>
      <c r="B19" s="13" t="s">
        <v>104</v>
      </c>
      <c r="C19" s="13" t="s">
        <v>78</v>
      </c>
      <c r="D19" s="14">
        <v>184628</v>
      </c>
      <c r="E19" s="14">
        <v>176627</v>
      </c>
      <c r="F19" s="14">
        <v>6045</v>
      </c>
      <c r="G19" s="14">
        <v>3495</v>
      </c>
      <c r="H19" s="14">
        <v>2550</v>
      </c>
      <c r="I19" s="14">
        <v>1956</v>
      </c>
      <c r="J19" s="14">
        <v>3895</v>
      </c>
      <c r="K19" s="14">
        <v>72264</v>
      </c>
      <c r="L19" s="16">
        <v>95.7</v>
      </c>
      <c r="M19" s="16">
        <v>3.3</v>
      </c>
      <c r="N19" s="16">
        <v>1.9</v>
      </c>
      <c r="O19" s="16">
        <v>1.4</v>
      </c>
      <c r="P19" s="16">
        <v>1.1000000000000001</v>
      </c>
      <c r="Q19" s="16">
        <v>2.1</v>
      </c>
      <c r="R19" s="16">
        <v>39.1</v>
      </c>
      <c r="S19" s="30"/>
      <c r="T19" s="30"/>
      <c r="U19" s="30"/>
      <c r="V19" s="30"/>
      <c r="W19" s="30"/>
      <c r="X19" s="30"/>
      <c r="Y19" s="30"/>
    </row>
    <row r="20" spans="1:25" x14ac:dyDescent="0.35">
      <c r="A20" s="3" t="s">
        <v>143</v>
      </c>
      <c r="B20" s="13" t="s">
        <v>106</v>
      </c>
      <c r="C20" s="13" t="s">
        <v>78</v>
      </c>
      <c r="D20" s="14">
        <v>329581</v>
      </c>
      <c r="E20" s="14">
        <v>320900</v>
      </c>
      <c r="F20" s="14">
        <v>8156</v>
      </c>
      <c r="G20" s="14">
        <v>5147</v>
      </c>
      <c r="H20" s="14">
        <v>3009</v>
      </c>
      <c r="I20" s="14">
        <v>525</v>
      </c>
      <c r="J20" s="14">
        <v>27413</v>
      </c>
      <c r="K20" s="14">
        <v>142351</v>
      </c>
      <c r="L20" s="16">
        <v>97.4</v>
      </c>
      <c r="M20" s="16">
        <v>2.5</v>
      </c>
      <c r="N20" s="16">
        <v>1.6</v>
      </c>
      <c r="O20" s="16">
        <v>0.9</v>
      </c>
      <c r="P20" s="16">
        <v>0.2</v>
      </c>
      <c r="Q20" s="16">
        <v>8.3000000000000007</v>
      </c>
      <c r="R20" s="16">
        <v>43.2</v>
      </c>
      <c r="S20" s="30"/>
      <c r="T20" s="30"/>
      <c r="U20" s="30"/>
      <c r="V20" s="30"/>
      <c r="W20" s="30"/>
      <c r="X20" s="30"/>
      <c r="Y20" s="30"/>
    </row>
    <row r="21" spans="1:25" x14ac:dyDescent="0.35">
      <c r="A21" s="3" t="s">
        <v>107</v>
      </c>
      <c r="B21" s="13" t="s">
        <v>108</v>
      </c>
      <c r="C21" s="13" t="s">
        <v>78</v>
      </c>
      <c r="D21" s="14">
        <v>125736</v>
      </c>
      <c r="E21" s="14">
        <v>116322</v>
      </c>
      <c r="F21" s="14">
        <v>6028</v>
      </c>
      <c r="G21" s="14">
        <v>2059</v>
      </c>
      <c r="H21" s="14">
        <v>3969</v>
      </c>
      <c r="I21" s="14">
        <v>3386</v>
      </c>
      <c r="J21" s="14">
        <v>2019</v>
      </c>
      <c r="K21" s="14">
        <v>45326</v>
      </c>
      <c r="L21" s="16">
        <v>92.5</v>
      </c>
      <c r="M21" s="16">
        <v>4.8</v>
      </c>
      <c r="N21" s="16">
        <v>1.6</v>
      </c>
      <c r="O21" s="16">
        <v>3.2</v>
      </c>
      <c r="P21" s="16">
        <v>2.7</v>
      </c>
      <c r="Q21" s="16">
        <v>1.6</v>
      </c>
      <c r="R21" s="16">
        <v>36</v>
      </c>
      <c r="S21" s="30"/>
      <c r="T21" s="30"/>
      <c r="U21" s="30"/>
      <c r="V21" s="30"/>
      <c r="W21" s="30"/>
      <c r="X21" s="30"/>
      <c r="Y21" s="30"/>
    </row>
    <row r="22" spans="1:25" x14ac:dyDescent="0.35">
      <c r="A22" s="3" t="s">
        <v>109</v>
      </c>
      <c r="B22" s="13" t="s">
        <v>110</v>
      </c>
      <c r="C22" s="13" t="s">
        <v>78</v>
      </c>
      <c r="D22" s="14">
        <v>39788</v>
      </c>
      <c r="E22" s="14">
        <v>37966</v>
      </c>
      <c r="F22" s="14">
        <v>1746</v>
      </c>
      <c r="G22" s="14">
        <v>1200</v>
      </c>
      <c r="H22" s="14">
        <v>546</v>
      </c>
      <c r="I22" s="14">
        <v>76</v>
      </c>
      <c r="J22" s="14">
        <v>816</v>
      </c>
      <c r="K22" s="14">
        <v>16440</v>
      </c>
      <c r="L22" s="16">
        <v>95.4</v>
      </c>
      <c r="M22" s="16">
        <v>4.4000000000000004</v>
      </c>
      <c r="N22" s="16">
        <v>3</v>
      </c>
      <c r="O22" s="16">
        <v>1.4</v>
      </c>
      <c r="P22" s="16">
        <v>0.2</v>
      </c>
      <c r="Q22" s="16">
        <v>2.1</v>
      </c>
      <c r="R22" s="16">
        <v>41.3</v>
      </c>
      <c r="S22" s="30"/>
      <c r="T22" s="30"/>
      <c r="U22" s="30"/>
      <c r="V22" s="30"/>
      <c r="W22" s="30"/>
      <c r="X22" s="30"/>
      <c r="Y22" s="30"/>
    </row>
    <row r="23" spans="1:25" x14ac:dyDescent="0.35">
      <c r="A23" s="3" t="s">
        <v>111</v>
      </c>
      <c r="B23" s="13" t="s">
        <v>112</v>
      </c>
      <c r="C23" s="13" t="s">
        <v>78</v>
      </c>
      <c r="D23" s="14">
        <v>45527</v>
      </c>
      <c r="E23" s="14">
        <v>44646</v>
      </c>
      <c r="F23" s="14">
        <v>878</v>
      </c>
      <c r="G23" s="14">
        <v>431</v>
      </c>
      <c r="H23" s="14">
        <v>447</v>
      </c>
      <c r="I23" s="14">
        <v>3</v>
      </c>
      <c r="J23" s="14">
        <v>767</v>
      </c>
      <c r="K23" s="14">
        <v>15039</v>
      </c>
      <c r="L23" s="16">
        <v>98.1</v>
      </c>
      <c r="M23" s="16">
        <v>1.9</v>
      </c>
      <c r="N23" s="16">
        <v>0.9</v>
      </c>
      <c r="O23" s="16">
        <v>1</v>
      </c>
      <c r="P23" s="16">
        <v>0</v>
      </c>
      <c r="Q23" s="16">
        <v>1.7</v>
      </c>
      <c r="R23" s="16">
        <v>33</v>
      </c>
      <c r="S23" s="30"/>
      <c r="T23" s="30"/>
      <c r="U23" s="30"/>
      <c r="V23" s="30"/>
      <c r="W23" s="30"/>
      <c r="X23" s="30"/>
      <c r="Y23" s="30"/>
    </row>
    <row r="24" spans="1:25" x14ac:dyDescent="0.35">
      <c r="A24" s="3" t="s">
        <v>113</v>
      </c>
      <c r="B24" s="13" t="s">
        <v>114</v>
      </c>
      <c r="C24" s="13" t="s">
        <v>78</v>
      </c>
      <c r="D24" s="14">
        <v>47804</v>
      </c>
      <c r="E24" s="14">
        <v>45416</v>
      </c>
      <c r="F24" s="14">
        <v>1687</v>
      </c>
      <c r="G24" s="14">
        <v>922</v>
      </c>
      <c r="H24" s="14">
        <v>765</v>
      </c>
      <c r="I24" s="14">
        <v>701</v>
      </c>
      <c r="J24" s="14">
        <v>1808</v>
      </c>
      <c r="K24" s="14">
        <v>17535</v>
      </c>
      <c r="L24" s="16">
        <v>95</v>
      </c>
      <c r="M24" s="16">
        <v>3.5</v>
      </c>
      <c r="N24" s="16">
        <v>1.9</v>
      </c>
      <c r="O24" s="16">
        <v>1.6</v>
      </c>
      <c r="P24" s="16">
        <v>1.5</v>
      </c>
      <c r="Q24" s="16">
        <v>3.8</v>
      </c>
      <c r="R24" s="16">
        <v>36.700000000000003</v>
      </c>
      <c r="S24" s="30"/>
      <c r="T24" s="30"/>
      <c r="U24" s="30"/>
      <c r="V24" s="30"/>
      <c r="W24" s="30"/>
      <c r="X24" s="30"/>
      <c r="Y24" s="30"/>
    </row>
    <row r="25" spans="1:25" x14ac:dyDescent="0.35">
      <c r="A25" s="3" t="s">
        <v>115</v>
      </c>
      <c r="B25" s="13" t="s">
        <v>116</v>
      </c>
      <c r="C25" s="13" t="s">
        <v>78</v>
      </c>
      <c r="D25" s="14">
        <v>15353</v>
      </c>
      <c r="E25" s="14">
        <v>13223</v>
      </c>
      <c r="F25" s="14">
        <v>1227</v>
      </c>
      <c r="G25" s="14">
        <v>549</v>
      </c>
      <c r="H25" s="14">
        <v>678</v>
      </c>
      <c r="I25" s="14">
        <v>903</v>
      </c>
      <c r="J25" s="14">
        <v>150</v>
      </c>
      <c r="K25" s="14">
        <v>5605</v>
      </c>
      <c r="L25" s="16">
        <v>86.1</v>
      </c>
      <c r="M25" s="16">
        <v>8</v>
      </c>
      <c r="N25" s="16">
        <v>3.6</v>
      </c>
      <c r="O25" s="16">
        <v>4.4000000000000004</v>
      </c>
      <c r="P25" s="16">
        <v>5.9</v>
      </c>
      <c r="Q25" s="16">
        <v>1</v>
      </c>
      <c r="R25" s="16">
        <v>36.5</v>
      </c>
      <c r="S25" s="30"/>
      <c r="T25" s="30"/>
      <c r="U25" s="30"/>
      <c r="V25" s="30"/>
      <c r="W25" s="30"/>
      <c r="X25" s="30"/>
      <c r="Y25" s="30"/>
    </row>
    <row r="26" spans="1:25" x14ac:dyDescent="0.35">
      <c r="A26" s="3" t="s">
        <v>117</v>
      </c>
      <c r="B26" s="13" t="s">
        <v>118</v>
      </c>
      <c r="C26" s="13" t="s">
        <v>78</v>
      </c>
      <c r="D26" s="14">
        <v>70686</v>
      </c>
      <c r="E26" s="14">
        <v>67283</v>
      </c>
      <c r="F26" s="14">
        <v>2025</v>
      </c>
      <c r="G26" s="14">
        <v>1200</v>
      </c>
      <c r="H26" s="14">
        <v>825</v>
      </c>
      <c r="I26" s="14">
        <v>1378</v>
      </c>
      <c r="J26" s="14">
        <v>1047</v>
      </c>
      <c r="K26" s="14">
        <v>29213</v>
      </c>
      <c r="L26" s="16">
        <v>95.2</v>
      </c>
      <c r="M26" s="16">
        <v>2.9</v>
      </c>
      <c r="N26" s="16">
        <v>1.7</v>
      </c>
      <c r="O26" s="16">
        <v>1.2</v>
      </c>
      <c r="P26" s="16">
        <v>1.9</v>
      </c>
      <c r="Q26" s="16">
        <v>1.5</v>
      </c>
      <c r="R26" s="16">
        <v>41.3</v>
      </c>
      <c r="S26" s="30"/>
      <c r="T26" s="30"/>
      <c r="U26" s="30"/>
      <c r="V26" s="30"/>
      <c r="W26" s="30"/>
      <c r="X26" s="30"/>
      <c r="Y26" s="30"/>
    </row>
    <row r="27" spans="1:25" x14ac:dyDescent="0.35">
      <c r="A27" s="3" t="s">
        <v>119</v>
      </c>
      <c r="B27" s="13" t="s">
        <v>120</v>
      </c>
      <c r="C27" s="13" t="s">
        <v>78</v>
      </c>
      <c r="D27" s="14">
        <v>161718</v>
      </c>
      <c r="E27" s="14">
        <v>157291</v>
      </c>
      <c r="F27" s="14">
        <v>4371</v>
      </c>
      <c r="G27" s="14">
        <v>1919</v>
      </c>
      <c r="H27" s="14">
        <v>2452</v>
      </c>
      <c r="I27" s="14">
        <v>56</v>
      </c>
      <c r="J27" s="14">
        <v>1764</v>
      </c>
      <c r="K27" s="14">
        <v>66376</v>
      </c>
      <c r="L27" s="16">
        <v>97.3</v>
      </c>
      <c r="M27" s="16">
        <v>2.7</v>
      </c>
      <c r="N27" s="16">
        <v>1.2</v>
      </c>
      <c r="O27" s="16">
        <v>1.5</v>
      </c>
      <c r="P27" s="16">
        <v>0</v>
      </c>
      <c r="Q27" s="16">
        <v>1.1000000000000001</v>
      </c>
      <c r="R27" s="16">
        <v>41</v>
      </c>
      <c r="S27" s="30"/>
      <c r="T27" s="30"/>
      <c r="U27" s="30"/>
      <c r="V27" s="30"/>
      <c r="W27" s="30"/>
      <c r="X27" s="30"/>
      <c r="Y27" s="30"/>
    </row>
    <row r="28" spans="1:25" x14ac:dyDescent="0.35">
      <c r="A28" s="3" t="s">
        <v>121</v>
      </c>
      <c r="B28" s="13" t="s">
        <v>122</v>
      </c>
      <c r="C28" s="13" t="s">
        <v>78</v>
      </c>
      <c r="D28" s="14">
        <v>11896</v>
      </c>
      <c r="E28" s="14">
        <v>10742</v>
      </c>
      <c r="F28" s="14">
        <v>727</v>
      </c>
      <c r="G28" s="14">
        <v>402</v>
      </c>
      <c r="H28" s="14">
        <v>325</v>
      </c>
      <c r="I28" s="14">
        <v>427</v>
      </c>
      <c r="J28" s="14">
        <v>155</v>
      </c>
      <c r="K28" s="14">
        <v>4317</v>
      </c>
      <c r="L28" s="16">
        <v>90.3</v>
      </c>
      <c r="M28" s="16">
        <v>6.1</v>
      </c>
      <c r="N28" s="16">
        <v>3.4</v>
      </c>
      <c r="O28" s="16">
        <v>2.7</v>
      </c>
      <c r="P28" s="16">
        <v>3.6</v>
      </c>
      <c r="Q28" s="16">
        <v>1.3</v>
      </c>
      <c r="R28" s="16">
        <v>36.299999999999997</v>
      </c>
      <c r="S28" s="30"/>
      <c r="T28" s="30"/>
      <c r="U28" s="30"/>
      <c r="V28" s="30"/>
      <c r="W28" s="30"/>
      <c r="X28" s="30"/>
      <c r="Y28" s="30"/>
    </row>
    <row r="29" spans="1:25" x14ac:dyDescent="0.35">
      <c r="A29" s="3" t="s">
        <v>123</v>
      </c>
      <c r="B29" s="13" t="s">
        <v>124</v>
      </c>
      <c r="C29" s="13" t="s">
        <v>78</v>
      </c>
      <c r="D29" s="14">
        <v>77337</v>
      </c>
      <c r="E29" s="14">
        <v>73539</v>
      </c>
      <c r="F29" s="14">
        <v>2811</v>
      </c>
      <c r="G29" s="14">
        <v>1332</v>
      </c>
      <c r="H29" s="14">
        <v>1479</v>
      </c>
      <c r="I29" s="14">
        <v>987</v>
      </c>
      <c r="J29" s="14">
        <v>1103</v>
      </c>
      <c r="K29" s="14">
        <v>28352</v>
      </c>
      <c r="L29" s="16">
        <v>95.1</v>
      </c>
      <c r="M29" s="16">
        <v>3.6</v>
      </c>
      <c r="N29" s="16">
        <v>1.7</v>
      </c>
      <c r="O29" s="16">
        <v>1.9</v>
      </c>
      <c r="P29" s="16">
        <v>1.3</v>
      </c>
      <c r="Q29" s="16">
        <v>1.4</v>
      </c>
      <c r="R29" s="16">
        <v>36.700000000000003</v>
      </c>
      <c r="S29" s="30"/>
      <c r="T29" s="30"/>
      <c r="U29" s="30"/>
      <c r="V29" s="30"/>
      <c r="W29" s="30"/>
      <c r="X29" s="30"/>
      <c r="Y29" s="30"/>
    </row>
    <row r="30" spans="1:25" x14ac:dyDescent="0.35">
      <c r="A30" s="3" t="s">
        <v>125</v>
      </c>
      <c r="B30" s="13" t="s">
        <v>126</v>
      </c>
      <c r="C30" s="13" t="s">
        <v>78</v>
      </c>
      <c r="D30" s="14">
        <v>91995</v>
      </c>
      <c r="E30" s="14">
        <v>89168</v>
      </c>
      <c r="F30" s="14">
        <v>2722</v>
      </c>
      <c r="G30" s="14">
        <v>1865</v>
      </c>
      <c r="H30" s="14">
        <v>857</v>
      </c>
      <c r="I30" s="14">
        <v>105</v>
      </c>
      <c r="J30" s="14">
        <v>2702</v>
      </c>
      <c r="K30" s="14">
        <v>35855</v>
      </c>
      <c r="L30" s="16">
        <v>96.9</v>
      </c>
      <c r="M30" s="16">
        <v>3</v>
      </c>
      <c r="N30" s="16">
        <v>2</v>
      </c>
      <c r="O30" s="16">
        <v>0.9</v>
      </c>
      <c r="P30" s="16">
        <v>0.1</v>
      </c>
      <c r="Q30" s="16">
        <v>2.9</v>
      </c>
      <c r="R30" s="16">
        <v>39</v>
      </c>
      <c r="S30" s="30"/>
      <c r="T30" s="30"/>
      <c r="U30" s="30"/>
      <c r="V30" s="30"/>
      <c r="W30" s="30"/>
      <c r="X30" s="30"/>
      <c r="Y30" s="30"/>
    </row>
    <row r="31" spans="1:25" x14ac:dyDescent="0.35">
      <c r="A31" s="3" t="s">
        <v>127</v>
      </c>
      <c r="B31" s="13" t="s">
        <v>128</v>
      </c>
      <c r="C31" s="13" t="s">
        <v>78</v>
      </c>
      <c r="D31" s="14">
        <v>60195</v>
      </c>
      <c r="E31" s="14">
        <v>56662</v>
      </c>
      <c r="F31" s="14">
        <v>2667</v>
      </c>
      <c r="G31" s="14">
        <v>1177</v>
      </c>
      <c r="H31" s="14">
        <v>1490</v>
      </c>
      <c r="I31" s="14">
        <v>866</v>
      </c>
      <c r="J31" s="14">
        <v>753</v>
      </c>
      <c r="K31" s="14">
        <v>23146</v>
      </c>
      <c r="L31" s="16">
        <v>94.1</v>
      </c>
      <c r="M31" s="16">
        <v>4.4000000000000004</v>
      </c>
      <c r="N31" s="16">
        <v>2</v>
      </c>
      <c r="O31" s="16">
        <v>2.5</v>
      </c>
      <c r="P31" s="16">
        <v>1.4</v>
      </c>
      <c r="Q31" s="16">
        <v>1.3</v>
      </c>
      <c r="R31" s="16">
        <v>38.5</v>
      </c>
      <c r="S31" s="30"/>
      <c r="T31" s="30"/>
      <c r="U31" s="30"/>
      <c r="V31" s="30"/>
      <c r="W31" s="30"/>
      <c r="X31" s="30"/>
      <c r="Y31" s="30"/>
    </row>
    <row r="32" spans="1:25" x14ac:dyDescent="0.35">
      <c r="A32" s="3" t="s">
        <v>129</v>
      </c>
      <c r="B32" s="13" t="s">
        <v>130</v>
      </c>
      <c r="C32" s="13" t="s">
        <v>78</v>
      </c>
      <c r="D32" s="14">
        <v>11702</v>
      </c>
      <c r="E32" s="14">
        <v>10786</v>
      </c>
      <c r="F32" s="14">
        <v>716</v>
      </c>
      <c r="G32" s="14">
        <v>219</v>
      </c>
      <c r="H32" s="14">
        <v>497</v>
      </c>
      <c r="I32" s="14">
        <v>200</v>
      </c>
      <c r="J32" s="14">
        <v>144</v>
      </c>
      <c r="K32" s="14">
        <v>3995</v>
      </c>
      <c r="L32" s="16">
        <v>92.2</v>
      </c>
      <c r="M32" s="16">
        <v>6.1</v>
      </c>
      <c r="N32" s="16">
        <v>1.9</v>
      </c>
      <c r="O32" s="16">
        <v>4.2</v>
      </c>
      <c r="P32" s="16">
        <v>1.7</v>
      </c>
      <c r="Q32" s="16">
        <v>1.2</v>
      </c>
      <c r="R32" s="16">
        <v>34.1</v>
      </c>
      <c r="S32" s="30"/>
      <c r="T32" s="30"/>
      <c r="U32" s="30"/>
      <c r="V32" s="30"/>
      <c r="W32" s="30"/>
      <c r="X32" s="30"/>
      <c r="Y32" s="30"/>
    </row>
    <row r="33" spans="1:25" x14ac:dyDescent="0.35">
      <c r="A33" s="3" t="s">
        <v>131</v>
      </c>
      <c r="B33" s="13" t="s">
        <v>132</v>
      </c>
      <c r="C33" s="13" t="s">
        <v>78</v>
      </c>
      <c r="D33" s="14">
        <v>57312</v>
      </c>
      <c r="E33" s="14">
        <v>54802</v>
      </c>
      <c r="F33" s="14">
        <v>2017</v>
      </c>
      <c r="G33" s="14">
        <v>1084</v>
      </c>
      <c r="H33" s="14">
        <v>933</v>
      </c>
      <c r="I33" s="14">
        <v>493</v>
      </c>
      <c r="J33" s="14">
        <v>698</v>
      </c>
      <c r="K33" s="14">
        <v>21615</v>
      </c>
      <c r="L33" s="16">
        <v>95.6</v>
      </c>
      <c r="M33" s="16">
        <v>3.5</v>
      </c>
      <c r="N33" s="16">
        <v>1.9</v>
      </c>
      <c r="O33" s="16">
        <v>1.6</v>
      </c>
      <c r="P33" s="16">
        <v>0.9</v>
      </c>
      <c r="Q33" s="16">
        <v>1.2</v>
      </c>
      <c r="R33" s="16">
        <v>37.700000000000003</v>
      </c>
      <c r="S33" s="30"/>
      <c r="T33" s="30"/>
      <c r="U33" s="30"/>
      <c r="V33" s="30"/>
      <c r="W33" s="30"/>
      <c r="X33" s="30"/>
      <c r="Y33" s="30"/>
    </row>
    <row r="34" spans="1:25" x14ac:dyDescent="0.35">
      <c r="A34" s="3" t="s">
        <v>133</v>
      </c>
      <c r="B34" s="13" t="s">
        <v>134</v>
      </c>
      <c r="C34" s="13" t="s">
        <v>78</v>
      </c>
      <c r="D34" s="14">
        <v>160843</v>
      </c>
      <c r="E34" s="14">
        <v>157060</v>
      </c>
      <c r="F34" s="14">
        <v>3646</v>
      </c>
      <c r="G34" s="14">
        <v>2187</v>
      </c>
      <c r="H34" s="14">
        <v>1459</v>
      </c>
      <c r="I34" s="14">
        <v>137</v>
      </c>
      <c r="J34" s="14">
        <v>2103</v>
      </c>
      <c r="K34" s="14">
        <v>62820</v>
      </c>
      <c r="L34" s="16">
        <v>97.6</v>
      </c>
      <c r="M34" s="16">
        <v>2.2999999999999998</v>
      </c>
      <c r="N34" s="16">
        <v>1.4</v>
      </c>
      <c r="O34" s="16">
        <v>0.9</v>
      </c>
      <c r="P34" s="16">
        <v>0.1</v>
      </c>
      <c r="Q34" s="16">
        <v>1.3</v>
      </c>
      <c r="R34" s="16">
        <v>39.1</v>
      </c>
      <c r="S34" s="30"/>
      <c r="T34" s="30"/>
      <c r="U34" s="30"/>
      <c r="V34" s="30"/>
      <c r="W34" s="30"/>
      <c r="X34" s="30"/>
      <c r="Y34" s="30"/>
    </row>
    <row r="35" spans="1:25" x14ac:dyDescent="0.35">
      <c r="A35" s="3" t="s">
        <v>135</v>
      </c>
      <c r="B35" s="13" t="s">
        <v>136</v>
      </c>
      <c r="C35" s="13" t="s">
        <v>78</v>
      </c>
      <c r="D35" s="14">
        <v>43489</v>
      </c>
      <c r="E35" s="14">
        <v>41865</v>
      </c>
      <c r="F35" s="14">
        <v>1314</v>
      </c>
      <c r="G35" s="14">
        <v>710</v>
      </c>
      <c r="H35" s="14">
        <v>604</v>
      </c>
      <c r="I35" s="14">
        <v>310</v>
      </c>
      <c r="J35" s="14">
        <v>1733</v>
      </c>
      <c r="K35" s="14">
        <v>15266</v>
      </c>
      <c r="L35" s="16">
        <v>96.3</v>
      </c>
      <c r="M35" s="16">
        <v>3</v>
      </c>
      <c r="N35" s="16">
        <v>1.6</v>
      </c>
      <c r="O35" s="16">
        <v>1.4</v>
      </c>
      <c r="P35" s="16">
        <v>0.7</v>
      </c>
      <c r="Q35" s="16">
        <v>4</v>
      </c>
      <c r="R35" s="16">
        <v>35.1</v>
      </c>
      <c r="S35" s="30"/>
      <c r="T35" s="30"/>
      <c r="U35" s="30"/>
      <c r="V35" s="30"/>
      <c r="W35" s="30"/>
      <c r="X35" s="30"/>
      <c r="Y35" s="30"/>
    </row>
    <row r="36" spans="1:25" x14ac:dyDescent="0.35">
      <c r="A36" s="3" t="s">
        <v>137</v>
      </c>
      <c r="B36" s="13" t="s">
        <v>138</v>
      </c>
      <c r="C36" s="13" t="s">
        <v>78</v>
      </c>
      <c r="D36" s="14">
        <v>46216</v>
      </c>
      <c r="E36" s="14">
        <v>45228</v>
      </c>
      <c r="F36" s="14">
        <v>965</v>
      </c>
      <c r="G36" s="14">
        <v>675</v>
      </c>
      <c r="H36" s="14">
        <v>290</v>
      </c>
      <c r="I36" s="14">
        <v>23</v>
      </c>
      <c r="J36" s="14">
        <v>506</v>
      </c>
      <c r="K36" s="14">
        <v>19678</v>
      </c>
      <c r="L36" s="16">
        <v>97.9</v>
      </c>
      <c r="M36" s="16">
        <v>2.1</v>
      </c>
      <c r="N36" s="16">
        <v>1.5</v>
      </c>
      <c r="O36" s="16">
        <v>0.6</v>
      </c>
      <c r="P36" s="16">
        <v>0</v>
      </c>
      <c r="Q36" s="16">
        <v>1.1000000000000001</v>
      </c>
      <c r="R36" s="16">
        <v>42.6</v>
      </c>
      <c r="S36" s="30"/>
      <c r="T36" s="30"/>
      <c r="U36" s="30"/>
      <c r="V36" s="30"/>
      <c r="W36" s="30"/>
      <c r="X36" s="30"/>
      <c r="Y36" s="30"/>
    </row>
    <row r="37" spans="1:25" x14ac:dyDescent="0.35">
      <c r="A37" s="3" t="s">
        <v>139</v>
      </c>
      <c r="B37" s="13" t="s">
        <v>140</v>
      </c>
      <c r="C37" s="13" t="s">
        <v>78</v>
      </c>
      <c r="D37" s="14">
        <v>86258</v>
      </c>
      <c r="E37" s="14">
        <v>84539</v>
      </c>
      <c r="F37" s="14">
        <v>1656</v>
      </c>
      <c r="G37" s="14">
        <v>1044</v>
      </c>
      <c r="H37" s="14">
        <v>612</v>
      </c>
      <c r="I37" s="14">
        <v>63</v>
      </c>
      <c r="J37" s="14">
        <v>1235</v>
      </c>
      <c r="K37" s="14">
        <v>31497</v>
      </c>
      <c r="L37" s="16">
        <v>98</v>
      </c>
      <c r="M37" s="16">
        <v>1.9</v>
      </c>
      <c r="N37" s="16">
        <v>1.2</v>
      </c>
      <c r="O37" s="16">
        <v>0.7</v>
      </c>
      <c r="P37" s="16">
        <v>0.1</v>
      </c>
      <c r="Q37" s="16">
        <v>1.4</v>
      </c>
      <c r="R37" s="16">
        <v>36.5</v>
      </c>
      <c r="S37" s="30"/>
      <c r="T37" s="30"/>
      <c r="U37" s="30"/>
      <c r="V37" s="30"/>
      <c r="W37" s="30"/>
      <c r="X37" s="30"/>
      <c r="Y37" s="30"/>
    </row>
    <row r="38" spans="1:25" x14ac:dyDescent="0.35">
      <c r="B38" s="15"/>
      <c r="C38" s="15"/>
      <c r="D38" s="15"/>
      <c r="E38" s="15"/>
      <c r="F38" s="15"/>
      <c r="G38" s="15"/>
      <c r="H38" s="15"/>
      <c r="I38" s="15"/>
      <c r="J38" s="15"/>
      <c r="K38" s="15"/>
      <c r="L38" s="17"/>
      <c r="M38" s="17"/>
      <c r="N38" s="17"/>
      <c r="O38" s="17"/>
      <c r="P38" s="17"/>
      <c r="Q38" s="17"/>
      <c r="R38" s="17"/>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8"/>
  <sheetViews>
    <sheetView workbookViewId="0"/>
  </sheetViews>
  <sheetFormatPr defaultColWidth="11.53515625" defaultRowHeight="15.5" x14ac:dyDescent="0.35"/>
  <cols>
    <col min="1" max="1" width="28.69140625" customWidth="1"/>
    <col min="2" max="2" width="13.69140625" customWidth="1"/>
    <col min="3" max="3" width="12.69140625" customWidth="1"/>
    <col min="4" max="15" width="10.69140625" customWidth="1"/>
    <col min="16" max="16" width="13.69140625" customWidth="1"/>
  </cols>
  <sheetData>
    <row r="1" spans="1:18" ht="20" x14ac:dyDescent="0.4">
      <c r="A1" s="1" t="s">
        <v>289</v>
      </c>
    </row>
    <row r="2" spans="1:18" x14ac:dyDescent="0.35">
      <c r="A2" t="s">
        <v>46</v>
      </c>
    </row>
    <row r="3" spans="1:18" x14ac:dyDescent="0.35">
      <c r="A3" s="5" t="str">
        <f>HYPERLINK("#'Table of Contents'!A1", "Back to contents")</f>
        <v>Back to contents</v>
      </c>
    </row>
    <row r="4" spans="1:18" ht="77.5" x14ac:dyDescent="0.35">
      <c r="A4" s="11" t="s">
        <v>47</v>
      </c>
      <c r="B4" s="11" t="s">
        <v>48</v>
      </c>
      <c r="C4" s="11" t="s">
        <v>49</v>
      </c>
      <c r="D4" s="12" t="s">
        <v>64</v>
      </c>
      <c r="E4" s="12" t="s">
        <v>65</v>
      </c>
      <c r="F4" s="12" t="s">
        <v>66</v>
      </c>
      <c r="G4" s="12" t="s">
        <v>67</v>
      </c>
      <c r="H4" s="12" t="s">
        <v>68</v>
      </c>
      <c r="I4" s="12" t="s">
        <v>69</v>
      </c>
      <c r="J4" s="12" t="s">
        <v>70</v>
      </c>
      <c r="K4" s="12" t="s">
        <v>71</v>
      </c>
      <c r="L4" s="39" t="s">
        <v>72</v>
      </c>
      <c r="M4" s="12" t="s">
        <v>206</v>
      </c>
      <c r="N4" s="12" t="s">
        <v>275</v>
      </c>
      <c r="O4" s="12" t="s">
        <v>288</v>
      </c>
    </row>
    <row r="5" spans="1:18" ht="25" customHeight="1" x14ac:dyDescent="0.35">
      <c r="A5" s="18" t="s">
        <v>73</v>
      </c>
      <c r="B5" s="19" t="s">
        <v>74</v>
      </c>
      <c r="C5" s="19" t="s">
        <v>75</v>
      </c>
      <c r="D5" s="20">
        <v>27317</v>
      </c>
      <c r="E5" s="20">
        <v>26140</v>
      </c>
      <c r="F5" s="20">
        <v>25713</v>
      </c>
      <c r="G5" s="20">
        <v>24983</v>
      </c>
      <c r="H5" s="20">
        <v>24478</v>
      </c>
      <c r="I5" s="20">
        <v>24471</v>
      </c>
      <c r="J5" s="20">
        <v>23990</v>
      </c>
      <c r="K5" s="20">
        <v>24287</v>
      </c>
      <c r="L5" s="20">
        <v>24061</v>
      </c>
      <c r="M5" s="20">
        <v>21606</v>
      </c>
      <c r="N5" s="20">
        <v>20927</v>
      </c>
      <c r="O5" s="21">
        <v>0.8</v>
      </c>
      <c r="Q5" s="15"/>
      <c r="R5" s="15"/>
    </row>
    <row r="6" spans="1:18" x14ac:dyDescent="0.35">
      <c r="A6" s="3" t="s">
        <v>159</v>
      </c>
      <c r="B6" s="13" t="s">
        <v>77</v>
      </c>
      <c r="C6" s="13" t="s">
        <v>78</v>
      </c>
      <c r="D6" s="14">
        <v>1151</v>
      </c>
      <c r="E6" s="14">
        <v>1175</v>
      </c>
      <c r="F6" s="14">
        <v>1175</v>
      </c>
      <c r="G6" s="14">
        <v>884</v>
      </c>
      <c r="H6" s="14">
        <v>905</v>
      </c>
      <c r="I6" s="14">
        <v>848</v>
      </c>
      <c r="J6" s="14">
        <v>847</v>
      </c>
      <c r="K6" s="14">
        <v>737</v>
      </c>
      <c r="L6" s="14">
        <v>686</v>
      </c>
      <c r="M6" s="14">
        <v>392</v>
      </c>
      <c r="N6" s="14">
        <v>420</v>
      </c>
      <c r="O6" s="16">
        <v>0.3</v>
      </c>
    </row>
    <row r="7" spans="1:18" x14ac:dyDescent="0.35">
      <c r="A7" s="3" t="s">
        <v>79</v>
      </c>
      <c r="B7" s="13" t="s">
        <v>80</v>
      </c>
      <c r="C7" s="13" t="s">
        <v>78</v>
      </c>
      <c r="D7" s="14">
        <v>1314</v>
      </c>
      <c r="E7" s="14">
        <v>1201</v>
      </c>
      <c r="F7" s="14">
        <v>1268</v>
      </c>
      <c r="G7" s="14">
        <v>1223</v>
      </c>
      <c r="H7" s="14">
        <v>1244</v>
      </c>
      <c r="I7" s="14">
        <v>1193</v>
      </c>
      <c r="J7" s="14">
        <v>1208</v>
      </c>
      <c r="K7" s="14">
        <v>1214</v>
      </c>
      <c r="L7" s="14">
        <v>1166</v>
      </c>
      <c r="M7" s="14">
        <v>1135</v>
      </c>
      <c r="N7" s="14">
        <v>1154</v>
      </c>
      <c r="O7" s="16">
        <v>0.9</v>
      </c>
    </row>
    <row r="8" spans="1:18" x14ac:dyDescent="0.35">
      <c r="A8" s="3" t="s">
        <v>81</v>
      </c>
      <c r="B8" s="13" t="s">
        <v>82</v>
      </c>
      <c r="C8" s="13" t="s">
        <v>78</v>
      </c>
      <c r="D8" s="14">
        <v>543</v>
      </c>
      <c r="E8" s="14">
        <v>534</v>
      </c>
      <c r="F8" s="14">
        <v>462</v>
      </c>
      <c r="G8" s="14">
        <v>444</v>
      </c>
      <c r="H8" s="14">
        <v>439</v>
      </c>
      <c r="I8" s="14">
        <v>427</v>
      </c>
      <c r="J8" s="14">
        <v>411</v>
      </c>
      <c r="K8" s="14">
        <v>398</v>
      </c>
      <c r="L8" s="14">
        <v>389</v>
      </c>
      <c r="M8" s="14">
        <v>317</v>
      </c>
      <c r="N8" s="14">
        <v>280</v>
      </c>
      <c r="O8" s="16">
        <v>0.5</v>
      </c>
    </row>
    <row r="9" spans="1:18" x14ac:dyDescent="0.35">
      <c r="A9" s="3" t="s">
        <v>83</v>
      </c>
      <c r="B9" s="13" t="s">
        <v>84</v>
      </c>
      <c r="C9" s="13" t="s">
        <v>78</v>
      </c>
      <c r="D9" s="14">
        <v>3431</v>
      </c>
      <c r="E9" s="14">
        <v>3394</v>
      </c>
      <c r="F9" s="14">
        <v>3256</v>
      </c>
      <c r="G9" s="14">
        <v>3221</v>
      </c>
      <c r="H9" s="14">
        <v>3131</v>
      </c>
      <c r="I9" s="14">
        <v>3129</v>
      </c>
      <c r="J9" s="14">
        <v>2952</v>
      </c>
      <c r="K9" s="14">
        <v>3045</v>
      </c>
      <c r="L9" s="14">
        <v>3235</v>
      </c>
      <c r="M9" s="14">
        <v>2961</v>
      </c>
      <c r="N9" s="14">
        <v>2805</v>
      </c>
      <c r="O9" s="16">
        <v>5.6</v>
      </c>
    </row>
    <row r="10" spans="1:18" x14ac:dyDescent="0.35">
      <c r="A10" s="3" t="s">
        <v>160</v>
      </c>
      <c r="B10" s="13" t="s">
        <v>86</v>
      </c>
      <c r="C10" s="13" t="s">
        <v>78</v>
      </c>
      <c r="D10" s="14">
        <v>2279</v>
      </c>
      <c r="E10" s="14">
        <v>2320</v>
      </c>
      <c r="F10" s="14">
        <v>2320</v>
      </c>
      <c r="G10" s="14">
        <v>2016</v>
      </c>
      <c r="H10" s="14">
        <v>1809</v>
      </c>
      <c r="I10" s="14">
        <v>1747</v>
      </c>
      <c r="J10" s="14">
        <v>1659</v>
      </c>
      <c r="K10" s="14">
        <v>1660</v>
      </c>
      <c r="L10" s="14">
        <v>1698</v>
      </c>
      <c r="M10" s="14">
        <v>1430</v>
      </c>
      <c r="N10" s="14">
        <v>1440</v>
      </c>
      <c r="O10" s="16">
        <v>0.5</v>
      </c>
    </row>
    <row r="11" spans="1:18" x14ac:dyDescent="0.35">
      <c r="A11" s="3" t="s">
        <v>161</v>
      </c>
      <c r="B11" s="13" t="s">
        <v>88</v>
      </c>
      <c r="C11" s="13" t="s">
        <v>78</v>
      </c>
      <c r="D11" s="14">
        <v>62</v>
      </c>
      <c r="E11" s="14">
        <v>58</v>
      </c>
      <c r="F11" s="14">
        <v>56</v>
      </c>
      <c r="G11" s="14">
        <v>55</v>
      </c>
      <c r="H11" s="14">
        <v>50</v>
      </c>
      <c r="I11" s="14">
        <v>44</v>
      </c>
      <c r="J11" s="14">
        <v>85</v>
      </c>
      <c r="K11" s="14">
        <v>85</v>
      </c>
      <c r="L11" s="14">
        <v>41</v>
      </c>
      <c r="M11" s="14">
        <v>38</v>
      </c>
      <c r="N11" s="14">
        <v>31</v>
      </c>
      <c r="O11" s="16">
        <v>0.1</v>
      </c>
    </row>
    <row r="12" spans="1:18" x14ac:dyDescent="0.35">
      <c r="A12" s="3" t="s">
        <v>89</v>
      </c>
      <c r="B12" s="13" t="s">
        <v>90</v>
      </c>
      <c r="C12" s="13" t="s">
        <v>78</v>
      </c>
      <c r="D12" s="14">
        <v>2190</v>
      </c>
      <c r="E12" s="14">
        <v>1484</v>
      </c>
      <c r="F12" s="14">
        <v>1487</v>
      </c>
      <c r="G12" s="14">
        <v>1457</v>
      </c>
      <c r="H12" s="14">
        <v>1437</v>
      </c>
      <c r="I12" s="14">
        <v>1394</v>
      </c>
      <c r="J12" s="14">
        <v>1371</v>
      </c>
      <c r="K12" s="14">
        <v>1390</v>
      </c>
      <c r="L12" s="14">
        <v>1396</v>
      </c>
      <c r="M12" s="14">
        <v>1226</v>
      </c>
      <c r="N12" s="14">
        <v>1200</v>
      </c>
      <c r="O12" s="16">
        <v>1.6</v>
      </c>
    </row>
    <row r="13" spans="1:18" x14ac:dyDescent="0.35">
      <c r="A13" s="3" t="s">
        <v>91</v>
      </c>
      <c r="B13" s="13" t="s">
        <v>92</v>
      </c>
      <c r="C13" s="13" t="s">
        <v>78</v>
      </c>
      <c r="D13" s="14">
        <v>264</v>
      </c>
      <c r="E13" s="14">
        <v>321</v>
      </c>
      <c r="F13" s="14">
        <v>342</v>
      </c>
      <c r="G13" s="14">
        <v>346</v>
      </c>
      <c r="H13" s="14">
        <v>365</v>
      </c>
      <c r="I13" s="14">
        <v>525</v>
      </c>
      <c r="J13" s="14">
        <v>564</v>
      </c>
      <c r="K13" s="14">
        <v>526</v>
      </c>
      <c r="L13" s="14">
        <v>527</v>
      </c>
      <c r="M13" s="14">
        <v>184</v>
      </c>
      <c r="N13" s="14">
        <v>173</v>
      </c>
      <c r="O13" s="16">
        <v>0.2</v>
      </c>
    </row>
    <row r="14" spans="1:18" x14ac:dyDescent="0.35">
      <c r="A14" s="3" t="s">
        <v>93</v>
      </c>
      <c r="B14" s="13" t="s">
        <v>94</v>
      </c>
      <c r="C14" s="13" t="s">
        <v>78</v>
      </c>
      <c r="D14" s="14">
        <v>126</v>
      </c>
      <c r="E14" s="14">
        <v>129</v>
      </c>
      <c r="F14" s="14">
        <v>144</v>
      </c>
      <c r="G14" s="14">
        <v>127</v>
      </c>
      <c r="H14" s="14">
        <v>132</v>
      </c>
      <c r="I14" s="14">
        <v>136</v>
      </c>
      <c r="J14" s="14">
        <v>119</v>
      </c>
      <c r="K14" s="14">
        <v>110</v>
      </c>
      <c r="L14" s="14">
        <v>105</v>
      </c>
      <c r="M14" s="14">
        <v>104</v>
      </c>
      <c r="N14" s="14">
        <v>83</v>
      </c>
      <c r="O14" s="16">
        <v>0.1</v>
      </c>
    </row>
    <row r="15" spans="1:18" x14ac:dyDescent="0.35">
      <c r="A15" s="3" t="s">
        <v>95</v>
      </c>
      <c r="B15" s="13" t="s">
        <v>96</v>
      </c>
      <c r="C15" s="13" t="s">
        <v>78</v>
      </c>
      <c r="D15" s="14">
        <v>120</v>
      </c>
      <c r="E15" s="14">
        <v>139</v>
      </c>
      <c r="F15" s="14">
        <v>145</v>
      </c>
      <c r="G15" s="14">
        <v>71</v>
      </c>
      <c r="H15" s="14">
        <v>72</v>
      </c>
      <c r="I15" s="14">
        <v>70</v>
      </c>
      <c r="J15" s="14">
        <v>65</v>
      </c>
      <c r="K15" s="14">
        <v>64</v>
      </c>
      <c r="L15" s="14">
        <v>61</v>
      </c>
      <c r="M15" s="14">
        <v>57</v>
      </c>
      <c r="N15" s="14">
        <v>66</v>
      </c>
      <c r="O15" s="16">
        <v>0.1</v>
      </c>
    </row>
    <row r="16" spans="1:18" x14ac:dyDescent="0.35">
      <c r="A16" s="3" t="s">
        <v>97</v>
      </c>
      <c r="B16" s="13" t="s">
        <v>98</v>
      </c>
      <c r="C16" s="13" t="s">
        <v>78</v>
      </c>
      <c r="D16" s="14">
        <v>543</v>
      </c>
      <c r="E16" s="14">
        <v>527</v>
      </c>
      <c r="F16" s="14">
        <v>522</v>
      </c>
      <c r="G16" s="14">
        <v>511</v>
      </c>
      <c r="H16" s="14">
        <v>513</v>
      </c>
      <c r="I16" s="14">
        <v>500</v>
      </c>
      <c r="J16" s="14">
        <v>498</v>
      </c>
      <c r="K16" s="14">
        <v>480</v>
      </c>
      <c r="L16" s="14">
        <v>471</v>
      </c>
      <c r="M16" s="14">
        <v>588</v>
      </c>
      <c r="N16" s="14">
        <v>569</v>
      </c>
      <c r="O16" s="16">
        <v>1</v>
      </c>
    </row>
    <row r="17" spans="1:15" x14ac:dyDescent="0.35">
      <c r="A17" s="3" t="s">
        <v>162</v>
      </c>
      <c r="B17" s="13" t="s">
        <v>100</v>
      </c>
      <c r="C17" s="13" t="s">
        <v>78</v>
      </c>
      <c r="D17" s="14">
        <v>126</v>
      </c>
      <c r="E17" s="14">
        <v>108</v>
      </c>
      <c r="F17" s="14">
        <v>72</v>
      </c>
      <c r="G17" s="14">
        <v>70</v>
      </c>
      <c r="H17" s="14">
        <v>67</v>
      </c>
      <c r="I17" s="14">
        <v>72</v>
      </c>
      <c r="J17" s="14">
        <v>58</v>
      </c>
      <c r="K17" s="14">
        <v>48</v>
      </c>
      <c r="L17" s="14">
        <v>64</v>
      </c>
      <c r="M17" s="14">
        <v>49</v>
      </c>
      <c r="N17" s="14">
        <v>37</v>
      </c>
      <c r="O17" s="16">
        <v>0.1</v>
      </c>
    </row>
    <row r="18" spans="1:15" x14ac:dyDescent="0.35">
      <c r="A18" s="3" t="s">
        <v>101</v>
      </c>
      <c r="B18" s="13" t="s">
        <v>102</v>
      </c>
      <c r="C18" s="13" t="s">
        <v>78</v>
      </c>
      <c r="D18" s="14">
        <v>440</v>
      </c>
      <c r="E18" s="14">
        <v>234</v>
      </c>
      <c r="F18" s="14">
        <v>78</v>
      </c>
      <c r="G18" s="14">
        <v>82</v>
      </c>
      <c r="H18" s="14">
        <v>87</v>
      </c>
      <c r="I18" s="14">
        <v>91</v>
      </c>
      <c r="J18" s="14">
        <v>101</v>
      </c>
      <c r="K18" s="14">
        <v>105</v>
      </c>
      <c r="L18" s="14">
        <v>109</v>
      </c>
      <c r="M18" s="14">
        <v>104</v>
      </c>
      <c r="N18" s="14">
        <v>74</v>
      </c>
      <c r="O18" s="16">
        <v>0.1</v>
      </c>
    </row>
    <row r="19" spans="1:15" x14ac:dyDescent="0.35">
      <c r="A19" s="3" t="s">
        <v>103</v>
      </c>
      <c r="B19" s="13" t="s">
        <v>104</v>
      </c>
      <c r="C19" s="13" t="s">
        <v>78</v>
      </c>
      <c r="D19" s="14">
        <v>2201</v>
      </c>
      <c r="E19" s="14">
        <v>2236</v>
      </c>
      <c r="F19" s="14">
        <v>2290</v>
      </c>
      <c r="G19" s="14">
        <v>2367</v>
      </c>
      <c r="H19" s="14">
        <v>2392</v>
      </c>
      <c r="I19" s="14">
        <v>2421</v>
      </c>
      <c r="J19" s="14">
        <v>2306</v>
      </c>
      <c r="K19" s="14">
        <v>2374</v>
      </c>
      <c r="L19" s="14">
        <v>2359</v>
      </c>
      <c r="M19" s="14">
        <v>2023</v>
      </c>
      <c r="N19" s="14">
        <v>1956</v>
      </c>
      <c r="O19" s="16">
        <v>1.1000000000000001</v>
      </c>
    </row>
    <row r="20" spans="1:15" x14ac:dyDescent="0.35">
      <c r="A20" s="3" t="s">
        <v>143</v>
      </c>
      <c r="B20" s="13" t="s">
        <v>106</v>
      </c>
      <c r="C20" s="13" t="s">
        <v>78</v>
      </c>
      <c r="D20" s="14">
        <v>474</v>
      </c>
      <c r="E20" s="14">
        <v>479</v>
      </c>
      <c r="F20" s="14">
        <v>473</v>
      </c>
      <c r="G20" s="14">
        <v>597</v>
      </c>
      <c r="H20" s="14">
        <v>615</v>
      </c>
      <c r="I20" s="14">
        <v>570</v>
      </c>
      <c r="J20" s="14">
        <v>516</v>
      </c>
      <c r="K20" s="14">
        <v>530</v>
      </c>
      <c r="L20" s="14">
        <v>490</v>
      </c>
      <c r="M20" s="14">
        <v>479</v>
      </c>
      <c r="N20" s="14">
        <v>525</v>
      </c>
      <c r="O20" s="16">
        <v>0.2</v>
      </c>
    </row>
    <row r="21" spans="1:15" x14ac:dyDescent="0.35">
      <c r="A21" s="3" t="s">
        <v>107</v>
      </c>
      <c r="B21" s="13" t="s">
        <v>108</v>
      </c>
      <c r="C21" s="13" t="s">
        <v>78</v>
      </c>
      <c r="D21" s="14">
        <v>4189</v>
      </c>
      <c r="E21" s="14">
        <v>4132</v>
      </c>
      <c r="F21" s="14">
        <v>3989</v>
      </c>
      <c r="G21" s="14">
        <v>3891</v>
      </c>
      <c r="H21" s="14">
        <v>3829</v>
      </c>
      <c r="I21" s="14">
        <v>3789</v>
      </c>
      <c r="J21" s="14">
        <v>3736</v>
      </c>
      <c r="K21" s="14">
        <v>3720</v>
      </c>
      <c r="L21" s="14">
        <v>3753</v>
      </c>
      <c r="M21" s="14">
        <v>3432</v>
      </c>
      <c r="N21" s="14">
        <v>3386</v>
      </c>
      <c r="O21" s="16">
        <v>2.7</v>
      </c>
    </row>
    <row r="22" spans="1:15" x14ac:dyDescent="0.35">
      <c r="A22" s="3" t="s">
        <v>109</v>
      </c>
      <c r="B22" s="13" t="s">
        <v>110</v>
      </c>
      <c r="C22" s="13" t="s">
        <v>78</v>
      </c>
      <c r="D22" s="14">
        <v>210</v>
      </c>
      <c r="E22" s="14">
        <v>110</v>
      </c>
      <c r="F22" s="14">
        <v>115</v>
      </c>
      <c r="G22" s="14">
        <v>113</v>
      </c>
      <c r="H22" s="14">
        <v>121</v>
      </c>
      <c r="I22" s="14">
        <v>133</v>
      </c>
      <c r="J22" s="14">
        <v>127</v>
      </c>
      <c r="K22" s="14">
        <v>120</v>
      </c>
      <c r="L22" s="14">
        <v>105</v>
      </c>
      <c r="M22" s="14">
        <v>80</v>
      </c>
      <c r="N22" s="14">
        <v>76</v>
      </c>
      <c r="O22" s="16">
        <v>0.2</v>
      </c>
    </row>
    <row r="23" spans="1:15" x14ac:dyDescent="0.35">
      <c r="A23" s="3" t="s">
        <v>111</v>
      </c>
      <c r="B23" s="13" t="s">
        <v>112</v>
      </c>
      <c r="C23" s="13" t="s">
        <v>78</v>
      </c>
      <c r="D23" s="14">
        <v>33</v>
      </c>
      <c r="E23" s="14">
        <v>34</v>
      </c>
      <c r="F23" s="14">
        <v>49</v>
      </c>
      <c r="G23" s="14">
        <v>50</v>
      </c>
      <c r="H23" s="14">
        <v>55</v>
      </c>
      <c r="I23" s="14">
        <v>50</v>
      </c>
      <c r="J23" s="14">
        <v>48</v>
      </c>
      <c r="K23" s="14">
        <v>57</v>
      </c>
      <c r="L23" s="14">
        <v>54</v>
      </c>
      <c r="M23" s="14">
        <v>3</v>
      </c>
      <c r="N23" s="14">
        <v>3</v>
      </c>
      <c r="O23" s="16">
        <v>0</v>
      </c>
    </row>
    <row r="24" spans="1:15" x14ac:dyDescent="0.35">
      <c r="A24" s="3" t="s">
        <v>113</v>
      </c>
      <c r="B24" s="13" t="s">
        <v>114</v>
      </c>
      <c r="C24" s="13" t="s">
        <v>78</v>
      </c>
      <c r="D24" s="14">
        <v>715</v>
      </c>
      <c r="E24" s="14">
        <v>758</v>
      </c>
      <c r="F24" s="14">
        <v>786</v>
      </c>
      <c r="G24" s="14">
        <v>776</v>
      </c>
      <c r="H24" s="14">
        <v>810</v>
      </c>
      <c r="I24" s="14">
        <v>787</v>
      </c>
      <c r="J24" s="14">
        <v>768</v>
      </c>
      <c r="K24" s="14">
        <v>799</v>
      </c>
      <c r="L24" s="14">
        <v>791</v>
      </c>
      <c r="M24" s="14">
        <v>733</v>
      </c>
      <c r="N24" s="14">
        <v>701</v>
      </c>
      <c r="O24" s="16">
        <v>1.5</v>
      </c>
    </row>
    <row r="25" spans="1:15" x14ac:dyDescent="0.35">
      <c r="A25" s="3" t="s">
        <v>115</v>
      </c>
      <c r="B25" s="13" t="s">
        <v>116</v>
      </c>
      <c r="C25" s="13" t="s">
        <v>78</v>
      </c>
      <c r="D25" s="14">
        <v>743</v>
      </c>
      <c r="E25" s="14">
        <v>768</v>
      </c>
      <c r="F25" s="14">
        <v>790</v>
      </c>
      <c r="G25" s="14">
        <v>827</v>
      </c>
      <c r="H25" s="14">
        <v>829</v>
      </c>
      <c r="I25" s="14">
        <v>788</v>
      </c>
      <c r="J25" s="14">
        <v>840</v>
      </c>
      <c r="K25" s="14">
        <v>885</v>
      </c>
      <c r="L25" s="14">
        <v>857</v>
      </c>
      <c r="M25" s="14">
        <v>902</v>
      </c>
      <c r="N25" s="14">
        <v>903</v>
      </c>
      <c r="O25" s="16">
        <v>5.9</v>
      </c>
    </row>
    <row r="26" spans="1:15" x14ac:dyDescent="0.35">
      <c r="A26" s="3" t="s">
        <v>117</v>
      </c>
      <c r="B26" s="13" t="s">
        <v>118</v>
      </c>
      <c r="C26" s="13" t="s">
        <v>78</v>
      </c>
      <c r="D26" s="14">
        <v>1535</v>
      </c>
      <c r="E26" s="14">
        <v>1683</v>
      </c>
      <c r="F26" s="14">
        <v>1610</v>
      </c>
      <c r="G26" s="14">
        <v>1569</v>
      </c>
      <c r="H26" s="14">
        <v>1538</v>
      </c>
      <c r="I26" s="14">
        <v>1539</v>
      </c>
      <c r="J26" s="14">
        <v>1510</v>
      </c>
      <c r="K26" s="14">
        <v>1527</v>
      </c>
      <c r="L26" s="14">
        <v>1477</v>
      </c>
      <c r="M26" s="14">
        <v>1493</v>
      </c>
      <c r="N26" s="14">
        <v>1378</v>
      </c>
      <c r="O26" s="16">
        <v>1.9</v>
      </c>
    </row>
    <row r="27" spans="1:15" x14ac:dyDescent="0.35">
      <c r="A27" s="3" t="s">
        <v>119</v>
      </c>
      <c r="B27" s="13" t="s">
        <v>120</v>
      </c>
      <c r="C27" s="13" t="s">
        <v>78</v>
      </c>
      <c r="D27" s="14">
        <v>89</v>
      </c>
      <c r="E27" s="14">
        <v>75</v>
      </c>
      <c r="F27" s="14">
        <v>80</v>
      </c>
      <c r="G27" s="14">
        <v>83</v>
      </c>
      <c r="H27" s="14">
        <v>84</v>
      </c>
      <c r="I27" s="14">
        <v>78</v>
      </c>
      <c r="J27" s="14">
        <v>80</v>
      </c>
      <c r="K27" s="14">
        <v>79</v>
      </c>
      <c r="L27" s="14">
        <v>74</v>
      </c>
      <c r="M27" s="14">
        <v>64</v>
      </c>
      <c r="N27" s="14">
        <v>56</v>
      </c>
      <c r="O27" s="16">
        <v>0</v>
      </c>
    </row>
    <row r="28" spans="1:15" x14ac:dyDescent="0.35">
      <c r="A28" s="3" t="s">
        <v>121</v>
      </c>
      <c r="B28" s="13" t="s">
        <v>122</v>
      </c>
      <c r="C28" s="13" t="s">
        <v>78</v>
      </c>
      <c r="D28" s="14">
        <v>394</v>
      </c>
      <c r="E28" s="14">
        <v>392</v>
      </c>
      <c r="F28" s="14">
        <v>406</v>
      </c>
      <c r="G28" s="14">
        <v>408</v>
      </c>
      <c r="H28" s="14">
        <v>395</v>
      </c>
      <c r="I28" s="14">
        <v>487</v>
      </c>
      <c r="J28" s="14">
        <v>426</v>
      </c>
      <c r="K28" s="14">
        <v>563</v>
      </c>
      <c r="L28" s="14">
        <v>474</v>
      </c>
      <c r="M28" s="14">
        <v>444</v>
      </c>
      <c r="N28" s="14">
        <v>427</v>
      </c>
      <c r="O28" s="16">
        <v>3.6</v>
      </c>
    </row>
    <row r="29" spans="1:15" x14ac:dyDescent="0.35">
      <c r="A29" s="3" t="s">
        <v>123</v>
      </c>
      <c r="B29" s="13" t="s">
        <v>124</v>
      </c>
      <c r="C29" s="13" t="s">
        <v>78</v>
      </c>
      <c r="D29" s="14">
        <v>1218</v>
      </c>
      <c r="E29" s="14">
        <v>1217</v>
      </c>
      <c r="F29" s="14">
        <v>1247</v>
      </c>
      <c r="G29" s="14">
        <v>1195</v>
      </c>
      <c r="H29" s="14">
        <v>1081</v>
      </c>
      <c r="I29" s="14">
        <v>1170</v>
      </c>
      <c r="J29" s="14">
        <v>1202</v>
      </c>
      <c r="K29" s="14">
        <v>1223</v>
      </c>
      <c r="L29" s="14">
        <v>1202</v>
      </c>
      <c r="M29" s="14">
        <v>1083</v>
      </c>
      <c r="N29" s="14">
        <v>987</v>
      </c>
      <c r="O29" s="16">
        <v>1.3</v>
      </c>
    </row>
    <row r="30" spans="1:15" x14ac:dyDescent="0.35">
      <c r="A30" s="3" t="s">
        <v>163</v>
      </c>
      <c r="B30" s="13" t="s">
        <v>126</v>
      </c>
      <c r="C30" s="13" t="s">
        <v>78</v>
      </c>
      <c r="D30" s="14">
        <v>253</v>
      </c>
      <c r="E30" s="14">
        <v>182</v>
      </c>
      <c r="F30" s="14">
        <v>172</v>
      </c>
      <c r="G30" s="14">
        <v>166</v>
      </c>
      <c r="H30" s="14">
        <v>164</v>
      </c>
      <c r="I30" s="14">
        <v>164</v>
      </c>
      <c r="J30" s="14">
        <v>159</v>
      </c>
      <c r="K30" s="14">
        <v>153</v>
      </c>
      <c r="L30" s="14">
        <v>154</v>
      </c>
      <c r="M30" s="14">
        <v>131</v>
      </c>
      <c r="N30" s="14">
        <v>105</v>
      </c>
      <c r="O30" s="16">
        <v>0.1</v>
      </c>
    </row>
    <row r="31" spans="1:15" x14ac:dyDescent="0.35">
      <c r="A31" s="3" t="s">
        <v>127</v>
      </c>
      <c r="B31" s="13" t="s">
        <v>128</v>
      </c>
      <c r="C31" s="13" t="s">
        <v>78</v>
      </c>
      <c r="D31" s="14">
        <v>1275</v>
      </c>
      <c r="E31" s="14">
        <v>1036</v>
      </c>
      <c r="F31" s="14">
        <v>960</v>
      </c>
      <c r="G31" s="14">
        <v>945</v>
      </c>
      <c r="H31" s="14">
        <v>968</v>
      </c>
      <c r="I31" s="14">
        <v>981</v>
      </c>
      <c r="J31" s="14">
        <v>999</v>
      </c>
      <c r="K31" s="14">
        <v>1031</v>
      </c>
      <c r="L31" s="14">
        <v>1037</v>
      </c>
      <c r="M31" s="14">
        <v>935</v>
      </c>
      <c r="N31" s="14">
        <v>866</v>
      </c>
      <c r="O31" s="16">
        <v>1.4</v>
      </c>
    </row>
    <row r="32" spans="1:15" x14ac:dyDescent="0.35">
      <c r="A32" s="3" t="s">
        <v>129</v>
      </c>
      <c r="B32" s="13" t="s">
        <v>130</v>
      </c>
      <c r="C32" s="13" t="s">
        <v>78</v>
      </c>
      <c r="D32" s="14">
        <v>157</v>
      </c>
      <c r="E32" s="14">
        <v>163</v>
      </c>
      <c r="F32" s="14">
        <v>168</v>
      </c>
      <c r="G32" s="14">
        <v>169</v>
      </c>
      <c r="H32" s="14">
        <v>165</v>
      </c>
      <c r="I32" s="14">
        <v>173</v>
      </c>
      <c r="J32" s="14">
        <v>178</v>
      </c>
      <c r="K32" s="14">
        <v>171</v>
      </c>
      <c r="L32" s="14">
        <v>178</v>
      </c>
      <c r="M32" s="14">
        <v>215</v>
      </c>
      <c r="N32" s="14">
        <v>200</v>
      </c>
      <c r="O32" s="16">
        <v>1.7</v>
      </c>
    </row>
    <row r="33" spans="1:16" x14ac:dyDescent="0.35">
      <c r="A33" s="3" t="s">
        <v>131</v>
      </c>
      <c r="B33" s="13" t="s">
        <v>132</v>
      </c>
      <c r="C33" s="13" t="s">
        <v>78</v>
      </c>
      <c r="D33" s="14">
        <v>467</v>
      </c>
      <c r="E33" s="14">
        <v>478</v>
      </c>
      <c r="F33" s="14">
        <v>478</v>
      </c>
      <c r="G33" s="14">
        <v>514</v>
      </c>
      <c r="H33" s="14">
        <v>473</v>
      </c>
      <c r="I33" s="14">
        <v>490</v>
      </c>
      <c r="J33" s="14">
        <v>505</v>
      </c>
      <c r="K33" s="14">
        <v>530</v>
      </c>
      <c r="L33" s="14">
        <v>509</v>
      </c>
      <c r="M33" s="14">
        <v>453</v>
      </c>
      <c r="N33" s="14">
        <v>493</v>
      </c>
      <c r="O33" s="16">
        <v>0.9</v>
      </c>
    </row>
    <row r="34" spans="1:16" x14ac:dyDescent="0.35">
      <c r="A34" s="3" t="s">
        <v>133</v>
      </c>
      <c r="B34" s="13" t="s">
        <v>134</v>
      </c>
      <c r="C34" s="13" t="s">
        <v>78</v>
      </c>
      <c r="D34" s="14">
        <v>160</v>
      </c>
      <c r="E34" s="14">
        <v>189</v>
      </c>
      <c r="F34" s="14">
        <v>230</v>
      </c>
      <c r="G34" s="14">
        <v>246</v>
      </c>
      <c r="H34" s="14">
        <v>203</v>
      </c>
      <c r="I34" s="14">
        <v>204</v>
      </c>
      <c r="J34" s="14">
        <v>202</v>
      </c>
      <c r="K34" s="14">
        <v>178</v>
      </c>
      <c r="L34" s="14">
        <v>175</v>
      </c>
      <c r="M34" s="14">
        <v>156</v>
      </c>
      <c r="N34" s="14">
        <v>137</v>
      </c>
      <c r="O34" s="16">
        <v>0.1</v>
      </c>
    </row>
    <row r="35" spans="1:16" x14ac:dyDescent="0.35">
      <c r="A35" s="3" t="s">
        <v>135</v>
      </c>
      <c r="B35" s="13" t="s">
        <v>136</v>
      </c>
      <c r="C35" s="13" t="s">
        <v>78</v>
      </c>
      <c r="D35" s="14">
        <v>416</v>
      </c>
      <c r="E35" s="14">
        <v>415</v>
      </c>
      <c r="F35" s="14">
        <v>379</v>
      </c>
      <c r="G35" s="14">
        <v>402</v>
      </c>
      <c r="H35" s="14">
        <v>342</v>
      </c>
      <c r="I35" s="14">
        <v>337</v>
      </c>
      <c r="J35" s="14">
        <v>329</v>
      </c>
      <c r="K35" s="14">
        <v>325</v>
      </c>
      <c r="L35" s="14">
        <v>316</v>
      </c>
      <c r="M35" s="14">
        <v>304</v>
      </c>
      <c r="N35" s="14">
        <v>310</v>
      </c>
      <c r="O35" s="16">
        <v>0.7</v>
      </c>
    </row>
    <row r="36" spans="1:16" x14ac:dyDescent="0.35">
      <c r="A36" s="3" t="s">
        <v>164</v>
      </c>
      <c r="B36" s="13" t="s">
        <v>138</v>
      </c>
      <c r="C36" s="13" t="s">
        <v>78</v>
      </c>
      <c r="D36" s="14">
        <v>99</v>
      </c>
      <c r="E36" s="14">
        <v>81</v>
      </c>
      <c r="F36" s="14">
        <v>81</v>
      </c>
      <c r="G36" s="14">
        <v>81</v>
      </c>
      <c r="H36" s="14">
        <v>81</v>
      </c>
      <c r="I36" s="14">
        <v>48</v>
      </c>
      <c r="J36" s="14">
        <v>39</v>
      </c>
      <c r="K36" s="14">
        <v>81</v>
      </c>
      <c r="L36" s="14">
        <v>19</v>
      </c>
      <c r="M36" s="14">
        <v>22</v>
      </c>
      <c r="N36" s="14">
        <v>23</v>
      </c>
      <c r="O36" s="16">
        <v>0</v>
      </c>
    </row>
    <row r="37" spans="1:16" x14ac:dyDescent="0.35">
      <c r="A37" s="3" t="s">
        <v>139</v>
      </c>
      <c r="B37" s="13" t="s">
        <v>140</v>
      </c>
      <c r="C37" s="13" t="s">
        <v>78</v>
      </c>
      <c r="D37" s="14">
        <v>100</v>
      </c>
      <c r="E37" s="14">
        <v>88</v>
      </c>
      <c r="F37" s="14">
        <v>83</v>
      </c>
      <c r="G37" s="14">
        <v>77</v>
      </c>
      <c r="H37" s="14">
        <v>82</v>
      </c>
      <c r="I37" s="14">
        <v>86</v>
      </c>
      <c r="J37" s="14">
        <v>82</v>
      </c>
      <c r="K37" s="14">
        <v>79</v>
      </c>
      <c r="L37" s="14">
        <v>89</v>
      </c>
      <c r="M37" s="14">
        <v>69</v>
      </c>
      <c r="N37" s="14">
        <v>63</v>
      </c>
      <c r="O37" s="16">
        <v>0.1</v>
      </c>
    </row>
    <row r="38" spans="1:16" x14ac:dyDescent="0.35">
      <c r="B38" s="15"/>
      <c r="C38" s="15"/>
      <c r="D38" s="15"/>
      <c r="E38" s="15"/>
      <c r="F38" s="15"/>
      <c r="G38" s="15"/>
      <c r="H38" s="15"/>
      <c r="I38" s="15"/>
      <c r="J38" s="15"/>
      <c r="K38" s="15"/>
      <c r="L38" s="15"/>
      <c r="M38" s="15"/>
      <c r="N38" s="15"/>
      <c r="O38" s="15"/>
      <c r="P38" s="17"/>
    </row>
  </sheetData>
  <phoneticPr fontId="13" type="noConversion"/>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9"/>
  <sheetViews>
    <sheetView workbookViewId="0"/>
  </sheetViews>
  <sheetFormatPr defaultColWidth="11.53515625" defaultRowHeight="15.5" x14ac:dyDescent="0.35"/>
  <cols>
    <col min="1" max="1" width="26.69140625" customWidth="1"/>
    <col min="2" max="2" width="13.69140625" customWidth="1"/>
    <col min="3" max="3" width="12.69140625" customWidth="1"/>
    <col min="4" max="15" width="10.69140625" customWidth="1"/>
    <col min="16" max="16" width="13.69140625" customWidth="1"/>
  </cols>
  <sheetData>
    <row r="1" spans="1:15" ht="20" x14ac:dyDescent="0.4">
      <c r="A1" s="1" t="s">
        <v>290</v>
      </c>
    </row>
    <row r="2" spans="1:15" x14ac:dyDescent="0.35">
      <c r="A2" t="s">
        <v>46</v>
      </c>
    </row>
    <row r="3" spans="1:15" x14ac:dyDescent="0.35">
      <c r="A3" t="s">
        <v>266</v>
      </c>
    </row>
    <row r="4" spans="1:15" x14ac:dyDescent="0.35">
      <c r="A4" s="5" t="str">
        <f>HYPERLINK("#'Table of Contents'!A1", "Back to contents")</f>
        <v>Back to contents</v>
      </c>
    </row>
    <row r="5" spans="1:15" ht="77.5" x14ac:dyDescent="0.35">
      <c r="A5" s="11" t="s">
        <v>47</v>
      </c>
      <c r="B5" s="11" t="s">
        <v>48</v>
      </c>
      <c r="C5" s="11" t="s">
        <v>49</v>
      </c>
      <c r="D5" s="12" t="s">
        <v>64</v>
      </c>
      <c r="E5" s="12" t="s">
        <v>65</v>
      </c>
      <c r="F5" s="12" t="s">
        <v>66</v>
      </c>
      <c r="G5" s="12" t="s">
        <v>67</v>
      </c>
      <c r="H5" s="12" t="s">
        <v>68</v>
      </c>
      <c r="I5" s="12" t="s">
        <v>69</v>
      </c>
      <c r="J5" s="12" t="s">
        <v>70</v>
      </c>
      <c r="K5" s="12" t="s">
        <v>71</v>
      </c>
      <c r="L5" s="12" t="s">
        <v>72</v>
      </c>
      <c r="M5" s="12" t="s">
        <v>206</v>
      </c>
      <c r="N5" s="12" t="s">
        <v>275</v>
      </c>
      <c r="O5" s="12" t="s">
        <v>288</v>
      </c>
    </row>
    <row r="6" spans="1:15" ht="24" customHeight="1" x14ac:dyDescent="0.35">
      <c r="A6" s="18" t="s">
        <v>73</v>
      </c>
      <c r="B6" s="19" t="s">
        <v>74</v>
      </c>
      <c r="C6" s="19" t="s">
        <v>75</v>
      </c>
      <c r="D6" s="20">
        <v>78475</v>
      </c>
      <c r="E6" s="20">
        <v>79052</v>
      </c>
      <c r="F6" s="20">
        <v>79246</v>
      </c>
      <c r="G6" s="20">
        <v>83435</v>
      </c>
      <c r="H6" s="20">
        <v>84632</v>
      </c>
      <c r="I6" s="20">
        <v>90499</v>
      </c>
      <c r="J6" s="20">
        <v>88335</v>
      </c>
      <c r="K6" s="20">
        <v>90673</v>
      </c>
      <c r="L6" s="20">
        <v>92536</v>
      </c>
      <c r="M6" s="20">
        <v>91317</v>
      </c>
      <c r="N6" s="20">
        <v>89442</v>
      </c>
      <c r="O6" s="21">
        <v>3.2</v>
      </c>
    </row>
    <row r="7" spans="1:15" ht="17.25" customHeight="1" x14ac:dyDescent="0.35">
      <c r="A7" s="3" t="s">
        <v>141</v>
      </c>
      <c r="B7" s="13" t="s">
        <v>77</v>
      </c>
      <c r="C7" s="13" t="s">
        <v>78</v>
      </c>
      <c r="D7" s="14">
        <v>4507</v>
      </c>
      <c r="E7" s="14">
        <v>3484</v>
      </c>
      <c r="F7" s="14">
        <v>4544</v>
      </c>
      <c r="G7" s="14">
        <v>5085</v>
      </c>
      <c r="H7" s="14">
        <v>5697</v>
      </c>
      <c r="I7" s="14">
        <v>6740</v>
      </c>
      <c r="J7" s="14">
        <v>8185</v>
      </c>
      <c r="K7" s="14">
        <v>8103</v>
      </c>
      <c r="L7" s="14">
        <v>7790</v>
      </c>
      <c r="M7" s="14">
        <v>7973</v>
      </c>
      <c r="N7" s="14">
        <v>8389</v>
      </c>
      <c r="O7" s="16">
        <v>6.6</v>
      </c>
    </row>
    <row r="8" spans="1:15" x14ac:dyDescent="0.35">
      <c r="A8" s="3" t="s">
        <v>79</v>
      </c>
      <c r="B8" s="13" t="s">
        <v>80</v>
      </c>
      <c r="C8" s="13" t="s">
        <v>78</v>
      </c>
      <c r="D8" s="14">
        <v>3809</v>
      </c>
      <c r="E8" s="14">
        <v>4598</v>
      </c>
      <c r="F8" s="14">
        <v>4796</v>
      </c>
      <c r="G8" s="14">
        <v>5574</v>
      </c>
      <c r="H8" s="14">
        <v>5378</v>
      </c>
      <c r="I8" s="14">
        <v>5630</v>
      </c>
      <c r="J8" s="14">
        <v>5119</v>
      </c>
      <c r="K8" s="14">
        <v>5075</v>
      </c>
      <c r="L8" s="14">
        <v>5143</v>
      </c>
      <c r="M8" s="14">
        <v>5480</v>
      </c>
      <c r="N8" s="14">
        <v>5314</v>
      </c>
      <c r="O8" s="16">
        <v>4.3</v>
      </c>
    </row>
    <row r="9" spans="1:15" x14ac:dyDescent="0.35">
      <c r="A9" s="3" t="s">
        <v>81</v>
      </c>
      <c r="B9" s="13" t="s">
        <v>82</v>
      </c>
      <c r="C9" s="13" t="s">
        <v>78</v>
      </c>
      <c r="D9" s="14">
        <v>2292</v>
      </c>
      <c r="E9" s="14">
        <v>2440</v>
      </c>
      <c r="F9" s="14">
        <v>2438</v>
      </c>
      <c r="G9" s="14">
        <v>2567</v>
      </c>
      <c r="H9" s="14">
        <v>2663</v>
      </c>
      <c r="I9" s="14">
        <v>2720</v>
      </c>
      <c r="J9" s="14">
        <v>2650</v>
      </c>
      <c r="K9" s="14">
        <v>2645</v>
      </c>
      <c r="L9" s="14">
        <v>2465</v>
      </c>
      <c r="M9" s="14">
        <v>2538</v>
      </c>
      <c r="N9" s="14">
        <v>2605</v>
      </c>
      <c r="O9" s="16">
        <v>4.4000000000000004</v>
      </c>
    </row>
    <row r="10" spans="1:15" x14ac:dyDescent="0.35">
      <c r="A10" s="3" t="s">
        <v>83</v>
      </c>
      <c r="B10" s="13" t="s">
        <v>84</v>
      </c>
      <c r="C10" s="13" t="s">
        <v>78</v>
      </c>
      <c r="D10" s="14">
        <v>2359</v>
      </c>
      <c r="E10" s="14">
        <v>2374</v>
      </c>
      <c r="F10" s="14">
        <v>2108</v>
      </c>
      <c r="G10" s="14">
        <v>2182</v>
      </c>
      <c r="H10" s="14">
        <v>2206</v>
      </c>
      <c r="I10" s="14">
        <v>2255</v>
      </c>
      <c r="J10" s="14">
        <v>1951</v>
      </c>
      <c r="K10" s="14">
        <v>2048</v>
      </c>
      <c r="L10" s="14">
        <v>2332</v>
      </c>
      <c r="M10" s="14">
        <v>2847</v>
      </c>
      <c r="N10" s="14">
        <v>3369</v>
      </c>
      <c r="O10" s="16">
        <v>6.7</v>
      </c>
    </row>
    <row r="11" spans="1:15" x14ac:dyDescent="0.35">
      <c r="A11" s="3" t="s">
        <v>142</v>
      </c>
      <c r="B11" s="13" t="s">
        <v>86</v>
      </c>
      <c r="C11" s="13" t="s">
        <v>78</v>
      </c>
      <c r="D11" s="14">
        <v>7413</v>
      </c>
      <c r="E11" s="14">
        <v>7662</v>
      </c>
      <c r="F11" s="14">
        <v>7856</v>
      </c>
      <c r="G11" s="14">
        <v>8341</v>
      </c>
      <c r="H11" s="14">
        <v>8462</v>
      </c>
      <c r="I11" s="14">
        <v>10320</v>
      </c>
      <c r="J11" s="14">
        <v>10330</v>
      </c>
      <c r="K11" s="14">
        <v>10048</v>
      </c>
      <c r="L11" s="14">
        <v>10490</v>
      </c>
      <c r="M11" s="14">
        <v>6442</v>
      </c>
      <c r="N11" s="14">
        <v>6464</v>
      </c>
      <c r="O11" s="16">
        <v>2.4</v>
      </c>
    </row>
    <row r="12" spans="1:15" x14ac:dyDescent="0.35">
      <c r="A12" s="3" t="s">
        <v>161</v>
      </c>
      <c r="B12" s="13" t="s">
        <v>88</v>
      </c>
      <c r="C12" s="13" t="s">
        <v>78</v>
      </c>
      <c r="D12" s="14">
        <v>557</v>
      </c>
      <c r="E12" s="14">
        <v>601</v>
      </c>
      <c r="F12" s="14">
        <v>572</v>
      </c>
      <c r="G12" s="14">
        <v>627</v>
      </c>
      <c r="H12" s="14">
        <v>576</v>
      </c>
      <c r="I12" s="14">
        <v>545</v>
      </c>
      <c r="J12" s="14">
        <v>623</v>
      </c>
      <c r="K12" s="14">
        <v>693</v>
      </c>
      <c r="L12" s="14">
        <v>678</v>
      </c>
      <c r="M12" s="14">
        <v>588</v>
      </c>
      <c r="N12" s="14">
        <v>610</v>
      </c>
      <c r="O12" s="16">
        <v>2.4</v>
      </c>
    </row>
    <row r="13" spans="1:15" x14ac:dyDescent="0.35">
      <c r="A13" s="3" t="s">
        <v>89</v>
      </c>
      <c r="B13" s="13" t="s">
        <v>90</v>
      </c>
      <c r="C13" s="13" t="s">
        <v>78</v>
      </c>
      <c r="D13" s="14">
        <v>2346</v>
      </c>
      <c r="E13" s="14">
        <v>3111</v>
      </c>
      <c r="F13" s="14">
        <v>3014</v>
      </c>
      <c r="G13" s="14">
        <v>3157</v>
      </c>
      <c r="H13" s="14">
        <v>3306</v>
      </c>
      <c r="I13" s="14">
        <v>3267</v>
      </c>
      <c r="J13" s="14">
        <v>3020</v>
      </c>
      <c r="K13" s="14">
        <v>2796</v>
      </c>
      <c r="L13" s="14">
        <v>3221</v>
      </c>
      <c r="M13" s="14">
        <v>3282</v>
      </c>
      <c r="N13" s="14">
        <v>3112</v>
      </c>
      <c r="O13" s="16">
        <v>4.0999999999999996</v>
      </c>
    </row>
    <row r="14" spans="1:15" x14ac:dyDescent="0.35">
      <c r="A14" s="3" t="s">
        <v>91</v>
      </c>
      <c r="B14" s="13" t="s">
        <v>92</v>
      </c>
      <c r="C14" s="13" t="s">
        <v>78</v>
      </c>
      <c r="D14" s="14">
        <v>3192</v>
      </c>
      <c r="E14" s="14">
        <v>3316</v>
      </c>
      <c r="F14" s="14">
        <v>3139</v>
      </c>
      <c r="G14" s="14">
        <v>3069</v>
      </c>
      <c r="H14" s="14">
        <v>3031</v>
      </c>
      <c r="I14" s="14">
        <v>3097</v>
      </c>
      <c r="J14" s="14">
        <v>2786</v>
      </c>
      <c r="K14" s="14">
        <v>2783</v>
      </c>
      <c r="L14" s="14">
        <v>2738</v>
      </c>
      <c r="M14" s="14">
        <v>2791</v>
      </c>
      <c r="N14" s="14">
        <v>2828</v>
      </c>
      <c r="O14" s="16">
        <v>3.7</v>
      </c>
    </row>
    <row r="15" spans="1:15" x14ac:dyDescent="0.35">
      <c r="A15" s="3" t="s">
        <v>93</v>
      </c>
      <c r="B15" s="13" t="s">
        <v>94</v>
      </c>
      <c r="C15" s="13" t="s">
        <v>78</v>
      </c>
      <c r="D15" s="14">
        <v>1892</v>
      </c>
      <c r="E15" s="14">
        <v>1945</v>
      </c>
      <c r="F15" s="14">
        <v>2096</v>
      </c>
      <c r="G15" s="14">
        <v>2140</v>
      </c>
      <c r="H15" s="14">
        <v>2021</v>
      </c>
      <c r="I15" s="14">
        <v>2056</v>
      </c>
      <c r="J15" s="14">
        <v>1519</v>
      </c>
      <c r="K15" s="14">
        <v>1436</v>
      </c>
      <c r="L15" s="14">
        <v>1547</v>
      </c>
      <c r="M15" s="14">
        <v>1482</v>
      </c>
      <c r="N15" s="14">
        <v>1361</v>
      </c>
      <c r="O15" s="16">
        <v>2.2999999999999998</v>
      </c>
    </row>
    <row r="16" spans="1:15" x14ac:dyDescent="0.35">
      <c r="A16" s="3" t="s">
        <v>95</v>
      </c>
      <c r="B16" s="13" t="s">
        <v>96</v>
      </c>
      <c r="C16" s="13" t="s">
        <v>78</v>
      </c>
      <c r="D16" s="14">
        <v>514</v>
      </c>
      <c r="E16" s="14">
        <v>548</v>
      </c>
      <c r="F16" s="14">
        <v>595</v>
      </c>
      <c r="G16" s="14">
        <v>633</v>
      </c>
      <c r="H16" s="14">
        <v>723</v>
      </c>
      <c r="I16" s="14">
        <v>615</v>
      </c>
      <c r="J16" s="14">
        <v>654</v>
      </c>
      <c r="K16" s="14">
        <v>754</v>
      </c>
      <c r="L16" s="14">
        <v>893</v>
      </c>
      <c r="M16" s="14">
        <v>789</v>
      </c>
      <c r="N16" s="14">
        <v>792</v>
      </c>
      <c r="O16" s="16">
        <v>1.6</v>
      </c>
    </row>
    <row r="17" spans="1:15" x14ac:dyDescent="0.35">
      <c r="A17" s="3" t="s">
        <v>97</v>
      </c>
      <c r="B17" s="13" t="s">
        <v>98</v>
      </c>
      <c r="C17" s="13" t="s">
        <v>78</v>
      </c>
      <c r="D17" s="14">
        <v>868</v>
      </c>
      <c r="E17" s="14">
        <v>870</v>
      </c>
      <c r="F17" s="14">
        <v>1001</v>
      </c>
      <c r="G17" s="14">
        <v>961</v>
      </c>
      <c r="H17" s="14">
        <v>925</v>
      </c>
      <c r="I17" s="14">
        <v>1039</v>
      </c>
      <c r="J17" s="14">
        <v>1002</v>
      </c>
      <c r="K17" s="14">
        <v>1063</v>
      </c>
      <c r="L17" s="14">
        <v>1175</v>
      </c>
      <c r="M17" s="14">
        <v>1323</v>
      </c>
      <c r="N17" s="14">
        <v>1076</v>
      </c>
      <c r="O17" s="16">
        <v>2</v>
      </c>
    </row>
    <row r="18" spans="1:15" x14ac:dyDescent="0.35">
      <c r="A18" s="3" t="s">
        <v>162</v>
      </c>
      <c r="B18" s="13" t="s">
        <v>100</v>
      </c>
      <c r="C18" s="13" t="s">
        <v>78</v>
      </c>
      <c r="D18" s="14">
        <v>437</v>
      </c>
      <c r="E18" s="14">
        <v>456</v>
      </c>
      <c r="F18" s="14">
        <v>472</v>
      </c>
      <c r="G18" s="14">
        <v>521</v>
      </c>
      <c r="H18" s="14">
        <v>520</v>
      </c>
      <c r="I18" s="14">
        <v>591</v>
      </c>
      <c r="J18" s="14">
        <v>514</v>
      </c>
      <c r="K18" s="14">
        <v>505</v>
      </c>
      <c r="L18" s="14">
        <v>484</v>
      </c>
      <c r="M18" s="14">
        <v>449</v>
      </c>
      <c r="N18" s="14">
        <v>427</v>
      </c>
      <c r="O18" s="16">
        <v>1</v>
      </c>
    </row>
    <row r="19" spans="1:15" x14ac:dyDescent="0.35">
      <c r="A19" s="3" t="s">
        <v>101</v>
      </c>
      <c r="B19" s="13" t="s">
        <v>102</v>
      </c>
      <c r="C19" s="13" t="s">
        <v>78</v>
      </c>
      <c r="D19" s="14">
        <v>1664</v>
      </c>
      <c r="E19" s="14">
        <v>1754</v>
      </c>
      <c r="F19" s="14">
        <v>1734</v>
      </c>
      <c r="G19" s="14">
        <v>1800</v>
      </c>
      <c r="H19" s="14">
        <v>1783</v>
      </c>
      <c r="I19" s="14">
        <v>1845</v>
      </c>
      <c r="J19" s="14">
        <v>1778</v>
      </c>
      <c r="K19" s="14">
        <v>1950</v>
      </c>
      <c r="L19" s="14">
        <v>1902</v>
      </c>
      <c r="M19" s="14">
        <v>1643</v>
      </c>
      <c r="N19" s="14">
        <v>1691</v>
      </c>
      <c r="O19" s="16">
        <v>2.2000000000000002</v>
      </c>
    </row>
    <row r="20" spans="1:15" x14ac:dyDescent="0.35">
      <c r="A20" s="3" t="s">
        <v>103</v>
      </c>
      <c r="B20" s="13" t="s">
        <v>104</v>
      </c>
      <c r="C20" s="13" t="s">
        <v>78</v>
      </c>
      <c r="D20" s="14">
        <v>5678</v>
      </c>
      <c r="E20" s="14">
        <v>5488</v>
      </c>
      <c r="F20" s="14">
        <v>5736</v>
      </c>
      <c r="G20" s="14">
        <v>5864</v>
      </c>
      <c r="H20" s="14">
        <v>5553</v>
      </c>
      <c r="I20" s="14">
        <v>6107</v>
      </c>
      <c r="J20" s="14">
        <v>5835</v>
      </c>
      <c r="K20" s="14">
        <v>5777</v>
      </c>
      <c r="L20" s="14">
        <v>5848</v>
      </c>
      <c r="M20" s="14">
        <v>6236</v>
      </c>
      <c r="N20" s="14">
        <v>6045</v>
      </c>
      <c r="O20" s="16">
        <v>3.3</v>
      </c>
    </row>
    <row r="21" spans="1:15" x14ac:dyDescent="0.35">
      <c r="A21" s="3" t="s">
        <v>143</v>
      </c>
      <c r="B21" s="13" t="s">
        <v>106</v>
      </c>
      <c r="C21" s="13" t="s">
        <v>78</v>
      </c>
      <c r="D21" s="14">
        <v>9423</v>
      </c>
      <c r="E21" s="14">
        <v>8457</v>
      </c>
      <c r="F21" s="14">
        <v>7538</v>
      </c>
      <c r="G21" s="14">
        <v>6803</v>
      </c>
      <c r="H21" s="14">
        <v>6828</v>
      </c>
      <c r="I21" s="14">
        <v>7423</v>
      </c>
      <c r="J21" s="14">
        <v>6702</v>
      </c>
      <c r="K21" s="14">
        <v>7172</v>
      </c>
      <c r="L21" s="14">
        <v>7026</v>
      </c>
      <c r="M21" s="14">
        <v>8869</v>
      </c>
      <c r="N21" s="14">
        <v>8156</v>
      </c>
      <c r="O21" s="16">
        <v>2.5</v>
      </c>
    </row>
    <row r="22" spans="1:15" x14ac:dyDescent="0.35">
      <c r="A22" s="3" t="s">
        <v>107</v>
      </c>
      <c r="B22" s="13" t="s">
        <v>108</v>
      </c>
      <c r="C22" s="13" t="s">
        <v>78</v>
      </c>
      <c r="D22" s="14">
        <v>2934</v>
      </c>
      <c r="E22" s="14">
        <v>3245</v>
      </c>
      <c r="F22" s="14">
        <v>3447</v>
      </c>
      <c r="G22" s="14">
        <v>3858</v>
      </c>
      <c r="H22" s="14">
        <v>4186</v>
      </c>
      <c r="I22" s="14">
        <v>4532</v>
      </c>
      <c r="J22" s="14">
        <v>4755</v>
      </c>
      <c r="K22" s="14">
        <v>5269</v>
      </c>
      <c r="L22" s="14">
        <v>5585</v>
      </c>
      <c r="M22" s="14">
        <v>5915</v>
      </c>
      <c r="N22" s="14">
        <v>6028</v>
      </c>
      <c r="O22" s="16">
        <v>4.8</v>
      </c>
    </row>
    <row r="23" spans="1:15" x14ac:dyDescent="0.35">
      <c r="A23" s="3" t="s">
        <v>109</v>
      </c>
      <c r="B23" s="13" t="s">
        <v>110</v>
      </c>
      <c r="C23" s="13" t="s">
        <v>78</v>
      </c>
      <c r="D23" s="14">
        <v>1715</v>
      </c>
      <c r="E23" s="14">
        <v>1676</v>
      </c>
      <c r="F23" s="14">
        <v>1650</v>
      </c>
      <c r="G23" s="14">
        <v>1811</v>
      </c>
      <c r="H23" s="14">
        <v>1822</v>
      </c>
      <c r="I23" s="14">
        <v>1894</v>
      </c>
      <c r="J23" s="14">
        <v>1866</v>
      </c>
      <c r="K23" s="14">
        <v>1976</v>
      </c>
      <c r="L23" s="14">
        <v>1981</v>
      </c>
      <c r="M23" s="14">
        <v>1982</v>
      </c>
      <c r="N23" s="14">
        <v>1746</v>
      </c>
      <c r="O23" s="16">
        <v>4.4000000000000004</v>
      </c>
    </row>
    <row r="24" spans="1:15" x14ac:dyDescent="0.35">
      <c r="A24" s="3" t="s">
        <v>111</v>
      </c>
      <c r="B24" s="13" t="s">
        <v>112</v>
      </c>
      <c r="C24" s="13" t="s">
        <v>78</v>
      </c>
      <c r="D24" s="14">
        <v>963</v>
      </c>
      <c r="E24" s="14">
        <v>810</v>
      </c>
      <c r="F24" s="14">
        <v>625</v>
      </c>
      <c r="G24" s="14">
        <v>785</v>
      </c>
      <c r="H24" s="14">
        <v>748</v>
      </c>
      <c r="I24" s="14">
        <v>834</v>
      </c>
      <c r="J24" s="14">
        <v>822</v>
      </c>
      <c r="K24" s="14">
        <v>750</v>
      </c>
      <c r="L24" s="14">
        <v>825</v>
      </c>
      <c r="M24" s="14">
        <v>868</v>
      </c>
      <c r="N24" s="14">
        <v>878</v>
      </c>
      <c r="O24" s="16">
        <v>1.9</v>
      </c>
    </row>
    <row r="25" spans="1:15" x14ac:dyDescent="0.35">
      <c r="A25" s="3" t="s">
        <v>113</v>
      </c>
      <c r="B25" s="13" t="s">
        <v>114</v>
      </c>
      <c r="C25" s="13" t="s">
        <v>78</v>
      </c>
      <c r="D25" s="14">
        <v>1703</v>
      </c>
      <c r="E25" s="14">
        <v>1699</v>
      </c>
      <c r="F25" s="14">
        <v>1751</v>
      </c>
      <c r="G25" s="14">
        <v>1851</v>
      </c>
      <c r="H25" s="14">
        <v>1837</v>
      </c>
      <c r="I25" s="14">
        <v>1864</v>
      </c>
      <c r="J25" s="14">
        <v>1744</v>
      </c>
      <c r="K25" s="14">
        <v>1743</v>
      </c>
      <c r="L25" s="14">
        <v>1803</v>
      </c>
      <c r="M25" s="14">
        <v>1594</v>
      </c>
      <c r="N25" s="14">
        <v>1687</v>
      </c>
      <c r="O25" s="16">
        <v>3.5</v>
      </c>
    </row>
    <row r="26" spans="1:15" x14ac:dyDescent="0.35">
      <c r="A26" s="3" t="s">
        <v>115</v>
      </c>
      <c r="B26" s="13" t="s">
        <v>116</v>
      </c>
      <c r="C26" s="13" t="s">
        <v>78</v>
      </c>
      <c r="D26" s="14">
        <v>917</v>
      </c>
      <c r="E26" s="14">
        <v>954</v>
      </c>
      <c r="F26" s="14">
        <v>1218</v>
      </c>
      <c r="G26" s="14">
        <v>1171</v>
      </c>
      <c r="H26" s="14">
        <v>1122</v>
      </c>
      <c r="I26" s="14">
        <v>1192</v>
      </c>
      <c r="J26" s="14">
        <v>1138</v>
      </c>
      <c r="K26" s="14">
        <v>1160</v>
      </c>
      <c r="L26" s="14">
        <v>1210</v>
      </c>
      <c r="M26" s="14">
        <v>1243</v>
      </c>
      <c r="N26" s="14">
        <v>1227</v>
      </c>
      <c r="O26" s="16">
        <v>8</v>
      </c>
    </row>
    <row r="27" spans="1:15" x14ac:dyDescent="0.35">
      <c r="A27" s="3" t="s">
        <v>117</v>
      </c>
      <c r="B27" s="13" t="s">
        <v>118</v>
      </c>
      <c r="C27" s="13" t="s">
        <v>78</v>
      </c>
      <c r="D27" s="14">
        <v>2302</v>
      </c>
      <c r="E27" s="14">
        <v>2157</v>
      </c>
      <c r="F27" s="14">
        <v>2043</v>
      </c>
      <c r="G27" s="14">
        <v>2144</v>
      </c>
      <c r="H27" s="14">
        <v>2289</v>
      </c>
      <c r="I27" s="14">
        <v>2344</v>
      </c>
      <c r="J27" s="14">
        <v>2185</v>
      </c>
      <c r="K27" s="14">
        <v>2428</v>
      </c>
      <c r="L27" s="14">
        <v>2535</v>
      </c>
      <c r="M27" s="14">
        <v>1942</v>
      </c>
      <c r="N27" s="14">
        <v>2025</v>
      </c>
      <c r="O27" s="16">
        <v>2.9</v>
      </c>
    </row>
    <row r="28" spans="1:15" x14ac:dyDescent="0.35">
      <c r="A28" s="3" t="s">
        <v>119</v>
      </c>
      <c r="B28" s="13" t="s">
        <v>120</v>
      </c>
      <c r="C28" s="13" t="s">
        <v>78</v>
      </c>
      <c r="D28" s="14">
        <v>2536</v>
      </c>
      <c r="E28" s="14">
        <v>2428</v>
      </c>
      <c r="F28" s="14">
        <v>2634</v>
      </c>
      <c r="G28" s="14">
        <v>3144</v>
      </c>
      <c r="H28" s="14">
        <v>3738</v>
      </c>
      <c r="I28" s="14">
        <v>4274</v>
      </c>
      <c r="J28" s="14">
        <v>4286</v>
      </c>
      <c r="K28" s="14">
        <v>4696</v>
      </c>
      <c r="L28" s="14">
        <v>4417</v>
      </c>
      <c r="M28" s="14">
        <v>4961</v>
      </c>
      <c r="N28" s="14">
        <v>4371</v>
      </c>
      <c r="O28" s="16">
        <v>2.7</v>
      </c>
    </row>
    <row r="29" spans="1:15" x14ac:dyDescent="0.35">
      <c r="A29" s="3" t="s">
        <v>121</v>
      </c>
      <c r="B29" s="13" t="s">
        <v>122</v>
      </c>
      <c r="C29" s="13" t="s">
        <v>78</v>
      </c>
      <c r="D29" s="14">
        <v>725</v>
      </c>
      <c r="E29" s="14">
        <v>759</v>
      </c>
      <c r="F29" s="14">
        <v>745</v>
      </c>
      <c r="G29" s="14">
        <v>698</v>
      </c>
      <c r="H29" s="14">
        <v>701</v>
      </c>
      <c r="I29" s="14">
        <v>640</v>
      </c>
      <c r="J29" s="14">
        <v>646</v>
      </c>
      <c r="K29" s="14">
        <v>638</v>
      </c>
      <c r="L29" s="14">
        <v>651</v>
      </c>
      <c r="M29" s="14">
        <v>747</v>
      </c>
      <c r="N29" s="14">
        <v>727</v>
      </c>
      <c r="O29" s="16">
        <v>6.1</v>
      </c>
    </row>
    <row r="30" spans="1:15" x14ac:dyDescent="0.35">
      <c r="A30" s="3" t="s">
        <v>123</v>
      </c>
      <c r="B30" s="13" t="s">
        <v>124</v>
      </c>
      <c r="C30" s="13" t="s">
        <v>78</v>
      </c>
      <c r="D30" s="14">
        <v>2801</v>
      </c>
      <c r="E30" s="14">
        <v>2759</v>
      </c>
      <c r="F30" s="14">
        <v>2685</v>
      </c>
      <c r="G30" s="14">
        <v>2771</v>
      </c>
      <c r="H30" s="14">
        <v>2849</v>
      </c>
      <c r="I30" s="14">
        <v>2945</v>
      </c>
      <c r="J30" s="14">
        <v>2702</v>
      </c>
      <c r="K30" s="14">
        <v>2682</v>
      </c>
      <c r="L30" s="14">
        <v>2677</v>
      </c>
      <c r="M30" s="14">
        <v>2864</v>
      </c>
      <c r="N30" s="14">
        <v>2811</v>
      </c>
      <c r="O30" s="16">
        <v>3.6</v>
      </c>
    </row>
    <row r="31" spans="1:15" x14ac:dyDescent="0.35">
      <c r="A31" s="3" t="s">
        <v>163</v>
      </c>
      <c r="B31" s="13" t="s">
        <v>126</v>
      </c>
      <c r="C31" s="13" t="s">
        <v>78</v>
      </c>
      <c r="D31" s="14">
        <v>2475</v>
      </c>
      <c r="E31" s="14">
        <v>2547</v>
      </c>
      <c r="F31" s="14">
        <v>2338</v>
      </c>
      <c r="G31" s="14">
        <v>2401</v>
      </c>
      <c r="H31" s="14">
        <v>2258</v>
      </c>
      <c r="I31" s="14">
        <v>2349</v>
      </c>
      <c r="J31" s="14">
        <v>2589</v>
      </c>
      <c r="K31" s="14">
        <v>2653</v>
      </c>
      <c r="L31" s="14">
        <v>2844</v>
      </c>
      <c r="M31" s="14">
        <v>2920</v>
      </c>
      <c r="N31" s="14">
        <v>2722</v>
      </c>
      <c r="O31" s="16">
        <v>3</v>
      </c>
    </row>
    <row r="32" spans="1:15" x14ac:dyDescent="0.35">
      <c r="A32" s="3" t="s">
        <v>127</v>
      </c>
      <c r="B32" s="13" t="s">
        <v>128</v>
      </c>
      <c r="C32" s="13" t="s">
        <v>78</v>
      </c>
      <c r="D32" s="14">
        <v>2832</v>
      </c>
      <c r="E32" s="14">
        <v>2884</v>
      </c>
      <c r="F32" s="14">
        <v>2662</v>
      </c>
      <c r="G32" s="14">
        <v>2932</v>
      </c>
      <c r="H32" s="14">
        <v>2777</v>
      </c>
      <c r="I32" s="14">
        <v>2900</v>
      </c>
      <c r="J32" s="14">
        <v>2570</v>
      </c>
      <c r="K32" s="14">
        <v>2668</v>
      </c>
      <c r="L32" s="14">
        <v>2907</v>
      </c>
      <c r="M32" s="14">
        <v>2818</v>
      </c>
      <c r="N32" s="14">
        <v>2667</v>
      </c>
      <c r="O32" s="16">
        <v>4.4000000000000004</v>
      </c>
    </row>
    <row r="33" spans="1:16" x14ac:dyDescent="0.35">
      <c r="A33" s="3" t="s">
        <v>129</v>
      </c>
      <c r="B33" s="13" t="s">
        <v>130</v>
      </c>
      <c r="C33" s="13" t="s">
        <v>78</v>
      </c>
      <c r="D33" s="14">
        <v>674</v>
      </c>
      <c r="E33" s="14">
        <v>716</v>
      </c>
      <c r="F33" s="14">
        <v>720</v>
      </c>
      <c r="G33" s="14">
        <v>772</v>
      </c>
      <c r="H33" s="14">
        <v>751</v>
      </c>
      <c r="I33" s="14">
        <v>800</v>
      </c>
      <c r="J33" s="14">
        <v>770</v>
      </c>
      <c r="K33" s="14">
        <v>790</v>
      </c>
      <c r="L33" s="14">
        <v>868</v>
      </c>
      <c r="M33" s="14">
        <v>692</v>
      </c>
      <c r="N33" s="14">
        <v>716</v>
      </c>
      <c r="O33" s="16">
        <v>6.1</v>
      </c>
    </row>
    <row r="34" spans="1:16" x14ac:dyDescent="0.35">
      <c r="A34" s="3" t="s">
        <v>131</v>
      </c>
      <c r="B34" s="13" t="s">
        <v>132</v>
      </c>
      <c r="C34" s="13" t="s">
        <v>78</v>
      </c>
      <c r="D34" s="14">
        <v>1338</v>
      </c>
      <c r="E34" s="14">
        <v>1617</v>
      </c>
      <c r="F34" s="14">
        <v>1701</v>
      </c>
      <c r="G34" s="14">
        <v>1730</v>
      </c>
      <c r="H34" s="14">
        <v>1605</v>
      </c>
      <c r="I34" s="14">
        <v>1822</v>
      </c>
      <c r="J34" s="14">
        <v>1771</v>
      </c>
      <c r="K34" s="14">
        <v>2035</v>
      </c>
      <c r="L34" s="14">
        <v>1936</v>
      </c>
      <c r="M34" s="14">
        <v>1983</v>
      </c>
      <c r="N34" s="14">
        <v>2017</v>
      </c>
      <c r="O34" s="16">
        <v>3.5</v>
      </c>
    </row>
    <row r="35" spans="1:16" x14ac:dyDescent="0.35">
      <c r="A35" s="3" t="s">
        <v>133</v>
      </c>
      <c r="B35" s="13" t="s">
        <v>134</v>
      </c>
      <c r="C35" s="13" t="s">
        <v>78</v>
      </c>
      <c r="D35" s="14">
        <v>3097</v>
      </c>
      <c r="E35" s="14">
        <v>3184</v>
      </c>
      <c r="F35" s="14">
        <v>3243</v>
      </c>
      <c r="G35" s="14">
        <v>3635</v>
      </c>
      <c r="H35" s="14">
        <v>3979</v>
      </c>
      <c r="I35" s="14">
        <v>3857</v>
      </c>
      <c r="J35" s="14">
        <v>3877</v>
      </c>
      <c r="K35" s="14">
        <v>4008</v>
      </c>
      <c r="L35" s="14">
        <v>4064</v>
      </c>
      <c r="M35" s="14">
        <v>3934</v>
      </c>
      <c r="N35" s="14">
        <v>3646</v>
      </c>
      <c r="O35" s="16">
        <v>2.2999999999999998</v>
      </c>
    </row>
    <row r="36" spans="1:16" x14ac:dyDescent="0.35">
      <c r="A36" s="3" t="s">
        <v>135</v>
      </c>
      <c r="B36" s="13" t="s">
        <v>136</v>
      </c>
      <c r="C36" s="13" t="s">
        <v>78</v>
      </c>
      <c r="D36" s="14">
        <v>1225</v>
      </c>
      <c r="E36" s="14">
        <v>1312</v>
      </c>
      <c r="F36" s="14">
        <v>1247</v>
      </c>
      <c r="G36" s="14">
        <v>1310</v>
      </c>
      <c r="H36" s="14">
        <v>1322</v>
      </c>
      <c r="I36" s="14">
        <v>1396</v>
      </c>
      <c r="J36" s="14">
        <v>1305</v>
      </c>
      <c r="K36" s="14">
        <v>1337</v>
      </c>
      <c r="L36" s="14">
        <v>1314</v>
      </c>
      <c r="M36" s="14">
        <v>1273</v>
      </c>
      <c r="N36" s="14">
        <v>1314</v>
      </c>
      <c r="O36" s="16">
        <v>3</v>
      </c>
    </row>
    <row r="37" spans="1:16" x14ac:dyDescent="0.35">
      <c r="A37" s="3" t="s">
        <v>137</v>
      </c>
      <c r="B37" s="13" t="s">
        <v>138</v>
      </c>
      <c r="C37" s="13" t="s">
        <v>78</v>
      </c>
      <c r="D37" s="14">
        <v>1479</v>
      </c>
      <c r="E37" s="14">
        <v>1484</v>
      </c>
      <c r="F37" s="14">
        <v>1374</v>
      </c>
      <c r="G37" s="14">
        <v>1379</v>
      </c>
      <c r="H37" s="14">
        <v>1333</v>
      </c>
      <c r="I37" s="14">
        <v>1030</v>
      </c>
      <c r="J37" s="14">
        <v>1275</v>
      </c>
      <c r="K37" s="14">
        <v>1378</v>
      </c>
      <c r="L37" s="14">
        <v>1342</v>
      </c>
      <c r="M37" s="14">
        <v>1159</v>
      </c>
      <c r="N37" s="14">
        <v>965</v>
      </c>
      <c r="O37" s="16">
        <v>2.1</v>
      </c>
    </row>
    <row r="38" spans="1:16" x14ac:dyDescent="0.35">
      <c r="A38" s="3" t="s">
        <v>139</v>
      </c>
      <c r="B38" s="13" t="s">
        <v>140</v>
      </c>
      <c r="C38" s="13" t="s">
        <v>78</v>
      </c>
      <c r="D38" s="14">
        <v>1808</v>
      </c>
      <c r="E38" s="14">
        <v>1717</v>
      </c>
      <c r="F38" s="14">
        <v>1524</v>
      </c>
      <c r="G38" s="14">
        <v>1719</v>
      </c>
      <c r="H38" s="14">
        <v>1643</v>
      </c>
      <c r="I38" s="14">
        <v>1576</v>
      </c>
      <c r="J38" s="14">
        <v>1366</v>
      </c>
      <c r="K38" s="14">
        <v>1614</v>
      </c>
      <c r="L38" s="14">
        <v>1845</v>
      </c>
      <c r="M38" s="14">
        <v>1690</v>
      </c>
      <c r="N38" s="14">
        <v>1656</v>
      </c>
      <c r="O38" s="16">
        <v>1.9</v>
      </c>
    </row>
    <row r="39" spans="1:16" x14ac:dyDescent="0.35">
      <c r="B39" s="15"/>
      <c r="C39" s="15"/>
      <c r="D39" s="15"/>
      <c r="E39" s="15"/>
      <c r="F39" s="15"/>
      <c r="G39" s="15"/>
      <c r="H39" s="15"/>
      <c r="I39" s="15"/>
      <c r="J39" s="15"/>
      <c r="K39" s="15"/>
      <c r="L39" s="15"/>
      <c r="M39" s="15"/>
      <c r="N39" s="15"/>
      <c r="O39" s="15"/>
      <c r="P39" s="17"/>
    </row>
  </sheetData>
  <phoneticPr fontId="13" type="noConversion"/>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9"/>
  <sheetViews>
    <sheetView workbookViewId="0"/>
  </sheetViews>
  <sheetFormatPr defaultColWidth="11.53515625" defaultRowHeight="15.5" x14ac:dyDescent="0.35"/>
  <cols>
    <col min="1" max="1" width="21.69140625" customWidth="1"/>
    <col min="2" max="2" width="13.69140625" customWidth="1"/>
    <col min="3" max="3" width="12.69140625" customWidth="1"/>
    <col min="4" max="15" width="10.69140625" customWidth="1"/>
    <col min="16" max="16" width="13.69140625" customWidth="1"/>
  </cols>
  <sheetData>
    <row r="1" spans="1:15" ht="20" x14ac:dyDescent="0.4">
      <c r="A1" s="1" t="s">
        <v>291</v>
      </c>
    </row>
    <row r="2" spans="1:15" x14ac:dyDescent="0.35">
      <c r="A2" t="s">
        <v>16</v>
      </c>
    </row>
    <row r="3" spans="1:15" x14ac:dyDescent="0.35">
      <c r="A3" t="s">
        <v>165</v>
      </c>
    </row>
    <row r="4" spans="1:15" x14ac:dyDescent="0.35">
      <c r="A4" s="5" t="str">
        <f>HYPERLINK("#'Table of Contents'!A1", "Back to contents")</f>
        <v>Back to contents</v>
      </c>
    </row>
    <row r="5" spans="1:15" ht="77.5" x14ac:dyDescent="0.35">
      <c r="A5" s="11" t="s">
        <v>47</v>
      </c>
      <c r="B5" s="11" t="s">
        <v>48</v>
      </c>
      <c r="C5" s="11" t="s">
        <v>49</v>
      </c>
      <c r="D5" s="12" t="s">
        <v>64</v>
      </c>
      <c r="E5" s="12" t="s">
        <v>65</v>
      </c>
      <c r="F5" s="12" t="s">
        <v>66</v>
      </c>
      <c r="G5" s="12" t="s">
        <v>67</v>
      </c>
      <c r="H5" s="12" t="s">
        <v>68</v>
      </c>
      <c r="I5" s="12" t="s">
        <v>69</v>
      </c>
      <c r="J5" s="12" t="s">
        <v>70</v>
      </c>
      <c r="K5" s="12" t="s">
        <v>71</v>
      </c>
      <c r="L5" s="12" t="s">
        <v>72</v>
      </c>
      <c r="M5" s="12" t="s">
        <v>206</v>
      </c>
      <c r="N5" s="12" t="s">
        <v>275</v>
      </c>
      <c r="O5" s="12" t="s">
        <v>288</v>
      </c>
    </row>
    <row r="6" spans="1:15" ht="25" customHeight="1" x14ac:dyDescent="0.35">
      <c r="A6" s="18" t="s">
        <v>73</v>
      </c>
      <c r="B6" s="19" t="s">
        <v>74</v>
      </c>
      <c r="C6" s="19" t="s">
        <v>75</v>
      </c>
      <c r="D6" s="20">
        <v>42663</v>
      </c>
      <c r="E6" s="20">
        <v>42629</v>
      </c>
      <c r="F6" s="20">
        <v>41978</v>
      </c>
      <c r="G6" s="20">
        <v>44132</v>
      </c>
      <c r="H6" s="20">
        <v>43570</v>
      </c>
      <c r="I6" s="20">
        <v>43166</v>
      </c>
      <c r="J6" s="20">
        <v>44569</v>
      </c>
      <c r="K6" s="20">
        <v>46072</v>
      </c>
      <c r="L6" s="20">
        <v>46319</v>
      </c>
      <c r="M6" s="20">
        <v>47779</v>
      </c>
      <c r="N6" s="20">
        <v>44989</v>
      </c>
      <c r="O6" s="21">
        <v>1.6</v>
      </c>
    </row>
    <row r="7" spans="1:15" x14ac:dyDescent="0.35">
      <c r="A7" s="3" t="s">
        <v>141</v>
      </c>
      <c r="B7" s="13" t="s">
        <v>77</v>
      </c>
      <c r="C7" s="13" t="s">
        <v>78</v>
      </c>
      <c r="D7" s="14">
        <v>1593</v>
      </c>
      <c r="E7" s="14">
        <v>1588</v>
      </c>
      <c r="F7" s="14">
        <v>1935</v>
      </c>
      <c r="G7" s="14">
        <v>2096</v>
      </c>
      <c r="H7" s="14">
        <v>1907</v>
      </c>
      <c r="I7" s="14">
        <v>2203</v>
      </c>
      <c r="J7" s="14">
        <v>2179</v>
      </c>
      <c r="K7" s="14">
        <v>2338</v>
      </c>
      <c r="L7" s="14">
        <v>2196</v>
      </c>
      <c r="M7" s="14">
        <v>2180</v>
      </c>
      <c r="N7" s="14">
        <v>2265</v>
      </c>
      <c r="O7" s="16">
        <v>1.8</v>
      </c>
    </row>
    <row r="8" spans="1:15" x14ac:dyDescent="0.35">
      <c r="A8" s="3" t="s">
        <v>79</v>
      </c>
      <c r="B8" s="13" t="s">
        <v>80</v>
      </c>
      <c r="C8" s="13" t="s">
        <v>78</v>
      </c>
      <c r="D8" s="14">
        <v>2212</v>
      </c>
      <c r="E8" s="14">
        <v>2606</v>
      </c>
      <c r="F8" s="14">
        <v>2369</v>
      </c>
      <c r="G8" s="14">
        <v>2718</v>
      </c>
      <c r="H8" s="14">
        <v>2403</v>
      </c>
      <c r="I8" s="14">
        <v>2463</v>
      </c>
      <c r="J8" s="14">
        <v>2536</v>
      </c>
      <c r="K8" s="14">
        <v>2532</v>
      </c>
      <c r="L8" s="14">
        <v>2439</v>
      </c>
      <c r="M8" s="14">
        <v>2554</v>
      </c>
      <c r="N8" s="14">
        <v>2418</v>
      </c>
      <c r="O8" s="16">
        <v>1.9</v>
      </c>
    </row>
    <row r="9" spans="1:15" x14ac:dyDescent="0.35">
      <c r="A9" s="3" t="s">
        <v>81</v>
      </c>
      <c r="B9" s="13" t="s">
        <v>82</v>
      </c>
      <c r="C9" s="13" t="s">
        <v>78</v>
      </c>
      <c r="D9" s="14">
        <v>1179</v>
      </c>
      <c r="E9" s="14">
        <v>1187</v>
      </c>
      <c r="F9" s="14">
        <v>1254</v>
      </c>
      <c r="G9" s="14">
        <v>1258</v>
      </c>
      <c r="H9" s="14">
        <v>1312</v>
      </c>
      <c r="I9" s="14">
        <v>1219</v>
      </c>
      <c r="J9" s="14">
        <v>1459</v>
      </c>
      <c r="K9" s="14">
        <v>1384</v>
      </c>
      <c r="L9" s="14">
        <v>1229</v>
      </c>
      <c r="M9" s="14">
        <v>1237</v>
      </c>
      <c r="N9" s="14">
        <v>1222</v>
      </c>
      <c r="O9" s="16">
        <v>2.1</v>
      </c>
    </row>
    <row r="10" spans="1:15" x14ac:dyDescent="0.35">
      <c r="A10" s="3" t="s">
        <v>83</v>
      </c>
      <c r="B10" s="13" t="s">
        <v>84</v>
      </c>
      <c r="C10" s="13" t="s">
        <v>78</v>
      </c>
      <c r="D10" s="14">
        <v>974</v>
      </c>
      <c r="E10" s="14">
        <v>908</v>
      </c>
      <c r="F10" s="14">
        <v>913</v>
      </c>
      <c r="G10" s="14">
        <v>905</v>
      </c>
      <c r="H10" s="14">
        <v>876</v>
      </c>
      <c r="I10" s="14">
        <v>925</v>
      </c>
      <c r="J10" s="14">
        <v>865</v>
      </c>
      <c r="K10" s="14">
        <v>879</v>
      </c>
      <c r="L10" s="14">
        <v>1003</v>
      </c>
      <c r="M10" s="14">
        <v>959</v>
      </c>
      <c r="N10" s="14">
        <v>909</v>
      </c>
      <c r="O10" s="16">
        <v>1.8</v>
      </c>
    </row>
    <row r="11" spans="1:15" x14ac:dyDescent="0.35">
      <c r="A11" s="3" t="s">
        <v>142</v>
      </c>
      <c r="B11" s="13" t="s">
        <v>86</v>
      </c>
      <c r="C11" s="13" t="s">
        <v>78</v>
      </c>
      <c r="D11" s="14">
        <v>2491</v>
      </c>
      <c r="E11" s="14">
        <v>2665</v>
      </c>
      <c r="F11" s="14">
        <v>2810</v>
      </c>
      <c r="G11" s="14">
        <v>3009</v>
      </c>
      <c r="H11" s="14">
        <v>2854</v>
      </c>
      <c r="I11" s="14">
        <v>3168</v>
      </c>
      <c r="J11" s="14">
        <v>3490</v>
      </c>
      <c r="K11" s="14">
        <v>3144</v>
      </c>
      <c r="L11" s="14">
        <v>3290</v>
      </c>
      <c r="M11" s="14">
        <v>3349</v>
      </c>
      <c r="N11" s="14">
        <v>3384</v>
      </c>
      <c r="O11" s="16">
        <v>1.3</v>
      </c>
    </row>
    <row r="12" spans="1:15" x14ac:dyDescent="0.35">
      <c r="A12" s="3" t="s">
        <v>87</v>
      </c>
      <c r="B12" s="13" t="s">
        <v>88</v>
      </c>
      <c r="C12" s="13" t="s">
        <v>78</v>
      </c>
      <c r="D12" s="14">
        <v>398</v>
      </c>
      <c r="E12" s="14">
        <v>474</v>
      </c>
      <c r="F12" s="14">
        <v>461</v>
      </c>
      <c r="G12" s="14">
        <v>460</v>
      </c>
      <c r="H12" s="14">
        <v>423</v>
      </c>
      <c r="I12" s="14">
        <v>347</v>
      </c>
      <c r="J12" s="14">
        <v>368</v>
      </c>
      <c r="K12" s="14">
        <v>443</v>
      </c>
      <c r="L12" s="14">
        <v>456</v>
      </c>
      <c r="M12" s="14">
        <v>426</v>
      </c>
      <c r="N12" s="14">
        <v>450</v>
      </c>
      <c r="O12" s="16">
        <v>1.8</v>
      </c>
    </row>
    <row r="13" spans="1:15" x14ac:dyDescent="0.35">
      <c r="A13" s="3" t="s">
        <v>89</v>
      </c>
      <c r="B13" s="13" t="s">
        <v>90</v>
      </c>
      <c r="C13" s="13" t="s">
        <v>78</v>
      </c>
      <c r="D13" s="14">
        <v>1447</v>
      </c>
      <c r="E13" s="14">
        <v>1462</v>
      </c>
      <c r="F13" s="14">
        <v>1371</v>
      </c>
      <c r="G13" s="14">
        <v>1455</v>
      </c>
      <c r="H13" s="14">
        <v>1533</v>
      </c>
      <c r="I13" s="14">
        <v>1358</v>
      </c>
      <c r="J13" s="14">
        <v>1295</v>
      </c>
      <c r="K13" s="14">
        <v>1378</v>
      </c>
      <c r="L13" s="14">
        <v>1377</v>
      </c>
      <c r="M13" s="14">
        <v>1515</v>
      </c>
      <c r="N13" s="14">
        <v>1362</v>
      </c>
      <c r="O13" s="16">
        <v>1.8</v>
      </c>
    </row>
    <row r="14" spans="1:15" x14ac:dyDescent="0.35">
      <c r="A14" s="3" t="s">
        <v>91</v>
      </c>
      <c r="B14" s="13" t="s">
        <v>92</v>
      </c>
      <c r="C14" s="13" t="s">
        <v>78</v>
      </c>
      <c r="D14" s="14">
        <v>1646</v>
      </c>
      <c r="E14" s="14">
        <v>1813</v>
      </c>
      <c r="F14" s="14">
        <v>1750</v>
      </c>
      <c r="G14" s="14">
        <v>1764</v>
      </c>
      <c r="H14" s="14">
        <v>1822</v>
      </c>
      <c r="I14" s="14">
        <v>1658</v>
      </c>
      <c r="J14" s="14">
        <v>1769</v>
      </c>
      <c r="K14" s="14">
        <v>1649</v>
      </c>
      <c r="L14" s="14">
        <v>1671</v>
      </c>
      <c r="M14" s="14">
        <v>1777</v>
      </c>
      <c r="N14" s="14">
        <v>1889</v>
      </c>
      <c r="O14" s="16">
        <v>2.4</v>
      </c>
    </row>
    <row r="15" spans="1:15" x14ac:dyDescent="0.35">
      <c r="A15" s="3" t="s">
        <v>93</v>
      </c>
      <c r="B15" s="13" t="s">
        <v>94</v>
      </c>
      <c r="C15" s="13" t="s">
        <v>78</v>
      </c>
      <c r="D15" s="14">
        <v>1030</v>
      </c>
      <c r="E15" s="14">
        <v>972</v>
      </c>
      <c r="F15" s="14">
        <v>1235</v>
      </c>
      <c r="G15" s="14">
        <v>1375</v>
      </c>
      <c r="H15" s="14">
        <v>1253</v>
      </c>
      <c r="I15" s="14">
        <v>1218</v>
      </c>
      <c r="J15" s="14">
        <v>905</v>
      </c>
      <c r="K15" s="14">
        <v>909</v>
      </c>
      <c r="L15" s="14">
        <v>1023</v>
      </c>
      <c r="M15" s="14">
        <v>968</v>
      </c>
      <c r="N15" s="14">
        <v>892</v>
      </c>
      <c r="O15" s="16">
        <v>1.5</v>
      </c>
    </row>
    <row r="16" spans="1:15" x14ac:dyDescent="0.35">
      <c r="A16" s="3" t="s">
        <v>95</v>
      </c>
      <c r="B16" s="13" t="s">
        <v>96</v>
      </c>
      <c r="C16" s="13" t="s">
        <v>78</v>
      </c>
      <c r="D16" s="14">
        <v>350</v>
      </c>
      <c r="E16" s="14">
        <v>384</v>
      </c>
      <c r="F16" s="14">
        <v>420</v>
      </c>
      <c r="G16" s="14">
        <v>420</v>
      </c>
      <c r="H16" s="14">
        <v>498</v>
      </c>
      <c r="I16" s="14">
        <v>486</v>
      </c>
      <c r="J16" s="14">
        <v>457</v>
      </c>
      <c r="K16" s="14">
        <v>504</v>
      </c>
      <c r="L16" s="14">
        <v>576</v>
      </c>
      <c r="M16" s="14">
        <v>529</v>
      </c>
      <c r="N16" s="14">
        <v>540</v>
      </c>
      <c r="O16" s="16">
        <v>1.1000000000000001</v>
      </c>
    </row>
    <row r="17" spans="1:15" x14ac:dyDescent="0.35">
      <c r="A17" s="3" t="s">
        <v>97</v>
      </c>
      <c r="B17" s="13" t="s">
        <v>98</v>
      </c>
      <c r="C17" s="13" t="s">
        <v>78</v>
      </c>
      <c r="D17" s="14">
        <v>511</v>
      </c>
      <c r="E17" s="14">
        <v>506</v>
      </c>
      <c r="F17" s="14">
        <v>626</v>
      </c>
      <c r="G17" s="14">
        <v>575</v>
      </c>
      <c r="H17" s="14">
        <v>549</v>
      </c>
      <c r="I17" s="14">
        <v>550</v>
      </c>
      <c r="J17" s="14">
        <v>583</v>
      </c>
      <c r="K17" s="14">
        <v>619</v>
      </c>
      <c r="L17" s="14">
        <v>677</v>
      </c>
      <c r="M17" s="14">
        <v>716</v>
      </c>
      <c r="N17" s="14">
        <v>612</v>
      </c>
      <c r="O17" s="16">
        <v>1.1000000000000001</v>
      </c>
    </row>
    <row r="18" spans="1:15" x14ac:dyDescent="0.35">
      <c r="A18" s="3" t="s">
        <v>99</v>
      </c>
      <c r="B18" s="13" t="s">
        <v>100</v>
      </c>
      <c r="C18" s="13" t="s">
        <v>78</v>
      </c>
      <c r="D18" s="14">
        <v>308</v>
      </c>
      <c r="E18" s="14">
        <v>346</v>
      </c>
      <c r="F18" s="14">
        <v>347</v>
      </c>
      <c r="G18" s="14">
        <v>385</v>
      </c>
      <c r="H18" s="14">
        <v>400</v>
      </c>
      <c r="I18" s="14">
        <v>421</v>
      </c>
      <c r="J18" s="14">
        <v>386</v>
      </c>
      <c r="K18" s="14">
        <v>354</v>
      </c>
      <c r="L18" s="14">
        <v>360</v>
      </c>
      <c r="M18" s="14">
        <v>387</v>
      </c>
      <c r="N18" s="14">
        <v>391</v>
      </c>
      <c r="O18" s="16">
        <v>0.9</v>
      </c>
    </row>
    <row r="19" spans="1:15" x14ac:dyDescent="0.35">
      <c r="A19" s="3" t="s">
        <v>101</v>
      </c>
      <c r="B19" s="13" t="s">
        <v>102</v>
      </c>
      <c r="C19" s="13" t="s">
        <v>78</v>
      </c>
      <c r="D19" s="14">
        <v>1025</v>
      </c>
      <c r="E19" s="14">
        <v>992</v>
      </c>
      <c r="F19" s="14">
        <v>918</v>
      </c>
      <c r="G19" s="14">
        <v>1006</v>
      </c>
      <c r="H19" s="14">
        <v>1009</v>
      </c>
      <c r="I19" s="14">
        <v>962</v>
      </c>
      <c r="J19" s="14">
        <v>1027</v>
      </c>
      <c r="K19" s="14">
        <v>1151</v>
      </c>
      <c r="L19" s="14">
        <v>1085</v>
      </c>
      <c r="M19" s="14">
        <v>1098</v>
      </c>
      <c r="N19" s="14">
        <v>1038</v>
      </c>
      <c r="O19" s="16">
        <v>1.3</v>
      </c>
    </row>
    <row r="20" spans="1:15" x14ac:dyDescent="0.35">
      <c r="A20" s="3" t="s">
        <v>103</v>
      </c>
      <c r="B20" s="13" t="s">
        <v>104</v>
      </c>
      <c r="C20" s="13" t="s">
        <v>78</v>
      </c>
      <c r="D20" s="14">
        <v>2705</v>
      </c>
      <c r="E20" s="14">
        <v>2696</v>
      </c>
      <c r="F20" s="14">
        <v>2899</v>
      </c>
      <c r="G20" s="14">
        <v>2950</v>
      </c>
      <c r="H20" s="14">
        <v>2863</v>
      </c>
      <c r="I20" s="14">
        <v>3164</v>
      </c>
      <c r="J20" s="14">
        <v>3327</v>
      </c>
      <c r="K20" s="14">
        <v>3356</v>
      </c>
      <c r="L20" s="14">
        <v>3377</v>
      </c>
      <c r="M20" s="14">
        <v>3619</v>
      </c>
      <c r="N20" s="14">
        <v>3495</v>
      </c>
      <c r="O20" s="16">
        <v>1.9</v>
      </c>
    </row>
    <row r="21" spans="1:15" x14ac:dyDescent="0.35">
      <c r="A21" s="3" t="s">
        <v>143</v>
      </c>
      <c r="B21" s="13" t="s">
        <v>106</v>
      </c>
      <c r="C21" s="13" t="s">
        <v>78</v>
      </c>
      <c r="D21" s="14">
        <v>6986</v>
      </c>
      <c r="E21" s="14">
        <v>5788</v>
      </c>
      <c r="F21" s="14">
        <v>4694</v>
      </c>
      <c r="G21" s="14">
        <v>4173</v>
      </c>
      <c r="H21" s="14">
        <v>4077</v>
      </c>
      <c r="I21" s="14">
        <v>3887</v>
      </c>
      <c r="J21" s="14">
        <v>3744</v>
      </c>
      <c r="K21" s="14">
        <v>4149</v>
      </c>
      <c r="L21" s="14">
        <v>4330</v>
      </c>
      <c r="M21" s="14">
        <v>6368</v>
      </c>
      <c r="N21" s="14">
        <v>5147</v>
      </c>
      <c r="O21" s="16">
        <v>1.6</v>
      </c>
    </row>
    <row r="22" spans="1:15" x14ac:dyDescent="0.35">
      <c r="A22" s="3" t="s">
        <v>107</v>
      </c>
      <c r="B22" s="13" t="s">
        <v>108</v>
      </c>
      <c r="C22" s="13" t="s">
        <v>78</v>
      </c>
      <c r="D22" s="14">
        <v>1904</v>
      </c>
      <c r="E22" s="14">
        <v>1928</v>
      </c>
      <c r="F22" s="14">
        <v>1908</v>
      </c>
      <c r="G22" s="14">
        <v>2001</v>
      </c>
      <c r="H22" s="14">
        <v>2079</v>
      </c>
      <c r="I22" s="14">
        <v>1937</v>
      </c>
      <c r="J22" s="14">
        <v>1980</v>
      </c>
      <c r="K22" s="14">
        <v>2045</v>
      </c>
      <c r="L22" s="14">
        <v>2195</v>
      </c>
      <c r="M22" s="14">
        <v>2175</v>
      </c>
      <c r="N22" s="14">
        <v>2059</v>
      </c>
      <c r="O22" s="16">
        <v>1.6</v>
      </c>
    </row>
    <row r="23" spans="1:15" x14ac:dyDescent="0.35">
      <c r="A23" s="3" t="s">
        <v>109</v>
      </c>
      <c r="B23" s="13" t="s">
        <v>110</v>
      </c>
      <c r="C23" s="13" t="s">
        <v>78</v>
      </c>
      <c r="D23" s="14">
        <v>1102</v>
      </c>
      <c r="E23" s="14">
        <v>984</v>
      </c>
      <c r="F23" s="14">
        <v>1003</v>
      </c>
      <c r="G23" s="14">
        <v>1188</v>
      </c>
      <c r="H23" s="14">
        <v>1148</v>
      </c>
      <c r="I23" s="14">
        <v>1245</v>
      </c>
      <c r="J23" s="14">
        <v>1325</v>
      </c>
      <c r="K23" s="14">
        <v>1394</v>
      </c>
      <c r="L23" s="14">
        <v>1406</v>
      </c>
      <c r="M23" s="14">
        <v>1387</v>
      </c>
      <c r="N23" s="14">
        <v>1200</v>
      </c>
      <c r="O23" s="16">
        <v>3</v>
      </c>
    </row>
    <row r="24" spans="1:15" x14ac:dyDescent="0.35">
      <c r="A24" s="3" t="s">
        <v>111</v>
      </c>
      <c r="B24" s="13" t="s">
        <v>112</v>
      </c>
      <c r="C24" s="13" t="s">
        <v>78</v>
      </c>
      <c r="D24" s="14">
        <v>522</v>
      </c>
      <c r="E24" s="14">
        <v>452</v>
      </c>
      <c r="F24" s="14">
        <v>340</v>
      </c>
      <c r="G24" s="14">
        <v>488</v>
      </c>
      <c r="H24" s="14">
        <v>442</v>
      </c>
      <c r="I24" s="14">
        <v>446</v>
      </c>
      <c r="J24" s="14">
        <v>443</v>
      </c>
      <c r="K24" s="14">
        <v>391</v>
      </c>
      <c r="L24" s="14">
        <v>402</v>
      </c>
      <c r="M24" s="14">
        <v>482</v>
      </c>
      <c r="N24" s="14">
        <v>431</v>
      </c>
      <c r="O24" s="16">
        <v>0.9</v>
      </c>
    </row>
    <row r="25" spans="1:15" x14ac:dyDescent="0.35">
      <c r="A25" s="3" t="s">
        <v>113</v>
      </c>
      <c r="B25" s="13" t="s">
        <v>114</v>
      </c>
      <c r="C25" s="13" t="s">
        <v>78</v>
      </c>
      <c r="D25" s="14">
        <v>872</v>
      </c>
      <c r="E25" s="14">
        <v>869</v>
      </c>
      <c r="F25" s="14">
        <v>884</v>
      </c>
      <c r="G25" s="14">
        <v>940</v>
      </c>
      <c r="H25" s="14">
        <v>916</v>
      </c>
      <c r="I25" s="14">
        <v>855</v>
      </c>
      <c r="J25" s="14">
        <v>920</v>
      </c>
      <c r="K25" s="14">
        <v>909</v>
      </c>
      <c r="L25" s="14">
        <v>875</v>
      </c>
      <c r="M25" s="14">
        <v>894</v>
      </c>
      <c r="N25" s="14">
        <v>922</v>
      </c>
      <c r="O25" s="16">
        <v>1.9</v>
      </c>
    </row>
    <row r="26" spans="1:15" x14ac:dyDescent="0.35">
      <c r="A26" s="3" t="s">
        <v>115</v>
      </c>
      <c r="B26" s="13" t="s">
        <v>116</v>
      </c>
      <c r="C26" s="13" t="s">
        <v>78</v>
      </c>
      <c r="D26" s="14">
        <v>626</v>
      </c>
      <c r="E26" s="14">
        <v>681</v>
      </c>
      <c r="F26" s="14">
        <v>696</v>
      </c>
      <c r="G26" s="14">
        <v>664</v>
      </c>
      <c r="H26" s="14">
        <v>569</v>
      </c>
      <c r="I26" s="14">
        <v>563</v>
      </c>
      <c r="J26" s="14">
        <v>542</v>
      </c>
      <c r="K26" s="14">
        <v>529</v>
      </c>
      <c r="L26" s="14">
        <v>522</v>
      </c>
      <c r="M26" s="14">
        <v>521</v>
      </c>
      <c r="N26" s="14">
        <v>549</v>
      </c>
      <c r="O26" s="16">
        <v>3.6</v>
      </c>
    </row>
    <row r="27" spans="1:15" x14ac:dyDescent="0.35">
      <c r="A27" s="3" t="s">
        <v>117</v>
      </c>
      <c r="B27" s="13" t="s">
        <v>118</v>
      </c>
      <c r="C27" s="13" t="s">
        <v>78</v>
      </c>
      <c r="D27" s="14">
        <v>953</v>
      </c>
      <c r="E27" s="14">
        <v>1000</v>
      </c>
      <c r="F27" s="14">
        <v>994</v>
      </c>
      <c r="G27" s="14">
        <v>1188</v>
      </c>
      <c r="H27" s="14">
        <v>1279</v>
      </c>
      <c r="I27" s="14">
        <v>1182</v>
      </c>
      <c r="J27" s="14">
        <v>1251</v>
      </c>
      <c r="K27" s="14">
        <v>1531</v>
      </c>
      <c r="L27" s="14">
        <v>1495</v>
      </c>
      <c r="M27" s="14">
        <v>1064</v>
      </c>
      <c r="N27" s="14">
        <v>1200</v>
      </c>
      <c r="O27" s="16">
        <v>1.7</v>
      </c>
    </row>
    <row r="28" spans="1:15" x14ac:dyDescent="0.35">
      <c r="A28" s="3" t="s">
        <v>119</v>
      </c>
      <c r="B28" s="13" t="s">
        <v>120</v>
      </c>
      <c r="C28" s="13" t="s">
        <v>78</v>
      </c>
      <c r="D28" s="14">
        <v>1634</v>
      </c>
      <c r="E28" s="14">
        <v>1499</v>
      </c>
      <c r="F28" s="14">
        <v>1655</v>
      </c>
      <c r="G28" s="14">
        <v>1599</v>
      </c>
      <c r="H28" s="14">
        <v>2101</v>
      </c>
      <c r="I28" s="14">
        <v>2483</v>
      </c>
      <c r="J28" s="14">
        <v>2563</v>
      </c>
      <c r="K28" s="14">
        <v>2850</v>
      </c>
      <c r="L28" s="14">
        <v>2532</v>
      </c>
      <c r="M28" s="14">
        <v>2327</v>
      </c>
      <c r="N28" s="14">
        <v>1919</v>
      </c>
      <c r="O28" s="16">
        <v>1.2</v>
      </c>
    </row>
    <row r="29" spans="1:15" x14ac:dyDescent="0.35">
      <c r="A29" s="3" t="s">
        <v>121</v>
      </c>
      <c r="B29" s="13" t="s">
        <v>122</v>
      </c>
      <c r="C29" s="13" t="s">
        <v>78</v>
      </c>
      <c r="D29" s="14">
        <v>419</v>
      </c>
      <c r="E29" s="14">
        <v>430</v>
      </c>
      <c r="F29" s="14">
        <v>442</v>
      </c>
      <c r="G29" s="14">
        <v>397</v>
      </c>
      <c r="H29" s="14">
        <v>414</v>
      </c>
      <c r="I29" s="14">
        <v>440</v>
      </c>
      <c r="J29" s="14">
        <v>458</v>
      </c>
      <c r="K29" s="14">
        <v>427</v>
      </c>
      <c r="L29" s="14">
        <v>399</v>
      </c>
      <c r="M29" s="14">
        <v>403</v>
      </c>
      <c r="N29" s="14">
        <v>402</v>
      </c>
      <c r="O29" s="16">
        <v>3.4</v>
      </c>
    </row>
    <row r="30" spans="1:15" x14ac:dyDescent="0.35">
      <c r="A30" s="3" t="s">
        <v>123</v>
      </c>
      <c r="B30" s="13" t="s">
        <v>124</v>
      </c>
      <c r="C30" s="13" t="s">
        <v>78</v>
      </c>
      <c r="D30" s="14">
        <v>1396</v>
      </c>
      <c r="E30" s="14">
        <v>1416</v>
      </c>
      <c r="F30" s="14">
        <v>1408</v>
      </c>
      <c r="G30" s="14">
        <v>1463</v>
      </c>
      <c r="H30" s="14">
        <v>1541</v>
      </c>
      <c r="I30" s="14">
        <v>1292</v>
      </c>
      <c r="J30" s="14">
        <v>1392</v>
      </c>
      <c r="K30" s="14">
        <v>1419</v>
      </c>
      <c r="L30" s="14">
        <v>1402</v>
      </c>
      <c r="M30" s="14">
        <v>1356</v>
      </c>
      <c r="N30" s="14">
        <v>1332</v>
      </c>
      <c r="O30" s="16">
        <v>1.7</v>
      </c>
    </row>
    <row r="31" spans="1:15" x14ac:dyDescent="0.35">
      <c r="A31" s="3" t="s">
        <v>125</v>
      </c>
      <c r="B31" s="13" t="s">
        <v>126</v>
      </c>
      <c r="C31" s="13" t="s">
        <v>78</v>
      </c>
      <c r="D31" s="14">
        <v>1327</v>
      </c>
      <c r="E31" s="14">
        <v>1507</v>
      </c>
      <c r="F31" s="14">
        <v>1525</v>
      </c>
      <c r="G31" s="14">
        <v>1725</v>
      </c>
      <c r="H31" s="14">
        <v>1633</v>
      </c>
      <c r="I31" s="14">
        <v>1630</v>
      </c>
      <c r="J31" s="14">
        <v>1866</v>
      </c>
      <c r="K31" s="14">
        <v>1871</v>
      </c>
      <c r="L31" s="14">
        <v>2048</v>
      </c>
      <c r="M31" s="14">
        <v>2123</v>
      </c>
      <c r="N31" s="14">
        <v>1865</v>
      </c>
      <c r="O31" s="16">
        <v>2</v>
      </c>
    </row>
    <row r="32" spans="1:15" x14ac:dyDescent="0.35">
      <c r="A32" s="3" t="s">
        <v>127</v>
      </c>
      <c r="B32" s="13" t="s">
        <v>128</v>
      </c>
      <c r="C32" s="13" t="s">
        <v>78</v>
      </c>
      <c r="D32" s="14">
        <v>1470</v>
      </c>
      <c r="E32" s="14">
        <v>1505</v>
      </c>
      <c r="F32" s="14">
        <v>1243</v>
      </c>
      <c r="G32" s="14">
        <v>1463</v>
      </c>
      <c r="H32" s="14">
        <v>1334</v>
      </c>
      <c r="I32" s="14">
        <v>1286</v>
      </c>
      <c r="J32" s="14">
        <v>1231</v>
      </c>
      <c r="K32" s="14">
        <v>1237</v>
      </c>
      <c r="L32" s="14">
        <v>1327</v>
      </c>
      <c r="M32" s="14">
        <v>1273</v>
      </c>
      <c r="N32" s="14">
        <v>1177</v>
      </c>
      <c r="O32" s="16">
        <v>2</v>
      </c>
    </row>
    <row r="33" spans="1:16" x14ac:dyDescent="0.35">
      <c r="A33" s="3" t="s">
        <v>129</v>
      </c>
      <c r="B33" s="13" t="s">
        <v>130</v>
      </c>
      <c r="C33" s="13" t="s">
        <v>78</v>
      </c>
      <c r="D33" s="14">
        <v>198</v>
      </c>
      <c r="E33" s="14">
        <v>212</v>
      </c>
      <c r="F33" s="14">
        <v>213</v>
      </c>
      <c r="G33" s="14">
        <v>246</v>
      </c>
      <c r="H33" s="14">
        <v>227</v>
      </c>
      <c r="I33" s="14">
        <v>208</v>
      </c>
      <c r="J33" s="14">
        <v>211</v>
      </c>
      <c r="K33" s="14">
        <v>238</v>
      </c>
      <c r="L33" s="14">
        <v>239</v>
      </c>
      <c r="M33" s="14">
        <v>216</v>
      </c>
      <c r="N33" s="14">
        <v>219</v>
      </c>
      <c r="O33" s="16">
        <v>1.9</v>
      </c>
    </row>
    <row r="34" spans="1:16" x14ac:dyDescent="0.35">
      <c r="A34" s="3" t="s">
        <v>131</v>
      </c>
      <c r="B34" s="13" t="s">
        <v>132</v>
      </c>
      <c r="C34" s="13" t="s">
        <v>78</v>
      </c>
      <c r="D34" s="14">
        <v>793</v>
      </c>
      <c r="E34" s="14">
        <v>907</v>
      </c>
      <c r="F34" s="14">
        <v>925</v>
      </c>
      <c r="G34" s="14">
        <v>968</v>
      </c>
      <c r="H34" s="14">
        <v>856</v>
      </c>
      <c r="I34" s="14">
        <v>894</v>
      </c>
      <c r="J34" s="14">
        <v>1034</v>
      </c>
      <c r="K34" s="14">
        <v>1273</v>
      </c>
      <c r="L34" s="14">
        <v>1120</v>
      </c>
      <c r="M34" s="14">
        <v>1137</v>
      </c>
      <c r="N34" s="14">
        <v>1084</v>
      </c>
      <c r="O34" s="16">
        <v>1.9</v>
      </c>
    </row>
    <row r="35" spans="1:16" x14ac:dyDescent="0.35">
      <c r="A35" s="3" t="s">
        <v>133</v>
      </c>
      <c r="B35" s="13" t="s">
        <v>134</v>
      </c>
      <c r="C35" s="13" t="s">
        <v>78</v>
      </c>
      <c r="D35" s="14">
        <v>2252</v>
      </c>
      <c r="E35" s="14">
        <v>2326</v>
      </c>
      <c r="F35" s="14">
        <v>2390</v>
      </c>
      <c r="G35" s="14">
        <v>2707</v>
      </c>
      <c r="H35" s="14">
        <v>2713</v>
      </c>
      <c r="I35" s="14">
        <v>2321</v>
      </c>
      <c r="J35" s="14">
        <v>2494</v>
      </c>
      <c r="K35" s="14">
        <v>2477</v>
      </c>
      <c r="L35" s="14">
        <v>2434</v>
      </c>
      <c r="M35" s="14">
        <v>2139</v>
      </c>
      <c r="N35" s="14">
        <v>2187</v>
      </c>
      <c r="O35" s="16">
        <v>1.4</v>
      </c>
    </row>
    <row r="36" spans="1:16" x14ac:dyDescent="0.35">
      <c r="A36" s="3" t="s">
        <v>135</v>
      </c>
      <c r="B36" s="13" t="s">
        <v>136</v>
      </c>
      <c r="C36" s="13" t="s">
        <v>78</v>
      </c>
      <c r="D36" s="14">
        <v>632</v>
      </c>
      <c r="E36" s="14">
        <v>723</v>
      </c>
      <c r="F36" s="14">
        <v>659</v>
      </c>
      <c r="G36" s="14">
        <v>710</v>
      </c>
      <c r="H36" s="14">
        <v>733</v>
      </c>
      <c r="I36" s="14">
        <v>801</v>
      </c>
      <c r="J36" s="14">
        <v>760</v>
      </c>
      <c r="K36" s="14">
        <v>791</v>
      </c>
      <c r="L36" s="14">
        <v>708</v>
      </c>
      <c r="M36" s="14">
        <v>697</v>
      </c>
      <c r="N36" s="14">
        <v>710</v>
      </c>
      <c r="O36" s="16">
        <v>1.6</v>
      </c>
    </row>
    <row r="37" spans="1:16" x14ac:dyDescent="0.35">
      <c r="A37" s="3" t="s">
        <v>137</v>
      </c>
      <c r="B37" s="13" t="s">
        <v>138</v>
      </c>
      <c r="C37" s="13" t="s">
        <v>78</v>
      </c>
      <c r="D37" s="14">
        <v>796</v>
      </c>
      <c r="E37" s="14">
        <v>927</v>
      </c>
      <c r="F37" s="14">
        <v>850</v>
      </c>
      <c r="G37" s="14">
        <v>803</v>
      </c>
      <c r="H37" s="14">
        <v>795</v>
      </c>
      <c r="I37" s="14">
        <v>608</v>
      </c>
      <c r="J37" s="14">
        <v>827</v>
      </c>
      <c r="K37" s="14">
        <v>780</v>
      </c>
      <c r="L37" s="14">
        <v>848</v>
      </c>
      <c r="M37" s="14">
        <v>840</v>
      </c>
      <c r="N37" s="14">
        <v>675</v>
      </c>
      <c r="O37" s="16">
        <v>1.5</v>
      </c>
    </row>
    <row r="38" spans="1:16" x14ac:dyDescent="0.35">
      <c r="A38" s="3" t="s">
        <v>139</v>
      </c>
      <c r="B38" s="13" t="s">
        <v>140</v>
      </c>
      <c r="C38" s="13" t="s">
        <v>78</v>
      </c>
      <c r="D38" s="14">
        <v>912</v>
      </c>
      <c r="E38" s="14">
        <v>876</v>
      </c>
      <c r="F38" s="14">
        <v>841</v>
      </c>
      <c r="G38" s="14">
        <v>1033</v>
      </c>
      <c r="H38" s="14">
        <v>1011</v>
      </c>
      <c r="I38" s="14">
        <v>946</v>
      </c>
      <c r="J38" s="14">
        <v>882</v>
      </c>
      <c r="K38" s="14">
        <v>1121</v>
      </c>
      <c r="L38" s="14">
        <v>1278</v>
      </c>
      <c r="M38" s="14">
        <v>1063</v>
      </c>
      <c r="N38" s="14">
        <v>1044</v>
      </c>
      <c r="O38" s="16">
        <v>1.2</v>
      </c>
    </row>
    <row r="39" spans="1:16" x14ac:dyDescent="0.35">
      <c r="B39" s="15"/>
      <c r="C39" s="15"/>
      <c r="D39" s="15"/>
      <c r="E39" s="15"/>
      <c r="F39" s="15"/>
      <c r="G39" s="15"/>
      <c r="H39" s="15"/>
      <c r="I39" s="15"/>
      <c r="J39" s="15"/>
      <c r="K39" s="15"/>
      <c r="L39" s="15"/>
      <c r="M39" s="15"/>
      <c r="N39" s="15"/>
      <c r="O39" s="15"/>
      <c r="P39" s="17"/>
    </row>
  </sheetData>
  <phoneticPr fontId="13" type="noConversion"/>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9"/>
  <sheetViews>
    <sheetView workbookViewId="0"/>
  </sheetViews>
  <sheetFormatPr defaultColWidth="11.53515625" defaultRowHeight="15.5" x14ac:dyDescent="0.35"/>
  <cols>
    <col min="1" max="1" width="26.69140625" customWidth="1"/>
    <col min="2" max="2" width="13.69140625" customWidth="1"/>
    <col min="3" max="3" width="12.69140625" customWidth="1"/>
    <col min="4" max="10" width="10.69140625" customWidth="1"/>
    <col min="11" max="11" width="10.69140625" style="40" customWidth="1"/>
    <col min="12" max="14" width="10.69140625" customWidth="1"/>
    <col min="15" max="15" width="13.69140625" customWidth="1"/>
  </cols>
  <sheetData>
    <row r="1" spans="1:14" ht="20" x14ac:dyDescent="0.4">
      <c r="A1" s="1" t="s">
        <v>292</v>
      </c>
    </row>
    <row r="2" spans="1:14" x14ac:dyDescent="0.35">
      <c r="A2" t="s">
        <v>46</v>
      </c>
    </row>
    <row r="3" spans="1:14" x14ac:dyDescent="0.35">
      <c r="A3" t="s">
        <v>166</v>
      </c>
    </row>
    <row r="4" spans="1:14" x14ac:dyDescent="0.35">
      <c r="A4" s="5" t="str">
        <f>HYPERLINK("#'Table of Contents'!A1", "Back to contents")</f>
        <v>Back to contents</v>
      </c>
    </row>
    <row r="5" spans="1:14" ht="77.5" x14ac:dyDescent="0.35">
      <c r="A5" s="11" t="s">
        <v>47</v>
      </c>
      <c r="B5" s="11" t="s">
        <v>48</v>
      </c>
      <c r="C5" s="11" t="s">
        <v>49</v>
      </c>
      <c r="D5" s="12" t="s">
        <v>64</v>
      </c>
      <c r="E5" s="12" t="s">
        <v>65</v>
      </c>
      <c r="F5" s="12" t="s">
        <v>66</v>
      </c>
      <c r="G5" s="12" t="s">
        <v>67</v>
      </c>
      <c r="H5" s="12" t="s">
        <v>68</v>
      </c>
      <c r="I5" s="12" t="s">
        <v>69</v>
      </c>
      <c r="J5" s="12" t="s">
        <v>71</v>
      </c>
      <c r="K5" s="39" t="s">
        <v>72</v>
      </c>
      <c r="L5" s="12" t="s">
        <v>206</v>
      </c>
      <c r="M5" s="12" t="s">
        <v>275</v>
      </c>
      <c r="N5" s="12" t="s">
        <v>288</v>
      </c>
    </row>
    <row r="6" spans="1:14" ht="25" customHeight="1" x14ac:dyDescent="0.35">
      <c r="A6" s="18" t="s">
        <v>73</v>
      </c>
      <c r="B6" s="19" t="s">
        <v>74</v>
      </c>
      <c r="C6" s="19" t="s">
        <v>75</v>
      </c>
      <c r="D6" s="20">
        <v>35812</v>
      </c>
      <c r="E6" s="20">
        <v>36423</v>
      </c>
      <c r="F6" s="20">
        <v>37268</v>
      </c>
      <c r="G6" s="20">
        <v>39303</v>
      </c>
      <c r="H6" s="20">
        <v>41062</v>
      </c>
      <c r="I6" s="20">
        <v>47333</v>
      </c>
      <c r="J6" s="20">
        <v>44601</v>
      </c>
      <c r="K6" s="41">
        <v>46217</v>
      </c>
      <c r="L6" s="20">
        <v>43538</v>
      </c>
      <c r="M6" s="20">
        <v>44453</v>
      </c>
      <c r="N6" s="21">
        <v>1.6</v>
      </c>
    </row>
    <row r="7" spans="1:14" x14ac:dyDescent="0.35">
      <c r="A7" s="3" t="s">
        <v>141</v>
      </c>
      <c r="B7" s="13" t="s">
        <v>77</v>
      </c>
      <c r="C7" s="13" t="s">
        <v>78</v>
      </c>
      <c r="D7" s="14">
        <v>2914</v>
      </c>
      <c r="E7" s="14">
        <v>1896</v>
      </c>
      <c r="F7" s="14">
        <v>2609</v>
      </c>
      <c r="G7" s="14">
        <v>2989</v>
      </c>
      <c r="H7" s="14">
        <v>3790</v>
      </c>
      <c r="I7" s="14">
        <v>4537</v>
      </c>
      <c r="J7" s="14">
        <v>5765</v>
      </c>
      <c r="K7" s="42">
        <v>5594</v>
      </c>
      <c r="L7" s="14">
        <v>5793</v>
      </c>
      <c r="M7" s="14">
        <v>6124</v>
      </c>
      <c r="N7" s="16">
        <v>4.8</v>
      </c>
    </row>
    <row r="8" spans="1:14" x14ac:dyDescent="0.35">
      <c r="A8" s="3" t="s">
        <v>79</v>
      </c>
      <c r="B8" s="13" t="s">
        <v>80</v>
      </c>
      <c r="C8" s="13" t="s">
        <v>78</v>
      </c>
      <c r="D8" s="14">
        <v>1597</v>
      </c>
      <c r="E8" s="14">
        <v>1992</v>
      </c>
      <c r="F8" s="14">
        <v>2427</v>
      </c>
      <c r="G8" s="14">
        <v>2856</v>
      </c>
      <c r="H8" s="14">
        <v>2975</v>
      </c>
      <c r="I8" s="14">
        <v>3167</v>
      </c>
      <c r="J8" s="14">
        <v>2543</v>
      </c>
      <c r="K8" s="42">
        <v>2704</v>
      </c>
      <c r="L8" s="14">
        <v>2926</v>
      </c>
      <c r="M8" s="14">
        <v>2896</v>
      </c>
      <c r="N8" s="16">
        <v>2.2999999999999998</v>
      </c>
    </row>
    <row r="9" spans="1:14" x14ac:dyDescent="0.35">
      <c r="A9" s="3" t="s">
        <v>81</v>
      </c>
      <c r="B9" s="13" t="s">
        <v>82</v>
      </c>
      <c r="C9" s="13" t="s">
        <v>78</v>
      </c>
      <c r="D9" s="14">
        <v>1113</v>
      </c>
      <c r="E9" s="14">
        <v>1253</v>
      </c>
      <c r="F9" s="14">
        <v>1184</v>
      </c>
      <c r="G9" s="14">
        <v>1309</v>
      </c>
      <c r="H9" s="14">
        <v>1351</v>
      </c>
      <c r="I9" s="14">
        <v>1501</v>
      </c>
      <c r="J9" s="14">
        <v>1261</v>
      </c>
      <c r="K9" s="42">
        <v>1236</v>
      </c>
      <c r="L9" s="14">
        <v>1301</v>
      </c>
      <c r="M9" s="14">
        <v>1383</v>
      </c>
      <c r="N9" s="16">
        <v>2.4</v>
      </c>
    </row>
    <row r="10" spans="1:14" x14ac:dyDescent="0.35">
      <c r="A10" s="3" t="s">
        <v>83</v>
      </c>
      <c r="B10" s="13" t="s">
        <v>84</v>
      </c>
      <c r="C10" s="13" t="s">
        <v>78</v>
      </c>
      <c r="D10" s="14">
        <v>1385</v>
      </c>
      <c r="E10" s="14">
        <v>1466</v>
      </c>
      <c r="F10" s="14">
        <v>1195</v>
      </c>
      <c r="G10" s="14">
        <v>1277</v>
      </c>
      <c r="H10" s="14">
        <v>1330</v>
      </c>
      <c r="I10" s="14">
        <v>1330</v>
      </c>
      <c r="J10" s="14">
        <v>1169</v>
      </c>
      <c r="K10" s="42">
        <v>1329</v>
      </c>
      <c r="L10" s="14">
        <v>1888</v>
      </c>
      <c r="M10" s="14">
        <v>2460</v>
      </c>
      <c r="N10" s="16">
        <v>4.9000000000000004</v>
      </c>
    </row>
    <row r="11" spans="1:14" x14ac:dyDescent="0.35">
      <c r="A11" s="3" t="s">
        <v>142</v>
      </c>
      <c r="B11" s="13" t="s">
        <v>86</v>
      </c>
      <c r="C11" s="13" t="s">
        <v>78</v>
      </c>
      <c r="D11" s="14">
        <v>4922</v>
      </c>
      <c r="E11" s="14">
        <v>4997</v>
      </c>
      <c r="F11" s="14">
        <v>5046</v>
      </c>
      <c r="G11" s="14">
        <v>5332</v>
      </c>
      <c r="H11" s="14">
        <v>5608</v>
      </c>
      <c r="I11" s="14">
        <v>7152</v>
      </c>
      <c r="J11" s="14">
        <v>6904</v>
      </c>
      <c r="K11" s="42">
        <v>7200</v>
      </c>
      <c r="L11" s="14">
        <v>3093</v>
      </c>
      <c r="M11" s="14">
        <v>3080</v>
      </c>
      <c r="N11" s="16">
        <v>1.1000000000000001</v>
      </c>
    </row>
    <row r="12" spans="1:14" x14ac:dyDescent="0.35">
      <c r="A12" s="3" t="s">
        <v>161</v>
      </c>
      <c r="B12" s="13" t="s">
        <v>88</v>
      </c>
      <c r="C12" s="13" t="s">
        <v>78</v>
      </c>
      <c r="D12" s="14">
        <v>159</v>
      </c>
      <c r="E12" s="14">
        <v>127</v>
      </c>
      <c r="F12" s="14">
        <v>111</v>
      </c>
      <c r="G12" s="14">
        <v>167</v>
      </c>
      <c r="H12" s="14">
        <v>153</v>
      </c>
      <c r="I12" s="14">
        <v>198</v>
      </c>
      <c r="J12" s="14">
        <v>250</v>
      </c>
      <c r="K12" s="42">
        <v>222</v>
      </c>
      <c r="L12" s="14">
        <v>162</v>
      </c>
      <c r="M12" s="14">
        <v>160</v>
      </c>
      <c r="N12" s="16">
        <v>0.6</v>
      </c>
    </row>
    <row r="13" spans="1:14" x14ac:dyDescent="0.35">
      <c r="A13" s="3" t="s">
        <v>89</v>
      </c>
      <c r="B13" s="13" t="s">
        <v>90</v>
      </c>
      <c r="C13" s="13" t="s">
        <v>78</v>
      </c>
      <c r="D13" s="14">
        <v>899</v>
      </c>
      <c r="E13" s="14">
        <v>1649</v>
      </c>
      <c r="F13" s="14">
        <v>1643</v>
      </c>
      <c r="G13" s="14">
        <v>1702</v>
      </c>
      <c r="H13" s="14">
        <v>1773</v>
      </c>
      <c r="I13" s="14">
        <v>1909</v>
      </c>
      <c r="J13" s="14">
        <v>1418</v>
      </c>
      <c r="K13" s="42">
        <v>1844</v>
      </c>
      <c r="L13" s="14">
        <v>1767</v>
      </c>
      <c r="M13" s="14">
        <v>1750</v>
      </c>
      <c r="N13" s="16">
        <v>2.2999999999999998</v>
      </c>
    </row>
    <row r="14" spans="1:14" x14ac:dyDescent="0.35">
      <c r="A14" s="3" t="s">
        <v>91</v>
      </c>
      <c r="B14" s="13" t="s">
        <v>92</v>
      </c>
      <c r="C14" s="13" t="s">
        <v>78</v>
      </c>
      <c r="D14" s="14">
        <v>1546</v>
      </c>
      <c r="E14" s="14">
        <v>1503</v>
      </c>
      <c r="F14" s="14">
        <v>1389</v>
      </c>
      <c r="G14" s="14">
        <v>1305</v>
      </c>
      <c r="H14" s="14">
        <v>1209</v>
      </c>
      <c r="I14" s="14">
        <v>1439</v>
      </c>
      <c r="J14" s="14">
        <v>1134</v>
      </c>
      <c r="K14" s="42">
        <v>1067</v>
      </c>
      <c r="L14" s="14">
        <v>1014</v>
      </c>
      <c r="M14" s="14">
        <v>939</v>
      </c>
      <c r="N14" s="16">
        <v>1.2</v>
      </c>
    </row>
    <row r="15" spans="1:14" x14ac:dyDescent="0.35">
      <c r="A15" s="3" t="s">
        <v>93</v>
      </c>
      <c r="B15" s="13" t="s">
        <v>94</v>
      </c>
      <c r="C15" s="13" t="s">
        <v>78</v>
      </c>
      <c r="D15" s="14">
        <v>862</v>
      </c>
      <c r="E15" s="14">
        <v>973</v>
      </c>
      <c r="F15" s="14">
        <v>861</v>
      </c>
      <c r="G15" s="14">
        <v>765</v>
      </c>
      <c r="H15" s="14">
        <v>768</v>
      </c>
      <c r="I15" s="14">
        <v>838</v>
      </c>
      <c r="J15" s="14">
        <v>527</v>
      </c>
      <c r="K15" s="42">
        <v>524</v>
      </c>
      <c r="L15" s="14">
        <v>514</v>
      </c>
      <c r="M15" s="14">
        <v>469</v>
      </c>
      <c r="N15" s="16">
        <v>0.8</v>
      </c>
    </row>
    <row r="16" spans="1:14" x14ac:dyDescent="0.35">
      <c r="A16" s="3" t="s">
        <v>95</v>
      </c>
      <c r="B16" s="13" t="s">
        <v>96</v>
      </c>
      <c r="C16" s="13" t="s">
        <v>78</v>
      </c>
      <c r="D16" s="14">
        <v>164</v>
      </c>
      <c r="E16" s="14">
        <v>164</v>
      </c>
      <c r="F16" s="14">
        <v>175</v>
      </c>
      <c r="G16" s="14">
        <v>213</v>
      </c>
      <c r="H16" s="14">
        <v>225</v>
      </c>
      <c r="I16" s="14">
        <v>129</v>
      </c>
      <c r="J16" s="14">
        <v>250</v>
      </c>
      <c r="K16" s="42">
        <v>317</v>
      </c>
      <c r="L16" s="14">
        <v>260</v>
      </c>
      <c r="M16" s="14">
        <v>252</v>
      </c>
      <c r="N16" s="16">
        <v>0.5</v>
      </c>
    </row>
    <row r="17" spans="1:14" x14ac:dyDescent="0.35">
      <c r="A17" s="3" t="s">
        <v>97</v>
      </c>
      <c r="B17" s="13" t="s">
        <v>98</v>
      </c>
      <c r="C17" s="13" t="s">
        <v>78</v>
      </c>
      <c r="D17" s="14">
        <v>357</v>
      </c>
      <c r="E17" s="14">
        <v>364</v>
      </c>
      <c r="F17" s="14">
        <v>375</v>
      </c>
      <c r="G17" s="14">
        <v>386</v>
      </c>
      <c r="H17" s="14">
        <v>376</v>
      </c>
      <c r="I17" s="14">
        <v>489</v>
      </c>
      <c r="J17" s="14">
        <v>444</v>
      </c>
      <c r="K17" s="42">
        <v>498</v>
      </c>
      <c r="L17" s="14">
        <v>607</v>
      </c>
      <c r="M17" s="14">
        <v>464</v>
      </c>
      <c r="N17" s="16">
        <v>0.9</v>
      </c>
    </row>
    <row r="18" spans="1:14" x14ac:dyDescent="0.35">
      <c r="A18" s="3" t="s">
        <v>162</v>
      </c>
      <c r="B18" s="13" t="s">
        <v>100</v>
      </c>
      <c r="C18" s="13" t="s">
        <v>78</v>
      </c>
      <c r="D18" s="14">
        <v>129</v>
      </c>
      <c r="E18" s="14">
        <v>110</v>
      </c>
      <c r="F18" s="14">
        <v>125</v>
      </c>
      <c r="G18" s="14">
        <v>136</v>
      </c>
      <c r="H18" s="14">
        <v>120</v>
      </c>
      <c r="I18" s="14">
        <v>170</v>
      </c>
      <c r="J18" s="14">
        <v>151</v>
      </c>
      <c r="K18" s="42">
        <v>124</v>
      </c>
      <c r="L18" s="14">
        <v>62</v>
      </c>
      <c r="M18" s="14">
        <v>36</v>
      </c>
      <c r="N18" s="16">
        <v>0.1</v>
      </c>
    </row>
    <row r="19" spans="1:14" x14ac:dyDescent="0.35">
      <c r="A19" s="3" t="s">
        <v>101</v>
      </c>
      <c r="B19" s="13" t="s">
        <v>102</v>
      </c>
      <c r="C19" s="13" t="s">
        <v>78</v>
      </c>
      <c r="D19" s="14">
        <v>639</v>
      </c>
      <c r="E19" s="14">
        <v>762</v>
      </c>
      <c r="F19" s="14">
        <v>816</v>
      </c>
      <c r="G19" s="14">
        <v>794</v>
      </c>
      <c r="H19" s="14">
        <v>774</v>
      </c>
      <c r="I19" s="14">
        <v>883</v>
      </c>
      <c r="J19" s="14">
        <v>799</v>
      </c>
      <c r="K19" s="42">
        <v>817</v>
      </c>
      <c r="L19" s="14">
        <v>545</v>
      </c>
      <c r="M19" s="14">
        <v>653</v>
      </c>
      <c r="N19" s="16">
        <v>0.8</v>
      </c>
    </row>
    <row r="20" spans="1:14" x14ac:dyDescent="0.35">
      <c r="A20" s="3" t="s">
        <v>103</v>
      </c>
      <c r="B20" s="13" t="s">
        <v>104</v>
      </c>
      <c r="C20" s="13" t="s">
        <v>78</v>
      </c>
      <c r="D20" s="14">
        <v>2973</v>
      </c>
      <c r="E20" s="14">
        <v>2792</v>
      </c>
      <c r="F20" s="14">
        <v>2837</v>
      </c>
      <c r="G20" s="14">
        <v>2914</v>
      </c>
      <c r="H20" s="14">
        <v>2690</v>
      </c>
      <c r="I20" s="14">
        <v>2943</v>
      </c>
      <c r="J20" s="14">
        <v>2421</v>
      </c>
      <c r="K20" s="42">
        <v>2471</v>
      </c>
      <c r="L20" s="14">
        <v>2617</v>
      </c>
      <c r="M20" s="14">
        <v>2550</v>
      </c>
      <c r="N20" s="16">
        <v>1.4</v>
      </c>
    </row>
    <row r="21" spans="1:14" x14ac:dyDescent="0.35">
      <c r="A21" s="3" t="s">
        <v>143</v>
      </c>
      <c r="B21" s="13" t="s">
        <v>106</v>
      </c>
      <c r="C21" s="13" t="s">
        <v>78</v>
      </c>
      <c r="D21" s="14">
        <v>2437</v>
      </c>
      <c r="E21" s="14">
        <v>2669</v>
      </c>
      <c r="F21" s="14">
        <v>2844</v>
      </c>
      <c r="G21" s="14">
        <v>2630</v>
      </c>
      <c r="H21" s="14">
        <v>2751</v>
      </c>
      <c r="I21" s="14">
        <v>3536</v>
      </c>
      <c r="J21" s="14">
        <v>3023</v>
      </c>
      <c r="K21" s="42">
        <v>2696</v>
      </c>
      <c r="L21" s="14">
        <v>2501</v>
      </c>
      <c r="M21" s="14">
        <v>3009</v>
      </c>
      <c r="N21" s="16">
        <v>0.9</v>
      </c>
    </row>
    <row r="22" spans="1:14" x14ac:dyDescent="0.35">
      <c r="A22" s="3" t="s">
        <v>107</v>
      </c>
      <c r="B22" s="13" t="s">
        <v>108</v>
      </c>
      <c r="C22" s="13" t="s">
        <v>78</v>
      </c>
      <c r="D22" s="14">
        <v>1030</v>
      </c>
      <c r="E22" s="14">
        <v>1317</v>
      </c>
      <c r="F22" s="14">
        <v>1539</v>
      </c>
      <c r="G22" s="14">
        <v>1857</v>
      </c>
      <c r="H22" s="14">
        <v>2107</v>
      </c>
      <c r="I22" s="14">
        <v>2595</v>
      </c>
      <c r="J22" s="14">
        <v>3224</v>
      </c>
      <c r="K22" s="42">
        <v>3390</v>
      </c>
      <c r="L22" s="14">
        <v>3740</v>
      </c>
      <c r="M22" s="14">
        <v>3969</v>
      </c>
      <c r="N22" s="16">
        <v>3.2</v>
      </c>
    </row>
    <row r="23" spans="1:14" x14ac:dyDescent="0.35">
      <c r="A23" s="3" t="s">
        <v>109</v>
      </c>
      <c r="B23" s="13" t="s">
        <v>110</v>
      </c>
      <c r="C23" s="13" t="s">
        <v>78</v>
      </c>
      <c r="D23" s="14">
        <v>613</v>
      </c>
      <c r="E23" s="14">
        <v>692</v>
      </c>
      <c r="F23" s="14">
        <v>647</v>
      </c>
      <c r="G23" s="14">
        <v>623</v>
      </c>
      <c r="H23" s="14">
        <v>674</v>
      </c>
      <c r="I23" s="14">
        <v>649</v>
      </c>
      <c r="J23" s="14">
        <v>582</v>
      </c>
      <c r="K23" s="42">
        <v>575</v>
      </c>
      <c r="L23" s="14">
        <v>595</v>
      </c>
      <c r="M23" s="14">
        <v>546</v>
      </c>
      <c r="N23" s="16">
        <v>1.4</v>
      </c>
    </row>
    <row r="24" spans="1:14" x14ac:dyDescent="0.35">
      <c r="A24" s="3" t="s">
        <v>111</v>
      </c>
      <c r="B24" s="13" t="s">
        <v>112</v>
      </c>
      <c r="C24" s="13" t="s">
        <v>78</v>
      </c>
      <c r="D24" s="14">
        <v>441</v>
      </c>
      <c r="E24" s="14">
        <v>358</v>
      </c>
      <c r="F24" s="14">
        <v>285</v>
      </c>
      <c r="G24" s="14">
        <v>297</v>
      </c>
      <c r="H24" s="14">
        <v>306</v>
      </c>
      <c r="I24" s="14">
        <v>388</v>
      </c>
      <c r="J24" s="14">
        <v>359</v>
      </c>
      <c r="K24" s="42">
        <v>423</v>
      </c>
      <c r="L24" s="14">
        <v>386</v>
      </c>
      <c r="M24" s="14">
        <v>447</v>
      </c>
      <c r="N24" s="16">
        <v>1</v>
      </c>
    </row>
    <row r="25" spans="1:14" x14ac:dyDescent="0.35">
      <c r="A25" s="3" t="s">
        <v>113</v>
      </c>
      <c r="B25" s="13" t="s">
        <v>114</v>
      </c>
      <c r="C25" s="13" t="s">
        <v>78</v>
      </c>
      <c r="D25" s="14">
        <v>831</v>
      </c>
      <c r="E25" s="14">
        <v>830</v>
      </c>
      <c r="F25" s="14">
        <v>867</v>
      </c>
      <c r="G25" s="14">
        <v>911</v>
      </c>
      <c r="H25" s="14">
        <v>921</v>
      </c>
      <c r="I25" s="14">
        <v>1009</v>
      </c>
      <c r="J25" s="14">
        <v>834</v>
      </c>
      <c r="K25" s="42">
        <v>928</v>
      </c>
      <c r="L25" s="14">
        <v>700</v>
      </c>
      <c r="M25" s="14">
        <v>765</v>
      </c>
      <c r="N25" s="16">
        <v>1.6</v>
      </c>
    </row>
    <row r="26" spans="1:14" x14ac:dyDescent="0.35">
      <c r="A26" s="3" t="s">
        <v>115</v>
      </c>
      <c r="B26" s="13" t="s">
        <v>116</v>
      </c>
      <c r="C26" s="13" t="s">
        <v>78</v>
      </c>
      <c r="D26" s="14">
        <v>291</v>
      </c>
      <c r="E26" s="14">
        <v>273</v>
      </c>
      <c r="F26" s="14">
        <v>522</v>
      </c>
      <c r="G26" s="14">
        <v>507</v>
      </c>
      <c r="H26" s="14">
        <v>553</v>
      </c>
      <c r="I26" s="14">
        <v>629</v>
      </c>
      <c r="J26" s="14">
        <v>631</v>
      </c>
      <c r="K26" s="42">
        <v>688</v>
      </c>
      <c r="L26" s="14">
        <v>722</v>
      </c>
      <c r="M26" s="14">
        <v>678</v>
      </c>
      <c r="N26" s="16">
        <v>4.4000000000000004</v>
      </c>
    </row>
    <row r="27" spans="1:14" x14ac:dyDescent="0.35">
      <c r="A27" s="3" t="s">
        <v>117</v>
      </c>
      <c r="B27" s="13" t="s">
        <v>118</v>
      </c>
      <c r="C27" s="13" t="s">
        <v>78</v>
      </c>
      <c r="D27" s="14">
        <v>1349</v>
      </c>
      <c r="E27" s="14">
        <v>1157</v>
      </c>
      <c r="F27" s="14">
        <v>1049</v>
      </c>
      <c r="G27" s="14">
        <v>956</v>
      </c>
      <c r="H27" s="14">
        <v>1010</v>
      </c>
      <c r="I27" s="14">
        <v>1162</v>
      </c>
      <c r="J27" s="14">
        <v>897</v>
      </c>
      <c r="K27" s="42">
        <v>1040</v>
      </c>
      <c r="L27" s="14">
        <v>878</v>
      </c>
      <c r="M27" s="14">
        <v>825</v>
      </c>
      <c r="N27" s="16">
        <v>1.2</v>
      </c>
    </row>
    <row r="28" spans="1:14" x14ac:dyDescent="0.35">
      <c r="A28" s="3" t="s">
        <v>119</v>
      </c>
      <c r="B28" s="13" t="s">
        <v>120</v>
      </c>
      <c r="C28" s="13" t="s">
        <v>78</v>
      </c>
      <c r="D28" s="14">
        <v>902</v>
      </c>
      <c r="E28" s="14">
        <v>929</v>
      </c>
      <c r="F28" s="14">
        <v>979</v>
      </c>
      <c r="G28" s="14">
        <v>1545</v>
      </c>
      <c r="H28" s="14">
        <v>1637</v>
      </c>
      <c r="I28" s="14">
        <v>1791</v>
      </c>
      <c r="J28" s="14">
        <v>1846</v>
      </c>
      <c r="K28" s="42">
        <v>1885</v>
      </c>
      <c r="L28" s="14">
        <v>2634</v>
      </c>
      <c r="M28" s="14">
        <v>2452</v>
      </c>
      <c r="N28" s="16">
        <v>1.5</v>
      </c>
    </row>
    <row r="29" spans="1:14" x14ac:dyDescent="0.35">
      <c r="A29" s="3" t="s">
        <v>121</v>
      </c>
      <c r="B29" s="13" t="s">
        <v>122</v>
      </c>
      <c r="C29" s="13" t="s">
        <v>78</v>
      </c>
      <c r="D29" s="14">
        <v>306</v>
      </c>
      <c r="E29" s="14">
        <v>329</v>
      </c>
      <c r="F29" s="14">
        <v>303</v>
      </c>
      <c r="G29" s="14">
        <v>301</v>
      </c>
      <c r="H29" s="14">
        <v>287</v>
      </c>
      <c r="I29" s="14">
        <v>200</v>
      </c>
      <c r="J29" s="14">
        <v>211</v>
      </c>
      <c r="K29" s="42">
        <v>252</v>
      </c>
      <c r="L29" s="14">
        <v>344</v>
      </c>
      <c r="M29" s="14">
        <v>325</v>
      </c>
      <c r="N29" s="16">
        <v>2.7</v>
      </c>
    </row>
    <row r="30" spans="1:14" x14ac:dyDescent="0.35">
      <c r="A30" s="3" t="s">
        <v>123</v>
      </c>
      <c r="B30" s="13" t="s">
        <v>124</v>
      </c>
      <c r="C30" s="13" t="s">
        <v>78</v>
      </c>
      <c r="D30" s="14">
        <v>1405</v>
      </c>
      <c r="E30" s="14">
        <v>1343</v>
      </c>
      <c r="F30" s="14">
        <v>1277</v>
      </c>
      <c r="G30" s="14">
        <v>1308</v>
      </c>
      <c r="H30" s="14">
        <v>1308</v>
      </c>
      <c r="I30" s="14">
        <v>1653</v>
      </c>
      <c r="J30" s="14">
        <v>1263</v>
      </c>
      <c r="K30" s="42">
        <v>1275</v>
      </c>
      <c r="L30" s="14">
        <v>1508</v>
      </c>
      <c r="M30" s="14">
        <v>1479</v>
      </c>
      <c r="N30" s="16">
        <v>1.9</v>
      </c>
    </row>
    <row r="31" spans="1:14" x14ac:dyDescent="0.35">
      <c r="A31" s="3" t="s">
        <v>163</v>
      </c>
      <c r="B31" s="13" t="s">
        <v>126</v>
      </c>
      <c r="C31" s="13" t="s">
        <v>78</v>
      </c>
      <c r="D31" s="14">
        <v>1148</v>
      </c>
      <c r="E31" s="14">
        <v>1040</v>
      </c>
      <c r="F31" s="14">
        <v>813</v>
      </c>
      <c r="G31" s="14">
        <v>676</v>
      </c>
      <c r="H31" s="14">
        <v>625</v>
      </c>
      <c r="I31" s="14">
        <v>719</v>
      </c>
      <c r="J31" s="14">
        <v>782</v>
      </c>
      <c r="K31" s="42">
        <v>796</v>
      </c>
      <c r="L31" s="14">
        <v>797</v>
      </c>
      <c r="M31" s="14">
        <v>857</v>
      </c>
      <c r="N31" s="16">
        <v>0.9</v>
      </c>
    </row>
    <row r="32" spans="1:14" x14ac:dyDescent="0.35">
      <c r="A32" s="3" t="s">
        <v>127</v>
      </c>
      <c r="B32" s="13" t="s">
        <v>128</v>
      </c>
      <c r="C32" s="13" t="s">
        <v>78</v>
      </c>
      <c r="D32" s="14">
        <v>1362</v>
      </c>
      <c r="E32" s="14">
        <v>1379</v>
      </c>
      <c r="F32" s="14">
        <v>1419</v>
      </c>
      <c r="G32" s="14">
        <v>1469</v>
      </c>
      <c r="H32" s="14">
        <v>1443</v>
      </c>
      <c r="I32" s="14">
        <v>1614</v>
      </c>
      <c r="J32" s="14">
        <v>1431</v>
      </c>
      <c r="K32" s="42">
        <v>1580</v>
      </c>
      <c r="L32" s="14">
        <v>1545</v>
      </c>
      <c r="M32" s="14">
        <v>1490</v>
      </c>
      <c r="N32" s="16">
        <v>2.5</v>
      </c>
    </row>
    <row r="33" spans="1:15" x14ac:dyDescent="0.35">
      <c r="A33" s="3" t="s">
        <v>129</v>
      </c>
      <c r="B33" s="13" t="s">
        <v>130</v>
      </c>
      <c r="C33" s="13" t="s">
        <v>78</v>
      </c>
      <c r="D33" s="14">
        <v>476</v>
      </c>
      <c r="E33" s="14">
        <v>504</v>
      </c>
      <c r="F33" s="14">
        <v>507</v>
      </c>
      <c r="G33" s="14">
        <v>526</v>
      </c>
      <c r="H33" s="14">
        <v>524</v>
      </c>
      <c r="I33" s="14">
        <v>592</v>
      </c>
      <c r="J33" s="14">
        <v>552</v>
      </c>
      <c r="K33" s="42">
        <v>629</v>
      </c>
      <c r="L33" s="14">
        <v>476</v>
      </c>
      <c r="M33" s="14">
        <v>497</v>
      </c>
      <c r="N33" s="16">
        <v>4.2</v>
      </c>
    </row>
    <row r="34" spans="1:15" x14ac:dyDescent="0.35">
      <c r="A34" s="3" t="s">
        <v>131</v>
      </c>
      <c r="B34" s="13" t="s">
        <v>132</v>
      </c>
      <c r="C34" s="13" t="s">
        <v>78</v>
      </c>
      <c r="D34" s="14">
        <v>545</v>
      </c>
      <c r="E34" s="14">
        <v>710</v>
      </c>
      <c r="F34" s="14">
        <v>776</v>
      </c>
      <c r="G34" s="14">
        <v>762</v>
      </c>
      <c r="H34" s="14">
        <v>749</v>
      </c>
      <c r="I34" s="14">
        <v>928</v>
      </c>
      <c r="J34" s="14">
        <v>762</v>
      </c>
      <c r="K34" s="42">
        <v>816</v>
      </c>
      <c r="L34" s="14">
        <v>846</v>
      </c>
      <c r="M34" s="14">
        <v>933</v>
      </c>
      <c r="N34" s="16">
        <v>1.6</v>
      </c>
    </row>
    <row r="35" spans="1:15" x14ac:dyDescent="0.35">
      <c r="A35" s="3" t="s">
        <v>133</v>
      </c>
      <c r="B35" s="13" t="s">
        <v>134</v>
      </c>
      <c r="C35" s="13" t="s">
        <v>78</v>
      </c>
      <c r="D35" s="14">
        <v>845</v>
      </c>
      <c r="E35" s="14">
        <v>858</v>
      </c>
      <c r="F35" s="14">
        <v>853</v>
      </c>
      <c r="G35" s="14">
        <v>928</v>
      </c>
      <c r="H35" s="14">
        <v>1266</v>
      </c>
      <c r="I35" s="14">
        <v>1536</v>
      </c>
      <c r="J35" s="14">
        <v>1531</v>
      </c>
      <c r="K35" s="42">
        <v>1630</v>
      </c>
      <c r="L35" s="14">
        <v>1795</v>
      </c>
      <c r="M35" s="14">
        <v>1459</v>
      </c>
      <c r="N35" s="16">
        <v>0.9</v>
      </c>
    </row>
    <row r="36" spans="1:15" x14ac:dyDescent="0.35">
      <c r="A36" s="3" t="s">
        <v>135</v>
      </c>
      <c r="B36" s="13" t="s">
        <v>136</v>
      </c>
      <c r="C36" s="13" t="s">
        <v>78</v>
      </c>
      <c r="D36" s="14">
        <v>593</v>
      </c>
      <c r="E36" s="14">
        <v>589</v>
      </c>
      <c r="F36" s="14">
        <v>588</v>
      </c>
      <c r="G36" s="14">
        <v>600</v>
      </c>
      <c r="H36" s="14">
        <v>589</v>
      </c>
      <c r="I36" s="14">
        <v>595</v>
      </c>
      <c r="J36" s="14">
        <v>546</v>
      </c>
      <c r="K36" s="42">
        <v>606</v>
      </c>
      <c r="L36" s="14">
        <v>576</v>
      </c>
      <c r="M36" s="14">
        <v>604</v>
      </c>
      <c r="N36" s="16">
        <v>1.4</v>
      </c>
    </row>
    <row r="37" spans="1:15" x14ac:dyDescent="0.35">
      <c r="A37" s="3" t="s">
        <v>137</v>
      </c>
      <c r="B37" s="13" t="s">
        <v>138</v>
      </c>
      <c r="C37" s="13" t="s">
        <v>78</v>
      </c>
      <c r="D37" s="14">
        <v>683</v>
      </c>
      <c r="E37" s="14">
        <v>557</v>
      </c>
      <c r="F37" s="14">
        <v>524</v>
      </c>
      <c r="G37" s="14">
        <v>576</v>
      </c>
      <c r="H37" s="14">
        <v>538</v>
      </c>
      <c r="I37" s="14">
        <v>422</v>
      </c>
      <c r="J37" s="14">
        <v>598</v>
      </c>
      <c r="K37" s="42">
        <v>494</v>
      </c>
      <c r="L37" s="14">
        <v>319</v>
      </c>
      <c r="M37" s="14">
        <v>290</v>
      </c>
      <c r="N37" s="16">
        <v>0.6</v>
      </c>
    </row>
    <row r="38" spans="1:15" x14ac:dyDescent="0.35">
      <c r="A38" s="3" t="s">
        <v>139</v>
      </c>
      <c r="B38" s="13" t="s">
        <v>140</v>
      </c>
      <c r="C38" s="13" t="s">
        <v>78</v>
      </c>
      <c r="D38" s="14">
        <v>896</v>
      </c>
      <c r="E38" s="14">
        <v>841</v>
      </c>
      <c r="F38" s="14">
        <v>683</v>
      </c>
      <c r="G38" s="14">
        <v>686</v>
      </c>
      <c r="H38" s="14">
        <v>632</v>
      </c>
      <c r="I38" s="14">
        <v>630</v>
      </c>
      <c r="J38" s="14">
        <v>493</v>
      </c>
      <c r="K38" s="42">
        <v>567</v>
      </c>
      <c r="L38" s="14">
        <v>627</v>
      </c>
      <c r="M38" s="14">
        <v>612</v>
      </c>
      <c r="N38" s="16">
        <v>0.7</v>
      </c>
    </row>
    <row r="39" spans="1:15" x14ac:dyDescent="0.35">
      <c r="B39" s="15"/>
      <c r="C39" s="15"/>
      <c r="D39" s="15"/>
      <c r="E39" s="15"/>
      <c r="F39" s="15"/>
      <c r="G39" s="15"/>
      <c r="H39" s="15"/>
      <c r="I39" s="15"/>
      <c r="J39" s="15"/>
      <c r="K39" s="43"/>
      <c r="L39" s="15"/>
      <c r="M39" s="15"/>
      <c r="N39" s="15"/>
      <c r="O39" s="17"/>
    </row>
  </sheetData>
  <phoneticPr fontId="13" type="noConversion"/>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32"/>
  <sheetViews>
    <sheetView workbookViewId="0"/>
  </sheetViews>
  <sheetFormatPr defaultColWidth="11.53515625" defaultRowHeight="15.5" x14ac:dyDescent="0.35"/>
  <cols>
    <col min="1" max="1" width="35.69140625" customWidth="1"/>
    <col min="2" max="21" width="10.69140625" customWidth="1"/>
  </cols>
  <sheetData>
    <row r="1" spans="1:23" ht="20" x14ac:dyDescent="0.4">
      <c r="A1" s="1" t="s">
        <v>287</v>
      </c>
    </row>
    <row r="2" spans="1:23" x14ac:dyDescent="0.35">
      <c r="A2" t="s">
        <v>16</v>
      </c>
    </row>
    <row r="3" spans="1:23" x14ac:dyDescent="0.35">
      <c r="A3" t="s">
        <v>167</v>
      </c>
    </row>
    <row r="4" spans="1:23" x14ac:dyDescent="0.35">
      <c r="A4" s="5" t="str">
        <f>HYPERLINK("#'Table of Contents'!A1", "Back to contents")</f>
        <v>Back to contents</v>
      </c>
    </row>
    <row r="5" spans="1:23" x14ac:dyDescent="0.35">
      <c r="A5" s="25" t="s">
        <v>168</v>
      </c>
      <c r="B5" s="26" t="s">
        <v>50</v>
      </c>
      <c r="C5" s="26" t="s">
        <v>51</v>
      </c>
      <c r="D5" s="26" t="s">
        <v>52</v>
      </c>
      <c r="E5" s="26" t="s">
        <v>53</v>
      </c>
      <c r="F5" s="26" t="s">
        <v>54</v>
      </c>
      <c r="G5" s="26" t="s">
        <v>55</v>
      </c>
      <c r="H5" s="26" t="s">
        <v>56</v>
      </c>
      <c r="I5" s="26" t="s">
        <v>57</v>
      </c>
      <c r="J5" s="26" t="s">
        <v>58</v>
      </c>
      <c r="K5" s="26" t="s">
        <v>59</v>
      </c>
      <c r="L5" s="26" t="s">
        <v>60</v>
      </c>
      <c r="M5" s="26" t="s">
        <v>61</v>
      </c>
      <c r="N5" s="26" t="s">
        <v>62</v>
      </c>
      <c r="O5" s="26" t="s">
        <v>63</v>
      </c>
      <c r="P5" s="26" t="s">
        <v>64</v>
      </c>
      <c r="Q5" s="26" t="s">
        <v>65</v>
      </c>
      <c r="R5" s="26" t="s">
        <v>66</v>
      </c>
      <c r="S5" s="26" t="s">
        <v>67</v>
      </c>
      <c r="T5" s="26" t="s">
        <v>68</v>
      </c>
      <c r="U5" s="12" t="s">
        <v>71</v>
      </c>
      <c r="V5" s="12" t="s">
        <v>72</v>
      </c>
      <c r="W5" s="12" t="s">
        <v>206</v>
      </c>
    </row>
    <row r="6" spans="1:23" ht="25" customHeight="1" x14ac:dyDescent="0.35">
      <c r="A6" s="13" t="s">
        <v>169</v>
      </c>
      <c r="B6" s="14">
        <v>722</v>
      </c>
      <c r="C6" s="14">
        <v>730</v>
      </c>
      <c r="D6" s="14">
        <v>742</v>
      </c>
      <c r="E6" s="14">
        <v>771</v>
      </c>
      <c r="F6" s="14">
        <v>767</v>
      </c>
      <c r="G6" s="14">
        <v>787</v>
      </c>
      <c r="H6" s="14">
        <v>790</v>
      </c>
      <c r="I6" s="14">
        <v>816</v>
      </c>
      <c r="J6" s="14">
        <v>810</v>
      </c>
      <c r="K6" s="14">
        <v>825</v>
      </c>
      <c r="L6" s="14">
        <v>825</v>
      </c>
      <c r="M6" s="14">
        <v>844</v>
      </c>
      <c r="N6" s="14">
        <v>864</v>
      </c>
      <c r="O6" s="14">
        <v>871</v>
      </c>
      <c r="P6" s="14">
        <v>875</v>
      </c>
      <c r="Q6" s="14">
        <v>889</v>
      </c>
      <c r="R6" s="14">
        <v>868</v>
      </c>
      <c r="S6" s="14">
        <v>887</v>
      </c>
      <c r="T6" s="14">
        <v>878</v>
      </c>
      <c r="U6" s="14">
        <v>932</v>
      </c>
      <c r="V6">
        <v>940</v>
      </c>
      <c r="W6" s="14">
        <v>946</v>
      </c>
    </row>
    <row r="7" spans="1:23" ht="25" customHeight="1" x14ac:dyDescent="0.35">
      <c r="A7" s="27" t="s">
        <v>170</v>
      </c>
      <c r="B7" s="14">
        <v>306</v>
      </c>
      <c r="C7" s="14">
        <v>315</v>
      </c>
      <c r="D7" s="14">
        <v>326</v>
      </c>
      <c r="E7" s="14">
        <v>343</v>
      </c>
      <c r="F7" s="14">
        <v>334</v>
      </c>
      <c r="G7" s="14">
        <v>359</v>
      </c>
      <c r="H7" s="14">
        <v>352</v>
      </c>
      <c r="I7" s="14">
        <v>357</v>
      </c>
      <c r="J7" s="14">
        <v>368</v>
      </c>
      <c r="K7" s="14">
        <v>377</v>
      </c>
      <c r="L7" s="14">
        <v>382</v>
      </c>
      <c r="M7" s="14">
        <v>393</v>
      </c>
      <c r="N7" s="14">
        <v>398</v>
      </c>
      <c r="O7" s="14">
        <v>407</v>
      </c>
      <c r="P7" s="14">
        <v>400</v>
      </c>
      <c r="Q7" s="14">
        <v>427</v>
      </c>
      <c r="R7" s="14">
        <v>394</v>
      </c>
      <c r="S7" s="14">
        <v>417</v>
      </c>
      <c r="T7" s="14">
        <v>401</v>
      </c>
      <c r="U7" s="14">
        <v>436</v>
      </c>
      <c r="V7">
        <v>439</v>
      </c>
      <c r="W7" s="14">
        <v>442</v>
      </c>
    </row>
    <row r="8" spans="1:23" x14ac:dyDescent="0.35">
      <c r="A8" s="27" t="s">
        <v>171</v>
      </c>
      <c r="B8" s="14">
        <v>416</v>
      </c>
      <c r="C8" s="14">
        <v>415</v>
      </c>
      <c r="D8" s="14">
        <v>417</v>
      </c>
      <c r="E8" s="14">
        <v>427</v>
      </c>
      <c r="F8" s="14">
        <v>432</v>
      </c>
      <c r="G8" s="14">
        <v>428</v>
      </c>
      <c r="H8" s="14">
        <v>438</v>
      </c>
      <c r="I8" s="14">
        <v>458</v>
      </c>
      <c r="J8" s="14">
        <v>441</v>
      </c>
      <c r="K8" s="14">
        <v>447</v>
      </c>
      <c r="L8" s="14">
        <v>443</v>
      </c>
      <c r="M8" s="14">
        <v>451</v>
      </c>
      <c r="N8" s="14">
        <v>466</v>
      </c>
      <c r="O8" s="14">
        <v>464</v>
      </c>
      <c r="P8" s="14">
        <v>476</v>
      </c>
      <c r="Q8" s="14">
        <v>462</v>
      </c>
      <c r="R8" s="14">
        <v>474</v>
      </c>
      <c r="S8" s="14">
        <v>470</v>
      </c>
      <c r="T8" s="14">
        <v>477</v>
      </c>
      <c r="U8" s="14">
        <v>496</v>
      </c>
      <c r="V8">
        <v>500</v>
      </c>
      <c r="W8" s="14">
        <v>504</v>
      </c>
    </row>
    <row r="9" spans="1:23" ht="25" customHeight="1" x14ac:dyDescent="0.35">
      <c r="A9" s="13" t="s">
        <v>172</v>
      </c>
      <c r="B9" s="14">
        <v>726</v>
      </c>
      <c r="C9" s="14">
        <v>736</v>
      </c>
      <c r="D9" s="14">
        <v>743</v>
      </c>
      <c r="E9" s="14">
        <v>745</v>
      </c>
      <c r="F9" s="14">
        <v>766</v>
      </c>
      <c r="G9" s="14">
        <v>776</v>
      </c>
      <c r="H9" s="14">
        <v>802</v>
      </c>
      <c r="I9" s="14">
        <v>787</v>
      </c>
      <c r="J9" s="14">
        <v>820</v>
      </c>
      <c r="K9" s="14">
        <v>808</v>
      </c>
      <c r="L9" s="14">
        <v>809</v>
      </c>
      <c r="M9" s="14">
        <v>818</v>
      </c>
      <c r="N9" s="14">
        <v>807</v>
      </c>
      <c r="O9" s="14">
        <v>813</v>
      </c>
      <c r="P9" s="14">
        <v>834</v>
      </c>
      <c r="Q9" s="14">
        <v>834</v>
      </c>
      <c r="R9" s="14">
        <v>835</v>
      </c>
      <c r="S9" s="14">
        <v>849</v>
      </c>
      <c r="T9" s="14">
        <v>860</v>
      </c>
      <c r="U9" s="14">
        <v>845</v>
      </c>
      <c r="V9">
        <v>852</v>
      </c>
      <c r="W9" s="14">
        <v>858</v>
      </c>
    </row>
    <row r="10" spans="1:23" ht="25" customHeight="1" x14ac:dyDescent="0.35">
      <c r="A10" s="27" t="s">
        <v>173</v>
      </c>
      <c r="B10" s="14">
        <v>650</v>
      </c>
      <c r="C10" s="14">
        <v>658</v>
      </c>
      <c r="D10" s="14">
        <v>665</v>
      </c>
      <c r="E10" s="14">
        <v>661</v>
      </c>
      <c r="F10" s="14">
        <v>681</v>
      </c>
      <c r="G10" s="14">
        <v>692</v>
      </c>
      <c r="H10" s="14">
        <v>722</v>
      </c>
      <c r="I10" s="14">
        <v>711</v>
      </c>
      <c r="J10" s="14">
        <v>732</v>
      </c>
      <c r="K10" s="14">
        <v>732</v>
      </c>
      <c r="L10" s="14">
        <v>724</v>
      </c>
      <c r="M10" s="14">
        <v>730</v>
      </c>
      <c r="N10" s="14">
        <v>724</v>
      </c>
      <c r="O10" s="14">
        <v>732</v>
      </c>
      <c r="P10" s="14">
        <v>752</v>
      </c>
      <c r="Q10" s="14">
        <v>756</v>
      </c>
      <c r="R10" s="14">
        <v>761</v>
      </c>
      <c r="S10" s="14">
        <v>787</v>
      </c>
      <c r="T10" s="14">
        <v>797</v>
      </c>
      <c r="U10" s="14">
        <v>785</v>
      </c>
      <c r="V10">
        <v>792</v>
      </c>
      <c r="W10" s="14">
        <v>797</v>
      </c>
    </row>
    <row r="11" spans="1:23" x14ac:dyDescent="0.35">
      <c r="A11" s="27" t="s">
        <v>174</v>
      </c>
      <c r="B11" s="14">
        <v>76</v>
      </c>
      <c r="C11" s="14">
        <v>79</v>
      </c>
      <c r="D11" s="14">
        <v>78</v>
      </c>
      <c r="E11" s="14">
        <v>84</v>
      </c>
      <c r="F11" s="14">
        <v>85</v>
      </c>
      <c r="G11" s="14">
        <v>84</v>
      </c>
      <c r="H11" s="14">
        <v>80</v>
      </c>
      <c r="I11" s="14">
        <v>76</v>
      </c>
      <c r="J11" s="14">
        <v>88</v>
      </c>
      <c r="K11" s="14">
        <v>77</v>
      </c>
      <c r="L11" s="14">
        <v>85</v>
      </c>
      <c r="M11" s="14">
        <v>89</v>
      </c>
      <c r="N11" s="14">
        <v>83</v>
      </c>
      <c r="O11" s="14">
        <v>81</v>
      </c>
      <c r="P11" s="14">
        <v>82</v>
      </c>
      <c r="Q11" s="14">
        <v>78</v>
      </c>
      <c r="R11" s="14">
        <v>75</v>
      </c>
      <c r="S11" s="14">
        <v>62</v>
      </c>
      <c r="T11" s="14">
        <v>63</v>
      </c>
      <c r="U11" s="14">
        <v>60</v>
      </c>
      <c r="V11">
        <v>60</v>
      </c>
      <c r="W11" s="14">
        <v>61</v>
      </c>
    </row>
    <row r="12" spans="1:23" ht="25" customHeight="1" x14ac:dyDescent="0.35">
      <c r="A12" s="13" t="s">
        <v>175</v>
      </c>
      <c r="B12" s="14">
        <v>747</v>
      </c>
      <c r="C12" s="14">
        <v>745</v>
      </c>
      <c r="D12" s="14">
        <v>745</v>
      </c>
      <c r="E12" s="14">
        <v>736</v>
      </c>
      <c r="F12" s="14">
        <v>742</v>
      </c>
      <c r="G12" s="14">
        <v>733</v>
      </c>
      <c r="H12" s="14">
        <v>727</v>
      </c>
      <c r="I12" s="14">
        <v>735</v>
      </c>
      <c r="J12" s="14">
        <v>723</v>
      </c>
      <c r="K12" s="14">
        <v>732</v>
      </c>
      <c r="L12" s="14">
        <v>743</v>
      </c>
      <c r="M12" s="14">
        <v>720</v>
      </c>
      <c r="N12" s="14">
        <v>722</v>
      </c>
      <c r="O12" s="14">
        <v>722</v>
      </c>
      <c r="P12" s="14">
        <v>708</v>
      </c>
      <c r="Q12" s="14">
        <v>707</v>
      </c>
      <c r="R12" s="14">
        <v>742</v>
      </c>
      <c r="S12" s="14">
        <v>722</v>
      </c>
      <c r="T12" s="14">
        <v>736</v>
      </c>
      <c r="U12" s="14">
        <v>738</v>
      </c>
      <c r="V12">
        <v>744</v>
      </c>
      <c r="W12" s="14">
        <v>749</v>
      </c>
    </row>
    <row r="13" spans="1:23" ht="25" customHeight="1" x14ac:dyDescent="0.35">
      <c r="A13" s="27" t="s">
        <v>176</v>
      </c>
      <c r="B13" s="14">
        <v>63</v>
      </c>
      <c r="C13" s="14">
        <v>64</v>
      </c>
      <c r="D13" s="14">
        <v>65</v>
      </c>
      <c r="E13" s="14">
        <v>62</v>
      </c>
      <c r="F13" s="14">
        <v>65</v>
      </c>
      <c r="G13" s="14">
        <v>62</v>
      </c>
      <c r="H13" s="14">
        <v>63</v>
      </c>
      <c r="I13" s="14">
        <v>58</v>
      </c>
      <c r="J13" s="14">
        <v>60</v>
      </c>
      <c r="K13" s="14">
        <v>62</v>
      </c>
      <c r="L13" s="14">
        <v>64</v>
      </c>
      <c r="M13" s="14">
        <v>70</v>
      </c>
      <c r="N13" s="14">
        <v>65</v>
      </c>
      <c r="O13" s="14">
        <v>64</v>
      </c>
      <c r="P13" s="14">
        <v>63</v>
      </c>
      <c r="Q13" s="14">
        <v>72</v>
      </c>
      <c r="R13" s="14">
        <v>59</v>
      </c>
      <c r="S13" s="14">
        <v>71</v>
      </c>
      <c r="T13" s="14">
        <v>67</v>
      </c>
      <c r="U13" s="14">
        <v>73</v>
      </c>
      <c r="V13">
        <v>73</v>
      </c>
      <c r="W13" s="14">
        <v>74</v>
      </c>
    </row>
    <row r="14" spans="1:23" x14ac:dyDescent="0.35">
      <c r="A14" s="27" t="s">
        <v>177</v>
      </c>
      <c r="B14" s="14">
        <v>480</v>
      </c>
      <c r="C14" s="14">
        <v>469</v>
      </c>
      <c r="D14" s="14">
        <v>474</v>
      </c>
      <c r="E14" s="14">
        <v>471</v>
      </c>
      <c r="F14" s="14">
        <v>480</v>
      </c>
      <c r="G14" s="14">
        <v>473</v>
      </c>
      <c r="H14" s="14">
        <v>460</v>
      </c>
      <c r="I14" s="14">
        <v>460</v>
      </c>
      <c r="J14" s="14">
        <v>465</v>
      </c>
      <c r="K14" s="14">
        <v>468</v>
      </c>
      <c r="L14" s="14">
        <v>468</v>
      </c>
      <c r="M14" s="14">
        <v>449</v>
      </c>
      <c r="N14" s="14">
        <v>457</v>
      </c>
      <c r="O14" s="14">
        <v>451</v>
      </c>
      <c r="P14" s="14">
        <v>447</v>
      </c>
      <c r="Q14" s="14">
        <v>438</v>
      </c>
      <c r="R14" s="14">
        <v>474</v>
      </c>
      <c r="S14" s="14">
        <v>454</v>
      </c>
      <c r="T14" s="14">
        <v>470</v>
      </c>
      <c r="U14" s="14">
        <v>460</v>
      </c>
      <c r="V14">
        <v>463</v>
      </c>
      <c r="W14" s="14">
        <v>466</v>
      </c>
    </row>
    <row r="15" spans="1:23" x14ac:dyDescent="0.35">
      <c r="A15" s="27" t="s">
        <v>178</v>
      </c>
      <c r="B15" s="14">
        <v>205</v>
      </c>
      <c r="C15" s="14">
        <v>212</v>
      </c>
      <c r="D15" s="14">
        <v>206</v>
      </c>
      <c r="E15" s="14">
        <v>203</v>
      </c>
      <c r="F15" s="14">
        <v>197</v>
      </c>
      <c r="G15" s="14">
        <v>198</v>
      </c>
      <c r="H15" s="14">
        <v>205</v>
      </c>
      <c r="I15" s="14">
        <v>217</v>
      </c>
      <c r="J15" s="14">
        <v>198</v>
      </c>
      <c r="K15" s="14">
        <v>202</v>
      </c>
      <c r="L15" s="14">
        <v>211</v>
      </c>
      <c r="M15" s="14">
        <v>202</v>
      </c>
      <c r="N15" s="14">
        <v>200</v>
      </c>
      <c r="O15" s="14">
        <v>207</v>
      </c>
      <c r="P15" s="14">
        <v>198</v>
      </c>
      <c r="Q15" s="14">
        <v>197</v>
      </c>
      <c r="R15" s="14">
        <v>210</v>
      </c>
      <c r="S15" s="14">
        <v>197</v>
      </c>
      <c r="T15" s="14">
        <v>198</v>
      </c>
      <c r="U15" s="14">
        <v>206</v>
      </c>
      <c r="V15">
        <v>207</v>
      </c>
      <c r="W15" s="14">
        <v>209</v>
      </c>
    </row>
    <row r="16" spans="1:23" ht="25" customHeight="1" x14ac:dyDescent="0.35">
      <c r="A16" s="13" t="s">
        <v>179</v>
      </c>
      <c r="B16" s="14">
        <v>2195</v>
      </c>
      <c r="C16" s="14">
        <v>2211</v>
      </c>
      <c r="D16" s="14">
        <v>2231</v>
      </c>
      <c r="E16" s="14">
        <v>2251</v>
      </c>
      <c r="F16" s="14">
        <v>2274</v>
      </c>
      <c r="G16" s="14">
        <v>2295</v>
      </c>
      <c r="H16" s="14">
        <v>2319</v>
      </c>
      <c r="I16" s="14">
        <v>2338</v>
      </c>
      <c r="J16" s="14">
        <v>2352</v>
      </c>
      <c r="K16" s="14">
        <v>2365</v>
      </c>
      <c r="L16" s="14">
        <v>2376</v>
      </c>
      <c r="M16" s="14">
        <v>2383</v>
      </c>
      <c r="N16" s="14">
        <v>2393</v>
      </c>
      <c r="O16" s="14">
        <v>2406</v>
      </c>
      <c r="P16" s="14">
        <v>2417</v>
      </c>
      <c r="Q16" s="14">
        <v>2431</v>
      </c>
      <c r="R16" s="14">
        <v>2445</v>
      </c>
      <c r="S16" s="14">
        <v>2458</v>
      </c>
      <c r="T16" s="14">
        <v>2473</v>
      </c>
      <c r="U16" s="14">
        <v>2515</v>
      </c>
      <c r="V16" s="15">
        <v>2535</v>
      </c>
      <c r="W16" s="14">
        <v>2552</v>
      </c>
    </row>
    <row r="17" spans="1:23" x14ac:dyDescent="0.35">
      <c r="B17" s="14"/>
      <c r="C17" s="14"/>
      <c r="D17" s="14"/>
      <c r="E17" s="14"/>
      <c r="F17" s="14"/>
      <c r="G17" s="14"/>
      <c r="H17" s="14"/>
      <c r="I17" s="14"/>
      <c r="J17" s="14"/>
      <c r="K17" s="14"/>
      <c r="L17" s="14"/>
      <c r="M17" s="14"/>
      <c r="N17" s="14"/>
      <c r="O17" s="14"/>
      <c r="P17" s="14"/>
      <c r="Q17" s="14"/>
      <c r="R17" s="14"/>
      <c r="S17" s="14"/>
      <c r="T17" s="14"/>
      <c r="U17" s="14"/>
      <c r="V17" s="91"/>
    </row>
    <row r="18" spans="1:23" x14ac:dyDescent="0.35">
      <c r="U18" s="15"/>
      <c r="V18" s="15"/>
      <c r="W18" s="15"/>
    </row>
    <row r="21" spans="1:23" x14ac:dyDescent="0.35">
      <c r="D21" s="33"/>
      <c r="F21" s="33"/>
      <c r="H21" s="33"/>
    </row>
    <row r="22" spans="1:23" s="7" customFormat="1" x14ac:dyDescent="0.35"/>
    <row r="23" spans="1:23" x14ac:dyDescent="0.35">
      <c r="D23" s="33"/>
      <c r="F23" s="33"/>
      <c r="H23" s="33"/>
    </row>
    <row r="24" spans="1:23" x14ac:dyDescent="0.35">
      <c r="A24" s="27"/>
      <c r="D24" s="33"/>
      <c r="F24" s="33"/>
      <c r="H24" s="33"/>
    </row>
    <row r="25" spans="1:23" s="7" customFormat="1" x14ac:dyDescent="0.35">
      <c r="A25" s="102"/>
    </row>
    <row r="26" spans="1:23" x14ac:dyDescent="0.35">
      <c r="D26" s="33"/>
      <c r="F26" s="33"/>
      <c r="H26" s="33"/>
    </row>
    <row r="27" spans="1:23" x14ac:dyDescent="0.35">
      <c r="D27" s="33"/>
      <c r="F27" s="33"/>
      <c r="H27" s="33"/>
    </row>
    <row r="28" spans="1:23" s="7" customFormat="1" x14ac:dyDescent="0.35"/>
    <row r="29" spans="1:23" x14ac:dyDescent="0.35">
      <c r="D29" s="33"/>
      <c r="F29" s="33"/>
      <c r="H29" s="33"/>
    </row>
    <row r="30" spans="1:23" x14ac:dyDescent="0.35">
      <c r="D30" s="33"/>
      <c r="F30" s="33"/>
      <c r="H30" s="33"/>
    </row>
    <row r="31" spans="1:23" x14ac:dyDescent="0.35">
      <c r="D31" s="33"/>
      <c r="F31" s="33"/>
      <c r="H31" s="33"/>
    </row>
    <row r="32" spans="1:23" s="7" customFormat="1" x14ac:dyDescent="0.35"/>
  </sheetData>
  <phoneticPr fontId="11" type="noConversion"/>
  <pageMargins left="0.7" right="0.7" top="0.75" bottom="0.75" header="0.3" footer="0.3"/>
  <pageSetup paperSize="9"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8"/>
  <sheetViews>
    <sheetView workbookViewId="0"/>
  </sheetViews>
  <sheetFormatPr defaultColWidth="11.53515625" defaultRowHeight="15.5" x14ac:dyDescent="0.35"/>
  <cols>
    <col min="1" max="1" width="21.69140625" customWidth="1"/>
    <col min="2" max="2" width="13.69140625" customWidth="1"/>
    <col min="3" max="3" width="12.69140625" customWidth="1"/>
    <col min="4" max="6" width="13.69140625" customWidth="1"/>
    <col min="7" max="7" width="10.69140625" customWidth="1"/>
  </cols>
  <sheetData>
    <row r="1" spans="1:13" ht="20" x14ac:dyDescent="0.4">
      <c r="A1" s="1" t="s">
        <v>283</v>
      </c>
    </row>
    <row r="2" spans="1:13" x14ac:dyDescent="0.35">
      <c r="A2" t="s">
        <v>46</v>
      </c>
    </row>
    <row r="3" spans="1:13" x14ac:dyDescent="0.35">
      <c r="A3" s="33" t="s">
        <v>284</v>
      </c>
    </row>
    <row r="4" spans="1:13" s="7" customFormat="1" x14ac:dyDescent="0.35">
      <c r="A4" s="31" t="str">
        <f>HYPERLINK("#'Table of Contents'!A1", "Back to contents")</f>
        <v>Back to contents</v>
      </c>
    </row>
    <row r="5" spans="1:13" ht="46.5" x14ac:dyDescent="0.35">
      <c r="A5" s="11" t="s">
        <v>47</v>
      </c>
      <c r="B5" s="11" t="s">
        <v>48</v>
      </c>
      <c r="C5" s="11" t="s">
        <v>49</v>
      </c>
      <c r="D5" s="12" t="s">
        <v>180</v>
      </c>
      <c r="E5" s="12" t="s">
        <v>181</v>
      </c>
      <c r="F5" s="12" t="s">
        <v>182</v>
      </c>
      <c r="G5" s="12" t="s">
        <v>183</v>
      </c>
    </row>
    <row r="6" spans="1:13" ht="24" customHeight="1" x14ac:dyDescent="0.35">
      <c r="A6" s="18" t="s">
        <v>73</v>
      </c>
      <c r="B6" s="19" t="s">
        <v>74</v>
      </c>
      <c r="C6" s="19" t="s">
        <v>75</v>
      </c>
      <c r="D6" s="81">
        <v>58.2</v>
      </c>
      <c r="E6" s="81">
        <v>27.75</v>
      </c>
      <c r="F6" s="81">
        <v>14.04</v>
      </c>
      <c r="G6" s="24">
        <v>0.35</v>
      </c>
      <c r="K6" s="17"/>
      <c r="L6" s="17"/>
      <c r="M6" s="17"/>
    </row>
    <row r="7" spans="1:13" x14ac:dyDescent="0.35">
      <c r="A7" s="3" t="s">
        <v>141</v>
      </c>
      <c r="B7" s="13" t="s">
        <v>77</v>
      </c>
      <c r="C7" s="13" t="s">
        <v>78</v>
      </c>
      <c r="D7" s="16">
        <v>58.42</v>
      </c>
      <c r="E7" s="16">
        <v>26.64</v>
      </c>
      <c r="F7" s="16">
        <v>14.94</v>
      </c>
      <c r="G7" s="22">
        <v>6.84</v>
      </c>
      <c r="H7" s="7"/>
      <c r="I7" s="7"/>
      <c r="J7" s="7"/>
      <c r="K7" s="17"/>
      <c r="L7" s="17"/>
      <c r="M7" s="17"/>
    </row>
    <row r="8" spans="1:13" x14ac:dyDescent="0.35">
      <c r="A8" s="3" t="s">
        <v>79</v>
      </c>
      <c r="B8" s="13" t="s">
        <v>80</v>
      </c>
      <c r="C8" s="13" t="s">
        <v>78</v>
      </c>
      <c r="D8" s="16">
        <v>41.7</v>
      </c>
      <c r="E8" s="16">
        <v>33.81</v>
      </c>
      <c r="F8" s="16">
        <v>24.49</v>
      </c>
      <c r="G8" s="22">
        <v>0.2</v>
      </c>
      <c r="K8" s="17"/>
      <c r="L8" s="17"/>
      <c r="M8" s="17"/>
    </row>
    <row r="9" spans="1:13" x14ac:dyDescent="0.35">
      <c r="A9" s="3" t="s">
        <v>81</v>
      </c>
      <c r="B9" s="13" t="s">
        <v>82</v>
      </c>
      <c r="C9" s="13" t="s">
        <v>78</v>
      </c>
      <c r="D9" s="16">
        <v>60.72</v>
      </c>
      <c r="E9" s="16">
        <v>30.12</v>
      </c>
      <c r="F9" s="16">
        <v>9.16</v>
      </c>
      <c r="G9" s="22">
        <v>0.27</v>
      </c>
      <c r="K9" s="17"/>
      <c r="L9" s="17"/>
      <c r="M9" s="17"/>
    </row>
    <row r="10" spans="1:13" x14ac:dyDescent="0.35">
      <c r="A10" s="3" t="s">
        <v>83</v>
      </c>
      <c r="B10" s="13" t="s">
        <v>84</v>
      </c>
      <c r="C10" s="13" t="s">
        <v>78</v>
      </c>
      <c r="D10" s="16">
        <v>54.94</v>
      </c>
      <c r="E10" s="16">
        <v>28.93</v>
      </c>
      <c r="F10" s="16">
        <v>16.13</v>
      </c>
      <c r="G10" s="22">
        <v>7.0000000000000007E-2</v>
      </c>
      <c r="K10" s="17"/>
      <c r="L10" s="17"/>
      <c r="M10" s="17"/>
    </row>
    <row r="11" spans="1:13" x14ac:dyDescent="0.35">
      <c r="A11" s="3" t="s">
        <v>142</v>
      </c>
      <c r="B11" s="13" t="s">
        <v>86</v>
      </c>
      <c r="C11" s="13" t="s">
        <v>78</v>
      </c>
      <c r="D11" s="16">
        <v>45.24</v>
      </c>
      <c r="E11" s="16">
        <v>33.74</v>
      </c>
      <c r="F11" s="16">
        <v>21.01</v>
      </c>
      <c r="G11" s="22">
        <v>10.26</v>
      </c>
      <c r="K11" s="17"/>
      <c r="L11" s="17"/>
      <c r="M11" s="17"/>
    </row>
    <row r="12" spans="1:13" x14ac:dyDescent="0.35">
      <c r="A12" s="3" t="s">
        <v>87</v>
      </c>
      <c r="B12" s="13" t="s">
        <v>88</v>
      </c>
      <c r="C12" s="13" t="s">
        <v>78</v>
      </c>
      <c r="D12" s="16">
        <v>62.44</v>
      </c>
      <c r="E12" s="16">
        <v>25.23</v>
      </c>
      <c r="F12" s="16">
        <v>12.34</v>
      </c>
      <c r="G12" s="22">
        <v>1.6</v>
      </c>
      <c r="K12" s="17"/>
      <c r="L12" s="17"/>
      <c r="M12" s="17"/>
    </row>
    <row r="13" spans="1:13" x14ac:dyDescent="0.35">
      <c r="A13" s="3" t="s">
        <v>89</v>
      </c>
      <c r="B13" s="13" t="s">
        <v>90</v>
      </c>
      <c r="C13" s="13" t="s">
        <v>78</v>
      </c>
      <c r="D13" s="16">
        <v>60.52</v>
      </c>
      <c r="E13" s="16">
        <v>28.24</v>
      </c>
      <c r="F13" s="16">
        <v>11.24</v>
      </c>
      <c r="G13" s="22">
        <v>0.12</v>
      </c>
      <c r="K13" s="17"/>
      <c r="L13" s="17"/>
      <c r="M13" s="17"/>
    </row>
    <row r="14" spans="1:13" x14ac:dyDescent="0.35">
      <c r="A14" s="3" t="s">
        <v>91</v>
      </c>
      <c r="B14" s="13" t="s">
        <v>92</v>
      </c>
      <c r="C14" s="13" t="s">
        <v>78</v>
      </c>
      <c r="D14" s="16">
        <v>72.19</v>
      </c>
      <c r="E14" s="16">
        <v>22.84</v>
      </c>
      <c r="F14" s="16">
        <v>4.97</v>
      </c>
      <c r="G14" s="22">
        <v>13</v>
      </c>
      <c r="K14" s="17"/>
      <c r="L14" s="17"/>
      <c r="M14" s="17"/>
    </row>
    <row r="15" spans="1:13" x14ac:dyDescent="0.35">
      <c r="A15" s="3" t="s">
        <v>93</v>
      </c>
      <c r="B15" s="13" t="s">
        <v>94</v>
      </c>
      <c r="C15" s="13" t="s">
        <v>78</v>
      </c>
      <c r="D15" s="16">
        <v>67.900000000000006</v>
      </c>
      <c r="E15" s="16">
        <v>23.64</v>
      </c>
      <c r="F15" s="16">
        <v>8.4700000000000006</v>
      </c>
      <c r="G15" s="22">
        <v>0.48</v>
      </c>
      <c r="K15" s="17"/>
      <c r="L15" s="17"/>
      <c r="M15" s="17"/>
    </row>
    <row r="16" spans="1:13" x14ac:dyDescent="0.35">
      <c r="A16" s="3" t="s">
        <v>95</v>
      </c>
      <c r="B16" s="13" t="s">
        <v>96</v>
      </c>
      <c r="C16" s="13" t="s">
        <v>78</v>
      </c>
      <c r="D16" s="16">
        <v>27.55</v>
      </c>
      <c r="E16" s="16">
        <v>40.630000000000003</v>
      </c>
      <c r="F16" s="16">
        <v>31.82</v>
      </c>
      <c r="G16" s="22">
        <v>2.78</v>
      </c>
      <c r="K16" s="17"/>
      <c r="L16" s="17"/>
      <c r="M16" s="17"/>
    </row>
    <row r="17" spans="1:13" x14ac:dyDescent="0.35">
      <c r="A17" s="3" t="s">
        <v>97</v>
      </c>
      <c r="B17" s="13" t="s">
        <v>98</v>
      </c>
      <c r="C17" s="13" t="s">
        <v>78</v>
      </c>
      <c r="D17" s="16">
        <v>48.42</v>
      </c>
      <c r="E17" s="16">
        <v>27.94</v>
      </c>
      <c r="F17" s="16">
        <v>23.64</v>
      </c>
      <c r="G17" s="22">
        <v>0.8</v>
      </c>
      <c r="K17" s="17"/>
      <c r="L17" s="17"/>
      <c r="M17" s="17"/>
    </row>
    <row r="18" spans="1:13" x14ac:dyDescent="0.35">
      <c r="A18" s="3" t="s">
        <v>99</v>
      </c>
      <c r="B18" s="13" t="s">
        <v>100</v>
      </c>
      <c r="C18" s="13" t="s">
        <v>78</v>
      </c>
      <c r="D18" s="16">
        <v>25.93</v>
      </c>
      <c r="E18" s="16">
        <v>38.11</v>
      </c>
      <c r="F18" s="16">
        <v>35.96</v>
      </c>
      <c r="G18" s="22">
        <v>2.37</v>
      </c>
      <c r="K18" s="17"/>
      <c r="L18" s="17"/>
      <c r="M18" s="17"/>
    </row>
    <row r="19" spans="1:13" x14ac:dyDescent="0.35">
      <c r="A19" s="3" t="s">
        <v>101</v>
      </c>
      <c r="B19" s="13" t="s">
        <v>102</v>
      </c>
      <c r="C19" s="13" t="s">
        <v>78</v>
      </c>
      <c r="D19" s="16">
        <v>63.39</v>
      </c>
      <c r="E19" s="16">
        <v>24.39</v>
      </c>
      <c r="F19" s="16">
        <v>12.22</v>
      </c>
      <c r="G19" s="22">
        <v>2.6</v>
      </c>
      <c r="K19" s="17"/>
      <c r="L19" s="17"/>
      <c r="M19" s="17"/>
    </row>
    <row r="20" spans="1:13" x14ac:dyDescent="0.35">
      <c r="A20" s="3" t="s">
        <v>103</v>
      </c>
      <c r="B20" s="13" t="s">
        <v>104</v>
      </c>
      <c r="C20" s="13" t="s">
        <v>78</v>
      </c>
      <c r="D20" s="16">
        <v>61.62</v>
      </c>
      <c r="E20" s="16">
        <v>26.05</v>
      </c>
      <c r="F20" s="16">
        <v>12.33</v>
      </c>
      <c r="G20" s="22">
        <v>1.4</v>
      </c>
      <c r="K20" s="17"/>
      <c r="L20" s="17"/>
      <c r="M20" s="17"/>
    </row>
    <row r="21" spans="1:13" x14ac:dyDescent="0.35">
      <c r="A21" s="3" t="s">
        <v>143</v>
      </c>
      <c r="B21" s="13" t="s">
        <v>106</v>
      </c>
      <c r="C21" s="13" t="s">
        <v>78</v>
      </c>
      <c r="D21" s="16">
        <v>68.61</v>
      </c>
      <c r="E21" s="16">
        <v>24.43</v>
      </c>
      <c r="F21" s="16">
        <v>6.96</v>
      </c>
      <c r="G21" s="22">
        <v>18.93</v>
      </c>
      <c r="K21" s="17"/>
      <c r="L21" s="17"/>
      <c r="M21" s="17"/>
    </row>
    <row r="22" spans="1:13" x14ac:dyDescent="0.35">
      <c r="A22" s="3" t="s">
        <v>107</v>
      </c>
      <c r="B22" s="13" t="s">
        <v>108</v>
      </c>
      <c r="C22" s="13" t="s">
        <v>78</v>
      </c>
      <c r="D22" s="16">
        <v>54.49</v>
      </c>
      <c r="E22" s="16">
        <v>33.11</v>
      </c>
      <c r="F22" s="16">
        <v>12.39</v>
      </c>
      <c r="G22" s="22">
        <v>0.05</v>
      </c>
      <c r="K22" s="17"/>
      <c r="L22" s="17"/>
      <c r="M22" s="17"/>
    </row>
    <row r="23" spans="1:13" x14ac:dyDescent="0.35">
      <c r="A23" s="3" t="s">
        <v>109</v>
      </c>
      <c r="B23" s="13" t="s">
        <v>110</v>
      </c>
      <c r="C23" s="13" t="s">
        <v>78</v>
      </c>
      <c r="D23" s="16">
        <v>72.680000000000007</v>
      </c>
      <c r="E23" s="16">
        <v>18.309999999999999</v>
      </c>
      <c r="F23" s="16">
        <v>9.01</v>
      </c>
      <c r="G23" s="22">
        <v>2.48</v>
      </c>
      <c r="K23" s="17"/>
      <c r="L23" s="17"/>
      <c r="M23" s="17"/>
    </row>
    <row r="24" spans="1:13" x14ac:dyDescent="0.35">
      <c r="A24" s="3" t="s">
        <v>111</v>
      </c>
      <c r="B24" s="13" t="s">
        <v>112</v>
      </c>
      <c r="C24" s="13" t="s">
        <v>78</v>
      </c>
      <c r="D24" s="16">
        <v>55.15</v>
      </c>
      <c r="E24" s="16">
        <v>26.37</v>
      </c>
      <c r="F24" s="16">
        <v>18.48</v>
      </c>
      <c r="G24" s="22">
        <v>1.29</v>
      </c>
      <c r="K24" s="17"/>
      <c r="L24" s="17"/>
      <c r="M24" s="17"/>
    </row>
    <row r="25" spans="1:13" x14ac:dyDescent="0.35">
      <c r="A25" s="3" t="s">
        <v>113</v>
      </c>
      <c r="B25" s="13" t="s">
        <v>114</v>
      </c>
      <c r="C25" s="13" t="s">
        <v>78</v>
      </c>
      <c r="D25" s="16">
        <v>63.1</v>
      </c>
      <c r="E25" s="16">
        <v>29.56</v>
      </c>
      <c r="F25" s="16">
        <v>7.34</v>
      </c>
      <c r="G25" s="22">
        <v>0.21</v>
      </c>
      <c r="K25" s="17"/>
      <c r="L25" s="17"/>
      <c r="M25" s="17"/>
    </row>
    <row r="26" spans="1:13" x14ac:dyDescent="0.35">
      <c r="A26" s="3" t="s">
        <v>115</v>
      </c>
      <c r="B26" s="13" t="s">
        <v>116</v>
      </c>
      <c r="C26" s="13" t="s">
        <v>78</v>
      </c>
      <c r="D26" s="16">
        <v>76.66</v>
      </c>
      <c r="E26" s="16">
        <v>21.78</v>
      </c>
      <c r="F26" s="16">
        <v>1.56</v>
      </c>
      <c r="G26" s="22">
        <v>0.05</v>
      </c>
      <c r="K26" s="17"/>
      <c r="L26" s="17"/>
      <c r="M26" s="17"/>
    </row>
    <row r="27" spans="1:13" x14ac:dyDescent="0.35">
      <c r="A27" s="3" t="s">
        <v>117</v>
      </c>
      <c r="B27" s="13" t="s">
        <v>118</v>
      </c>
      <c r="C27" s="13" t="s">
        <v>78</v>
      </c>
      <c r="D27" s="16">
        <v>67.97</v>
      </c>
      <c r="E27" s="16">
        <v>23.96</v>
      </c>
      <c r="F27" s="16">
        <v>8.07</v>
      </c>
      <c r="G27" s="22">
        <v>0.8</v>
      </c>
      <c r="K27" s="17"/>
      <c r="L27" s="17"/>
      <c r="M27" s="17"/>
    </row>
    <row r="28" spans="1:13" x14ac:dyDescent="0.35">
      <c r="A28" s="3" t="s">
        <v>119</v>
      </c>
      <c r="B28" s="13" t="s">
        <v>120</v>
      </c>
      <c r="C28" s="13" t="s">
        <v>78</v>
      </c>
      <c r="D28" s="16">
        <v>68.55</v>
      </c>
      <c r="E28" s="16">
        <v>22.62</v>
      </c>
      <c r="F28" s="16">
        <v>8.84</v>
      </c>
      <c r="G28" s="22">
        <v>3.45</v>
      </c>
      <c r="K28" s="17"/>
      <c r="L28" s="17"/>
      <c r="M28" s="17"/>
    </row>
    <row r="29" spans="1:13" x14ac:dyDescent="0.35">
      <c r="A29" s="3" t="s">
        <v>121</v>
      </c>
      <c r="B29" s="13" t="s">
        <v>122</v>
      </c>
      <c r="C29" s="13" t="s">
        <v>78</v>
      </c>
      <c r="D29" s="16">
        <v>66.040000000000006</v>
      </c>
      <c r="E29" s="16">
        <v>30.32</v>
      </c>
      <c r="F29" s="16">
        <v>3.64</v>
      </c>
      <c r="G29" s="22">
        <v>0.12</v>
      </c>
      <c r="K29" s="17"/>
      <c r="L29" s="17"/>
      <c r="M29" s="17"/>
    </row>
    <row r="30" spans="1:13" x14ac:dyDescent="0.35">
      <c r="A30" s="3" t="s">
        <v>123</v>
      </c>
      <c r="B30" s="13" t="s">
        <v>124</v>
      </c>
      <c r="C30" s="13" t="s">
        <v>78</v>
      </c>
      <c r="D30" s="16">
        <v>47.6</v>
      </c>
      <c r="E30" s="16">
        <v>31.65</v>
      </c>
      <c r="F30" s="16">
        <v>20.75</v>
      </c>
      <c r="G30" s="22">
        <v>0.15</v>
      </c>
      <c r="K30" s="17"/>
      <c r="L30" s="17"/>
      <c r="M30" s="17"/>
    </row>
    <row r="31" spans="1:13" x14ac:dyDescent="0.35">
      <c r="A31" s="3" t="s">
        <v>125</v>
      </c>
      <c r="B31" s="13" t="s">
        <v>126</v>
      </c>
      <c r="C31" s="13" t="s">
        <v>78</v>
      </c>
      <c r="D31" s="16">
        <v>59.13</v>
      </c>
      <c r="E31" s="16">
        <v>27.8</v>
      </c>
      <c r="F31" s="16">
        <v>13.07</v>
      </c>
      <c r="G31" s="22">
        <v>3.53</v>
      </c>
      <c r="K31" s="17"/>
      <c r="L31" s="17"/>
      <c r="M31" s="17"/>
    </row>
    <row r="32" spans="1:13" x14ac:dyDescent="0.35">
      <c r="A32" s="3" t="s">
        <v>127</v>
      </c>
      <c r="B32" s="13" t="s">
        <v>128</v>
      </c>
      <c r="C32" s="13" t="s">
        <v>78</v>
      </c>
      <c r="D32" s="16">
        <v>61.08</v>
      </c>
      <c r="E32" s="16">
        <v>21.6</v>
      </c>
      <c r="F32" s="16">
        <v>17.32</v>
      </c>
      <c r="G32" s="22">
        <v>0.13</v>
      </c>
      <c r="K32" s="17"/>
      <c r="L32" s="17"/>
      <c r="M32" s="17"/>
    </row>
    <row r="33" spans="1:13" x14ac:dyDescent="0.35">
      <c r="A33" s="3" t="s">
        <v>129</v>
      </c>
      <c r="B33" s="13" t="s">
        <v>130</v>
      </c>
      <c r="C33" s="13" t="s">
        <v>78</v>
      </c>
      <c r="D33" s="16">
        <v>68.27</v>
      </c>
      <c r="E33" s="16">
        <v>28.41</v>
      </c>
      <c r="F33" s="16">
        <v>3.32</v>
      </c>
      <c r="G33" s="22">
        <v>0.08</v>
      </c>
      <c r="K33" s="17"/>
      <c r="L33" s="17"/>
      <c r="M33" s="17"/>
    </row>
    <row r="34" spans="1:13" x14ac:dyDescent="0.35">
      <c r="A34" s="3" t="s">
        <v>131</v>
      </c>
      <c r="B34" s="13" t="s">
        <v>132</v>
      </c>
      <c r="C34" s="13" t="s">
        <v>78</v>
      </c>
      <c r="D34" s="16">
        <v>50.95</v>
      </c>
      <c r="E34" s="16">
        <v>32.75</v>
      </c>
      <c r="F34" s="16">
        <v>16.3</v>
      </c>
      <c r="G34" s="22">
        <v>0.47</v>
      </c>
      <c r="K34" s="17"/>
      <c r="L34" s="17"/>
      <c r="M34" s="17"/>
    </row>
    <row r="35" spans="1:13" x14ac:dyDescent="0.35">
      <c r="A35" s="3" t="s">
        <v>133</v>
      </c>
      <c r="B35" s="13" t="s">
        <v>134</v>
      </c>
      <c r="C35" s="13" t="s">
        <v>78</v>
      </c>
      <c r="D35" s="16">
        <v>58.45</v>
      </c>
      <c r="E35" s="16">
        <v>27.43</v>
      </c>
      <c r="F35" s="16">
        <v>14.13</v>
      </c>
      <c r="G35" s="22">
        <v>0.91</v>
      </c>
      <c r="K35" s="17"/>
      <c r="L35" s="17"/>
      <c r="M35" s="17"/>
    </row>
    <row r="36" spans="1:13" x14ac:dyDescent="0.35">
      <c r="A36" s="3" t="s">
        <v>135</v>
      </c>
      <c r="B36" s="13" t="s">
        <v>136</v>
      </c>
      <c r="C36" s="13" t="s">
        <v>78</v>
      </c>
      <c r="D36" s="16">
        <v>44.91</v>
      </c>
      <c r="E36" s="16">
        <v>27.58</v>
      </c>
      <c r="F36" s="16">
        <v>27.52</v>
      </c>
      <c r="G36" s="22">
        <v>0.2</v>
      </c>
      <c r="K36" s="17"/>
      <c r="L36" s="17"/>
      <c r="M36" s="17"/>
    </row>
    <row r="37" spans="1:13" x14ac:dyDescent="0.35">
      <c r="A37" s="3" t="s">
        <v>137</v>
      </c>
      <c r="B37" s="13" t="s">
        <v>138</v>
      </c>
      <c r="C37" s="13" t="s">
        <v>78</v>
      </c>
      <c r="D37" s="16">
        <v>69.819999999999993</v>
      </c>
      <c r="E37" s="16">
        <v>24.26</v>
      </c>
      <c r="F37" s="16">
        <v>5.91</v>
      </c>
      <c r="G37" s="22">
        <v>2.91</v>
      </c>
      <c r="K37" s="17"/>
      <c r="L37" s="17"/>
      <c r="M37" s="17"/>
    </row>
    <row r="38" spans="1:13" x14ac:dyDescent="0.35">
      <c r="A38" s="3" t="s">
        <v>139</v>
      </c>
      <c r="B38" s="13" t="s">
        <v>140</v>
      </c>
      <c r="C38" s="13" t="s">
        <v>78</v>
      </c>
      <c r="D38" s="16">
        <v>62.56</v>
      </c>
      <c r="E38" s="16">
        <v>23.99</v>
      </c>
      <c r="F38" s="16">
        <v>13.45</v>
      </c>
      <c r="G38" s="22">
        <v>2.0299999999999998</v>
      </c>
      <c r="K38" s="17"/>
      <c r="L38" s="17"/>
      <c r="M38" s="17"/>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
  <sheetViews>
    <sheetView workbookViewId="0"/>
  </sheetViews>
  <sheetFormatPr defaultColWidth="11.53515625" defaultRowHeight="15.5" x14ac:dyDescent="0.35"/>
  <cols>
    <col min="1" max="1" width="22.69140625" customWidth="1"/>
    <col min="2" max="8" width="13.69140625" customWidth="1"/>
  </cols>
  <sheetData>
    <row r="1" spans="1:9" ht="20" x14ac:dyDescent="0.4">
      <c r="A1" s="1" t="s">
        <v>300</v>
      </c>
    </row>
    <row r="2" spans="1:9" x14ac:dyDescent="0.35">
      <c r="A2" t="s">
        <v>46</v>
      </c>
    </row>
    <row r="3" spans="1:9" s="7" customFormat="1" x14ac:dyDescent="0.35">
      <c r="A3" s="31" t="str">
        <f>HYPERLINK("#'Table of Contents'!A1", "Back to contents")</f>
        <v>Back to contents</v>
      </c>
    </row>
    <row r="4" spans="1:9" ht="93" x14ac:dyDescent="0.35">
      <c r="A4" s="11" t="s">
        <v>184</v>
      </c>
      <c r="B4" s="12" t="s">
        <v>152</v>
      </c>
      <c r="C4" s="12" t="s">
        <v>153</v>
      </c>
      <c r="D4" s="12" t="s">
        <v>185</v>
      </c>
      <c r="E4" s="12" t="s">
        <v>155</v>
      </c>
      <c r="F4" s="12" t="s">
        <v>156</v>
      </c>
      <c r="G4" s="12" t="s">
        <v>186</v>
      </c>
      <c r="H4" s="12" t="s">
        <v>187</v>
      </c>
    </row>
    <row r="5" spans="1:9" x14ac:dyDescent="0.35">
      <c r="A5" s="3" t="s">
        <v>188</v>
      </c>
      <c r="B5" s="16">
        <v>96.3</v>
      </c>
      <c r="C5" s="16">
        <v>2.5</v>
      </c>
      <c r="D5" s="16">
        <v>1.3</v>
      </c>
      <c r="E5" s="16">
        <v>1.2</v>
      </c>
      <c r="F5" s="16">
        <v>0.3</v>
      </c>
      <c r="G5" s="16">
        <v>4.7</v>
      </c>
      <c r="H5" s="16">
        <v>34.200000000000003</v>
      </c>
      <c r="I5" s="17"/>
    </row>
    <row r="6" spans="1:9" x14ac:dyDescent="0.35">
      <c r="A6" s="3" t="s">
        <v>189</v>
      </c>
      <c r="B6" s="16">
        <v>97.9</v>
      </c>
      <c r="C6" s="16">
        <v>1</v>
      </c>
      <c r="D6" s="16">
        <v>0.5</v>
      </c>
      <c r="E6" s="16">
        <v>0.5</v>
      </c>
      <c r="F6" s="16">
        <v>0.2</v>
      </c>
      <c r="G6" s="16">
        <v>0.8</v>
      </c>
      <c r="H6" s="16">
        <v>14.6</v>
      </c>
    </row>
    <row r="7" spans="1:9" x14ac:dyDescent="0.35">
      <c r="A7" s="3" t="s">
        <v>190</v>
      </c>
      <c r="B7" s="16">
        <v>97.5</v>
      </c>
      <c r="C7" s="16">
        <v>1.3</v>
      </c>
      <c r="D7" s="16">
        <v>0.6</v>
      </c>
      <c r="E7" s="16">
        <v>0.7</v>
      </c>
      <c r="F7" s="16">
        <v>0.2</v>
      </c>
      <c r="G7" s="16">
        <v>0.8</v>
      </c>
      <c r="H7" s="16">
        <v>18.5</v>
      </c>
    </row>
    <row r="8" spans="1:9" x14ac:dyDescent="0.35">
      <c r="A8" s="3" t="s">
        <v>191</v>
      </c>
      <c r="B8" s="16">
        <v>93.7</v>
      </c>
      <c r="C8" s="16">
        <v>4.8</v>
      </c>
      <c r="D8" s="16">
        <v>1.6</v>
      </c>
      <c r="E8" s="16">
        <v>3.1</v>
      </c>
      <c r="F8" s="16">
        <v>1.5</v>
      </c>
      <c r="G8" s="16">
        <v>2.5</v>
      </c>
      <c r="H8" s="16">
        <v>43.6</v>
      </c>
    </row>
    <row r="9" spans="1:9" x14ac:dyDescent="0.35">
      <c r="A9" s="3" t="s">
        <v>192</v>
      </c>
      <c r="B9" s="16">
        <v>97</v>
      </c>
      <c r="C9" s="16">
        <v>1.3</v>
      </c>
      <c r="D9" s="16">
        <v>0.6</v>
      </c>
      <c r="E9" s="16">
        <v>0.7</v>
      </c>
      <c r="F9" s="16">
        <v>0.5</v>
      </c>
      <c r="G9" s="16">
        <v>0.4</v>
      </c>
      <c r="H9" s="16">
        <v>11.8</v>
      </c>
    </row>
    <row r="10" spans="1:9" x14ac:dyDescent="0.35">
      <c r="A10" s="3" t="s">
        <v>193</v>
      </c>
      <c r="B10" s="16">
        <v>88.9</v>
      </c>
      <c r="C10" s="16">
        <v>5.8</v>
      </c>
      <c r="D10" s="16">
        <v>2.1</v>
      </c>
      <c r="E10" s="16">
        <v>3.8</v>
      </c>
      <c r="F10" s="16">
        <v>5.3</v>
      </c>
      <c r="G10" s="16">
        <v>1.1000000000000001</v>
      </c>
      <c r="H10" s="16">
        <v>31.8</v>
      </c>
    </row>
    <row r="11" spans="1:9" ht="25" customHeight="1" x14ac:dyDescent="0.35">
      <c r="A11" s="18" t="s">
        <v>73</v>
      </c>
      <c r="B11" s="21">
        <v>97</v>
      </c>
      <c r="C11" s="21">
        <v>1.7</v>
      </c>
      <c r="D11" s="21">
        <v>0.8</v>
      </c>
      <c r="E11" s="21">
        <v>0.9</v>
      </c>
      <c r="F11" s="21">
        <v>0.4</v>
      </c>
      <c r="G11" s="21">
        <v>1.7</v>
      </c>
      <c r="H11" s="21">
        <v>20</v>
      </c>
    </row>
    <row r="12" spans="1:9" x14ac:dyDescent="0.35">
      <c r="B12" s="17"/>
      <c r="C12" s="17"/>
      <c r="D12" s="17"/>
      <c r="E12" s="17"/>
      <c r="F12" s="17"/>
      <c r="G12" s="17"/>
      <c r="H12" s="17"/>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workbookViewId="0"/>
  </sheetViews>
  <sheetFormatPr defaultColWidth="11.53515625" defaultRowHeight="15.5" x14ac:dyDescent="0.35"/>
  <cols>
    <col min="1" max="1" width="21" customWidth="1"/>
    <col min="2" max="2" width="10.69140625" customWidth="1"/>
    <col min="3" max="3" width="11" customWidth="1"/>
    <col min="4" max="6" width="10.69140625" customWidth="1"/>
  </cols>
  <sheetData>
    <row r="1" spans="1:6" ht="20" x14ac:dyDescent="0.4">
      <c r="A1" s="1" t="s">
        <v>285</v>
      </c>
    </row>
    <row r="2" spans="1:6" x14ac:dyDescent="0.35">
      <c r="A2" t="s">
        <v>46</v>
      </c>
    </row>
    <row r="3" spans="1:6" x14ac:dyDescent="0.35">
      <c r="A3" s="33" t="s">
        <v>284</v>
      </c>
    </row>
    <row r="4" spans="1:6" s="7" customFormat="1" x14ac:dyDescent="0.35">
      <c r="A4" s="31" t="str">
        <f>HYPERLINK("#'Table of Contents'!A1", "Back to contents")</f>
        <v>Back to contents</v>
      </c>
    </row>
    <row r="5" spans="1:6" ht="46.5" x14ac:dyDescent="0.35">
      <c r="A5" s="36" t="s">
        <v>194</v>
      </c>
      <c r="B5" s="12" t="s">
        <v>180</v>
      </c>
      <c r="C5" s="12" t="s">
        <v>181</v>
      </c>
      <c r="D5" s="12" t="s">
        <v>182</v>
      </c>
      <c r="E5" s="12" t="s">
        <v>183</v>
      </c>
    </row>
    <row r="6" spans="1:6" x14ac:dyDescent="0.35">
      <c r="A6" s="37" t="s">
        <v>188</v>
      </c>
      <c r="B6" s="16">
        <v>59.18</v>
      </c>
      <c r="C6" s="16">
        <v>27.76</v>
      </c>
      <c r="D6" s="16">
        <v>13.07</v>
      </c>
      <c r="E6" s="22">
        <v>10.81</v>
      </c>
    </row>
    <row r="7" spans="1:6" x14ac:dyDescent="0.35">
      <c r="A7" s="37" t="s">
        <v>189</v>
      </c>
      <c r="B7" s="16">
        <v>62.18</v>
      </c>
      <c r="C7" s="16">
        <v>25.75</v>
      </c>
      <c r="D7" s="16">
        <v>12.07</v>
      </c>
      <c r="E7" s="22">
        <v>4.1100000000000003</v>
      </c>
    </row>
    <row r="8" spans="1:6" x14ac:dyDescent="0.35">
      <c r="A8" s="37" t="s">
        <v>190</v>
      </c>
      <c r="B8" s="16">
        <v>56.38</v>
      </c>
      <c r="C8" s="16">
        <v>28.08</v>
      </c>
      <c r="D8" s="16">
        <v>15.54</v>
      </c>
      <c r="E8" s="22">
        <v>1.7</v>
      </c>
    </row>
    <row r="9" spans="1:6" x14ac:dyDescent="0.35">
      <c r="A9" s="37" t="s">
        <v>191</v>
      </c>
      <c r="B9" s="16">
        <v>73.5</v>
      </c>
      <c r="C9" s="16">
        <v>22.07</v>
      </c>
      <c r="D9" s="16">
        <v>4.43</v>
      </c>
      <c r="E9" s="22">
        <v>4.47</v>
      </c>
    </row>
    <row r="10" spans="1:6" x14ac:dyDescent="0.35">
      <c r="A10" s="37" t="s">
        <v>192</v>
      </c>
      <c r="B10" s="16">
        <v>43.56</v>
      </c>
      <c r="C10" s="16">
        <v>32.24</v>
      </c>
      <c r="D10" s="16">
        <v>24.21</v>
      </c>
      <c r="E10" s="22">
        <v>0.12</v>
      </c>
    </row>
    <row r="11" spans="1:6" x14ac:dyDescent="0.35">
      <c r="A11" s="37" t="s">
        <v>193</v>
      </c>
      <c r="B11" s="16">
        <v>56.52</v>
      </c>
      <c r="C11" s="16">
        <v>31.27</v>
      </c>
      <c r="D11" s="16">
        <v>12.21</v>
      </c>
      <c r="E11" s="22">
        <v>0.03</v>
      </c>
    </row>
    <row r="12" spans="1:6" x14ac:dyDescent="0.35">
      <c r="A12" s="38" t="s">
        <v>73</v>
      </c>
      <c r="B12" s="35">
        <v>58.2</v>
      </c>
      <c r="C12" s="35">
        <v>27.75</v>
      </c>
      <c r="D12" s="35">
        <v>14.04</v>
      </c>
      <c r="E12" s="92">
        <v>0.35</v>
      </c>
    </row>
    <row r="13" spans="1:6" x14ac:dyDescent="0.35">
      <c r="B13" s="15"/>
      <c r="C13" s="17"/>
      <c r="D13" s="17"/>
      <c r="E13" s="17"/>
      <c r="F13" s="17"/>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6"/>
  <sheetViews>
    <sheetView workbookViewId="0"/>
  </sheetViews>
  <sheetFormatPr defaultColWidth="11.53515625" defaultRowHeight="15.5" x14ac:dyDescent="0.35"/>
  <cols>
    <col min="1" max="1" width="19.69140625" customWidth="1"/>
    <col min="2" max="8" width="13.69140625" customWidth="1"/>
  </cols>
  <sheetData>
    <row r="1" spans="1:8" ht="20" x14ac:dyDescent="0.4">
      <c r="A1" s="1" t="s">
        <v>315</v>
      </c>
    </row>
    <row r="2" spans="1:8" x14ac:dyDescent="0.35">
      <c r="A2" t="s">
        <v>16</v>
      </c>
    </row>
    <row r="3" spans="1:8" s="7" customFormat="1" x14ac:dyDescent="0.35">
      <c r="A3" s="31" t="str">
        <f>HYPERLINK("#'Table of Contents'!A1", "Back to contents")</f>
        <v>Back to contents</v>
      </c>
    </row>
    <row r="4" spans="1:8" ht="93" x14ac:dyDescent="0.35">
      <c r="A4" s="11" t="s">
        <v>195</v>
      </c>
      <c r="B4" s="12" t="s">
        <v>152</v>
      </c>
      <c r="C4" s="12" t="s">
        <v>153</v>
      </c>
      <c r="D4" s="12" t="s">
        <v>185</v>
      </c>
      <c r="E4" s="12" t="s">
        <v>155</v>
      </c>
      <c r="F4" s="12" t="s">
        <v>156</v>
      </c>
      <c r="G4" s="12" t="s">
        <v>186</v>
      </c>
      <c r="H4" s="12" t="s">
        <v>187</v>
      </c>
    </row>
    <row r="5" spans="1:8" x14ac:dyDescent="0.35">
      <c r="A5" s="3" t="s">
        <v>196</v>
      </c>
      <c r="B5" s="16">
        <v>96.4</v>
      </c>
      <c r="C5" s="16">
        <v>3.5</v>
      </c>
      <c r="D5" s="16">
        <v>2.2000000000000002</v>
      </c>
      <c r="E5" s="16">
        <v>1.3</v>
      </c>
      <c r="F5" s="16">
        <v>0.1</v>
      </c>
      <c r="G5" s="16">
        <v>3.3</v>
      </c>
      <c r="H5" s="16">
        <v>51.5</v>
      </c>
    </row>
    <row r="6" spans="1:8" x14ac:dyDescent="0.35">
      <c r="A6" s="3" t="s">
        <v>197</v>
      </c>
      <c r="B6" s="16">
        <v>96.2</v>
      </c>
      <c r="C6" s="16">
        <v>3.5</v>
      </c>
      <c r="D6" s="16">
        <v>1.9</v>
      </c>
      <c r="E6" s="16">
        <v>1.6</v>
      </c>
      <c r="F6" s="16">
        <v>0.3</v>
      </c>
      <c r="G6" s="16">
        <v>3.5</v>
      </c>
      <c r="H6" s="16">
        <v>47.2</v>
      </c>
    </row>
    <row r="7" spans="1:8" x14ac:dyDescent="0.35">
      <c r="A7" s="3" t="s">
        <v>198</v>
      </c>
      <c r="B7" s="16">
        <v>96.6</v>
      </c>
      <c r="C7" s="16">
        <v>3.2</v>
      </c>
      <c r="D7" s="16">
        <v>1.7</v>
      </c>
      <c r="E7" s="16">
        <v>1.5</v>
      </c>
      <c r="F7" s="16">
        <v>0.2</v>
      </c>
      <c r="G7" s="16">
        <v>3.1</v>
      </c>
      <c r="H7" s="16">
        <v>45.3</v>
      </c>
    </row>
    <row r="8" spans="1:8" x14ac:dyDescent="0.35">
      <c r="A8" s="3" t="s">
        <v>199</v>
      </c>
      <c r="B8" s="16">
        <v>96</v>
      </c>
      <c r="C8" s="16">
        <v>3.4</v>
      </c>
      <c r="D8" s="16">
        <v>1.7</v>
      </c>
      <c r="E8" s="16">
        <v>1.8</v>
      </c>
      <c r="F8" s="16">
        <v>0.6</v>
      </c>
      <c r="G8" s="16">
        <v>3.7</v>
      </c>
      <c r="H8" s="16">
        <v>42.2</v>
      </c>
    </row>
    <row r="9" spans="1:8" x14ac:dyDescent="0.35">
      <c r="A9" s="3" t="s">
        <v>200</v>
      </c>
      <c r="B9" s="16">
        <v>94.8</v>
      </c>
      <c r="C9" s="16">
        <v>3.7</v>
      </c>
      <c r="D9" s="16">
        <v>1.8</v>
      </c>
      <c r="E9" s="16">
        <v>2</v>
      </c>
      <c r="F9" s="16">
        <v>1.5</v>
      </c>
      <c r="G9" s="16">
        <v>2.8</v>
      </c>
      <c r="H9" s="16">
        <v>39.1</v>
      </c>
    </row>
    <row r="10" spans="1:8" x14ac:dyDescent="0.35">
      <c r="A10" s="3" t="s">
        <v>201</v>
      </c>
      <c r="B10" s="16">
        <v>94.5</v>
      </c>
      <c r="C10" s="16">
        <v>3.9</v>
      </c>
      <c r="D10" s="16">
        <v>1.7</v>
      </c>
      <c r="E10" s="16">
        <v>2.2999999999999998</v>
      </c>
      <c r="F10" s="16">
        <v>1.6</v>
      </c>
      <c r="G10" s="16">
        <v>4.3</v>
      </c>
      <c r="H10" s="16">
        <v>35.200000000000003</v>
      </c>
    </row>
    <row r="11" spans="1:8" x14ac:dyDescent="0.35">
      <c r="A11" s="3" t="s">
        <v>202</v>
      </c>
      <c r="B11" s="16">
        <v>95.2</v>
      </c>
      <c r="C11" s="16">
        <v>3.4</v>
      </c>
      <c r="D11" s="16">
        <v>1.6</v>
      </c>
      <c r="E11" s="16">
        <v>1.8</v>
      </c>
      <c r="F11" s="16">
        <v>1.4</v>
      </c>
      <c r="G11" s="16">
        <v>2.6</v>
      </c>
      <c r="H11" s="16">
        <v>34.1</v>
      </c>
    </row>
    <row r="12" spans="1:8" x14ac:dyDescent="0.35">
      <c r="A12" s="3" t="s">
        <v>203</v>
      </c>
      <c r="B12" s="16">
        <v>96.4</v>
      </c>
      <c r="C12" s="16">
        <v>2.8</v>
      </c>
      <c r="D12" s="16">
        <v>1.4</v>
      </c>
      <c r="E12" s="16">
        <v>1.4</v>
      </c>
      <c r="F12" s="16">
        <v>0.8</v>
      </c>
      <c r="G12" s="16">
        <v>2.5</v>
      </c>
      <c r="H12" s="16">
        <v>31.6</v>
      </c>
    </row>
    <row r="13" spans="1:8" x14ac:dyDescent="0.35">
      <c r="A13" s="3" t="s">
        <v>204</v>
      </c>
      <c r="B13" s="16">
        <v>97.2</v>
      </c>
      <c r="C13" s="16">
        <v>2.2999999999999998</v>
      </c>
      <c r="D13" s="16">
        <v>1.2</v>
      </c>
      <c r="E13" s="16">
        <v>1.1000000000000001</v>
      </c>
      <c r="F13" s="16">
        <v>0.5</v>
      </c>
      <c r="G13" s="16">
        <v>3.3</v>
      </c>
      <c r="H13" s="16">
        <v>29.9</v>
      </c>
    </row>
    <row r="14" spans="1:8" x14ac:dyDescent="0.35">
      <c r="A14" s="3" t="s">
        <v>205</v>
      </c>
      <c r="B14" s="16">
        <v>96.9</v>
      </c>
      <c r="C14" s="16">
        <v>2.4</v>
      </c>
      <c r="D14" s="16">
        <v>1.2</v>
      </c>
      <c r="E14" s="16">
        <v>1.2</v>
      </c>
      <c r="F14" s="16">
        <v>0.7</v>
      </c>
      <c r="G14" s="16">
        <v>3.5</v>
      </c>
      <c r="H14" s="16">
        <v>29.2</v>
      </c>
    </row>
    <row r="15" spans="1:8" ht="25" customHeight="1" x14ac:dyDescent="0.35">
      <c r="A15" s="18" t="s">
        <v>73</v>
      </c>
      <c r="B15" s="21">
        <v>96</v>
      </c>
      <c r="C15" s="21">
        <v>3.2</v>
      </c>
      <c r="D15" s="21">
        <v>1.6</v>
      </c>
      <c r="E15" s="21">
        <v>1.6</v>
      </c>
      <c r="F15" s="21">
        <v>0.8</v>
      </c>
      <c r="G15" s="21">
        <v>3.3</v>
      </c>
      <c r="H15" s="21">
        <v>38.700000000000003</v>
      </c>
    </row>
    <row r="16" spans="1:8" x14ac:dyDescent="0.35">
      <c r="B16" s="17"/>
      <c r="C16" s="17"/>
      <c r="D16" s="17"/>
      <c r="E16" s="17"/>
      <c r="F16" s="17"/>
      <c r="G16" s="17"/>
      <c r="H16" s="17"/>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7"/>
  <sheetViews>
    <sheetView workbookViewId="0"/>
  </sheetViews>
  <sheetFormatPr defaultColWidth="11.53515625" defaultRowHeight="15.5" x14ac:dyDescent="0.35"/>
  <cols>
    <col min="1" max="1" width="19.69140625" customWidth="1"/>
    <col min="2" max="4" width="13.69140625" customWidth="1"/>
    <col min="5" max="5" width="10.69140625" customWidth="1"/>
  </cols>
  <sheetData>
    <row r="1" spans="1:5" ht="20" x14ac:dyDescent="0.4">
      <c r="A1" s="1" t="s">
        <v>314</v>
      </c>
    </row>
    <row r="2" spans="1:5" x14ac:dyDescent="0.35">
      <c r="A2" t="s">
        <v>16</v>
      </c>
    </row>
    <row r="3" spans="1:5" x14ac:dyDescent="0.35">
      <c r="A3" s="33" t="s">
        <v>210</v>
      </c>
    </row>
    <row r="4" spans="1:5" s="7" customFormat="1" x14ac:dyDescent="0.35">
      <c r="A4" s="31" t="str">
        <f>HYPERLINK("#'Table of Contents'!A1", "Back to contents")</f>
        <v>Back to contents</v>
      </c>
    </row>
    <row r="5" spans="1:5" ht="46.5" x14ac:dyDescent="0.35">
      <c r="A5" s="11" t="s">
        <v>195</v>
      </c>
      <c r="B5" s="12" t="s">
        <v>180</v>
      </c>
      <c r="C5" s="12" t="s">
        <v>181</v>
      </c>
      <c r="D5" s="12" t="s">
        <v>182</v>
      </c>
      <c r="E5" s="12" t="s">
        <v>183</v>
      </c>
    </row>
    <row r="6" spans="1:5" x14ac:dyDescent="0.35">
      <c r="A6" s="3" t="s">
        <v>196</v>
      </c>
      <c r="B6" s="16">
        <v>93.8</v>
      </c>
      <c r="C6" s="16">
        <v>5.8</v>
      </c>
      <c r="D6" s="16">
        <v>0.4</v>
      </c>
      <c r="E6" s="22">
        <v>19.510000000000002</v>
      </c>
    </row>
    <row r="7" spans="1:5" x14ac:dyDescent="0.35">
      <c r="A7" s="3" t="s">
        <v>197</v>
      </c>
      <c r="B7" s="16">
        <v>88.9</v>
      </c>
      <c r="C7" s="16">
        <v>9.6999999999999993</v>
      </c>
      <c r="D7" s="16">
        <v>1.4</v>
      </c>
      <c r="E7" s="22">
        <v>8.32</v>
      </c>
    </row>
    <row r="8" spans="1:5" x14ac:dyDescent="0.35">
      <c r="A8" s="3" t="s">
        <v>198</v>
      </c>
      <c r="B8" s="16">
        <v>84.8</v>
      </c>
      <c r="C8" s="16">
        <v>13.1</v>
      </c>
      <c r="D8" s="16">
        <v>2.1</v>
      </c>
      <c r="E8" s="22">
        <v>2.38</v>
      </c>
    </row>
    <row r="9" spans="1:5" x14ac:dyDescent="0.35">
      <c r="A9" s="3" t="s">
        <v>199</v>
      </c>
      <c r="B9" s="16">
        <v>76.599999999999994</v>
      </c>
      <c r="C9" s="16">
        <v>18.600000000000001</v>
      </c>
      <c r="D9" s="16">
        <v>4.8</v>
      </c>
      <c r="E9" s="22">
        <v>0.44</v>
      </c>
    </row>
    <row r="10" spans="1:5" x14ac:dyDescent="0.35">
      <c r="A10" s="3" t="s">
        <v>200</v>
      </c>
      <c r="B10" s="16">
        <v>66.900000000000006</v>
      </c>
      <c r="C10" s="16">
        <v>25.3</v>
      </c>
      <c r="D10" s="16">
        <v>7.9</v>
      </c>
      <c r="E10" s="22">
        <v>0.16</v>
      </c>
    </row>
    <row r="11" spans="1:5" x14ac:dyDescent="0.35">
      <c r="A11" s="3" t="s">
        <v>201</v>
      </c>
      <c r="B11" s="16">
        <v>55.2</v>
      </c>
      <c r="C11" s="16">
        <v>32.1</v>
      </c>
      <c r="D11" s="16">
        <v>12.7</v>
      </c>
      <c r="E11" s="22">
        <v>0.1</v>
      </c>
    </row>
    <row r="12" spans="1:5" x14ac:dyDescent="0.35">
      <c r="A12" s="3" t="s">
        <v>202</v>
      </c>
      <c r="B12" s="16">
        <v>43.5</v>
      </c>
      <c r="C12" s="16">
        <v>38.799999999999997</v>
      </c>
      <c r="D12" s="16">
        <v>17.7</v>
      </c>
      <c r="E12" s="22">
        <v>0.18</v>
      </c>
    </row>
    <row r="13" spans="1:5" x14ac:dyDescent="0.35">
      <c r="A13" s="3" t="s">
        <v>203</v>
      </c>
      <c r="B13" s="16">
        <v>30.8</v>
      </c>
      <c r="C13" s="16">
        <v>44.3</v>
      </c>
      <c r="D13" s="16">
        <v>24.8</v>
      </c>
      <c r="E13" s="22">
        <v>0.42</v>
      </c>
    </row>
    <row r="14" spans="1:5" x14ac:dyDescent="0.35">
      <c r="A14" s="3" t="s">
        <v>204</v>
      </c>
      <c r="B14" s="16">
        <v>20.5</v>
      </c>
      <c r="C14" s="16">
        <v>49</v>
      </c>
      <c r="D14" s="16">
        <v>30.4</v>
      </c>
      <c r="E14" s="22">
        <v>0.95</v>
      </c>
    </row>
    <row r="15" spans="1:5" x14ac:dyDescent="0.35">
      <c r="A15" s="3" t="s">
        <v>205</v>
      </c>
      <c r="B15" s="16">
        <v>12.1</v>
      </c>
      <c r="C15" s="16">
        <v>44.7</v>
      </c>
      <c r="D15" s="16">
        <v>43.2</v>
      </c>
      <c r="E15" s="22">
        <v>7.44</v>
      </c>
    </row>
    <row r="16" spans="1:5" ht="25" customHeight="1" x14ac:dyDescent="0.35">
      <c r="A16" s="18" t="s">
        <v>73</v>
      </c>
      <c r="B16" s="21">
        <v>58.2</v>
      </c>
      <c r="C16" s="21">
        <v>27.8</v>
      </c>
      <c r="D16" s="21">
        <v>14</v>
      </c>
      <c r="E16" s="24">
        <v>0.35</v>
      </c>
    </row>
    <row r="17" spans="2:5" x14ac:dyDescent="0.35">
      <c r="B17" s="17"/>
      <c r="C17" s="17"/>
      <c r="D17" s="17"/>
      <c r="E17" s="23"/>
    </row>
  </sheetData>
  <phoneticPr fontId="13" type="noConversion"/>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94FD-F886-4403-BDD0-241217BCE27E}">
  <dimension ref="A1:A2"/>
  <sheetViews>
    <sheetView workbookViewId="0"/>
  </sheetViews>
  <sheetFormatPr defaultColWidth="9.23046875" defaultRowHeight="15.5" x14ac:dyDescent="0.35"/>
  <cols>
    <col min="1" max="16384" width="9.23046875" style="44"/>
  </cols>
  <sheetData>
    <row r="1" spans="1:1" ht="20" x14ac:dyDescent="0.4">
      <c r="A1" s="66" t="s">
        <v>329</v>
      </c>
    </row>
    <row r="2" spans="1:1" x14ac:dyDescent="0.35">
      <c r="A2" s="45" t="str">
        <f>HYPERLINK("#'Table of contents'!A1", "Back to contents")</f>
        <v>Back to contents</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B6F8D-5652-4AE2-863C-260177F2C3B5}">
  <dimension ref="A1:T27"/>
  <sheetViews>
    <sheetView workbookViewId="0"/>
  </sheetViews>
  <sheetFormatPr defaultColWidth="8.84375" defaultRowHeight="15.5" x14ac:dyDescent="0.35"/>
  <cols>
    <col min="1" max="1" width="9.69140625" style="47" customWidth="1"/>
    <col min="2" max="2" width="12.765625" style="47" customWidth="1"/>
    <col min="3" max="4" width="8.84375" style="47"/>
    <col min="5" max="5" width="11.69140625" style="47" bestFit="1" customWidth="1"/>
    <col min="6" max="24" width="9.3046875" style="47" bestFit="1" customWidth="1"/>
    <col min="25" max="16384" width="8.84375" style="47"/>
  </cols>
  <sheetData>
    <row r="1" spans="1:20" ht="20" x14ac:dyDescent="0.4">
      <c r="A1" s="46" t="s">
        <v>330</v>
      </c>
    </row>
    <row r="2" spans="1:20" x14ac:dyDescent="0.35">
      <c r="A2" s="48" t="s">
        <v>16</v>
      </c>
    </row>
    <row r="3" spans="1:20" ht="18.75" customHeight="1" x14ac:dyDescent="0.35">
      <c r="A3" s="45" t="str">
        <f>HYPERLINK("#'Table of contents'!A1", "Back to contents")</f>
        <v>Back to contents</v>
      </c>
    </row>
    <row r="4" spans="1:20" ht="31" x14ac:dyDescent="0.35">
      <c r="A4" s="49" t="s">
        <v>207</v>
      </c>
      <c r="B4" s="50" t="s">
        <v>211</v>
      </c>
      <c r="D4" s="51"/>
      <c r="E4" s="51"/>
      <c r="F4" s="51"/>
      <c r="G4" s="51"/>
      <c r="H4" s="51"/>
      <c r="I4" s="51"/>
      <c r="J4" s="51"/>
      <c r="K4" s="51"/>
      <c r="L4" s="51"/>
      <c r="M4" s="51"/>
      <c r="N4" s="51"/>
      <c r="O4" s="51"/>
      <c r="P4" s="51"/>
      <c r="Q4" s="51"/>
      <c r="R4" s="51"/>
      <c r="S4" s="51"/>
      <c r="T4" s="100"/>
    </row>
    <row r="5" spans="1:20" x14ac:dyDescent="0.35">
      <c r="A5" s="51">
        <v>2005</v>
      </c>
      <c r="B5" s="106">
        <v>0</v>
      </c>
      <c r="D5" s="20"/>
      <c r="E5" s="20"/>
      <c r="F5" s="20"/>
      <c r="G5" s="20"/>
      <c r="H5" s="20"/>
      <c r="I5" s="20"/>
      <c r="J5" s="20"/>
      <c r="K5" s="20"/>
      <c r="L5" s="20"/>
      <c r="M5" s="20"/>
      <c r="N5" s="20"/>
      <c r="O5" s="20"/>
      <c r="P5" s="20"/>
      <c r="Q5" s="20"/>
      <c r="R5" s="20"/>
      <c r="S5" s="20"/>
      <c r="T5" s="20"/>
    </row>
    <row r="6" spans="1:20" x14ac:dyDescent="0.35">
      <c r="A6" s="51">
        <v>2006</v>
      </c>
      <c r="B6" s="52">
        <v>0.92</v>
      </c>
      <c r="E6" s="52"/>
      <c r="F6" s="20"/>
      <c r="G6" s="52"/>
      <c r="H6" s="52"/>
      <c r="I6" s="52"/>
      <c r="J6" s="52"/>
      <c r="K6" s="52"/>
      <c r="L6" s="52"/>
      <c r="M6" s="52"/>
      <c r="N6" s="52"/>
      <c r="O6" s="52"/>
      <c r="P6" s="52"/>
      <c r="Q6" s="52"/>
      <c r="R6" s="52"/>
      <c r="S6" s="52"/>
      <c r="T6" s="52"/>
    </row>
    <row r="7" spans="1:20" x14ac:dyDescent="0.35">
      <c r="A7" s="51">
        <v>2007</v>
      </c>
      <c r="B7" s="52">
        <v>1.04</v>
      </c>
      <c r="F7" s="20"/>
      <c r="G7" s="52"/>
      <c r="H7" s="53"/>
    </row>
    <row r="8" spans="1:20" x14ac:dyDescent="0.35">
      <c r="A8" s="51">
        <v>2008</v>
      </c>
      <c r="B8" s="52">
        <v>0.82</v>
      </c>
      <c r="F8" s="20"/>
      <c r="G8" s="52"/>
      <c r="H8" s="53"/>
    </row>
    <row r="9" spans="1:20" x14ac:dyDescent="0.35">
      <c r="A9" s="51">
        <v>2009</v>
      </c>
      <c r="B9" s="107">
        <v>0.59</v>
      </c>
      <c r="F9" s="20"/>
      <c r="G9" s="52"/>
      <c r="H9" s="53"/>
    </row>
    <row r="10" spans="1:20" x14ac:dyDescent="0.35">
      <c r="A10" s="51">
        <v>2010</v>
      </c>
      <c r="B10" s="52">
        <v>0.56000000000000005</v>
      </c>
      <c r="F10" s="20"/>
      <c r="G10" s="52"/>
      <c r="H10" s="53"/>
    </row>
    <row r="11" spans="1:20" x14ac:dyDescent="0.35">
      <c r="A11" s="51">
        <v>2011</v>
      </c>
      <c r="B11" s="52">
        <v>0.49</v>
      </c>
      <c r="F11" s="20"/>
      <c r="G11" s="52"/>
      <c r="H11" s="53"/>
    </row>
    <row r="12" spans="1:20" x14ac:dyDescent="0.35">
      <c r="A12" s="51">
        <v>2012</v>
      </c>
      <c r="B12" s="52">
        <v>0.28000000000000003</v>
      </c>
      <c r="F12" s="20"/>
      <c r="G12" s="52"/>
      <c r="H12" s="53"/>
    </row>
    <row r="13" spans="1:20" x14ac:dyDescent="0.35">
      <c r="A13" s="51">
        <v>2013</v>
      </c>
      <c r="B13" s="52">
        <v>0.44</v>
      </c>
      <c r="F13" s="20"/>
      <c r="G13" s="52"/>
      <c r="H13" s="53"/>
    </row>
    <row r="14" spans="1:20" x14ac:dyDescent="0.35">
      <c r="A14" s="51">
        <v>2014</v>
      </c>
      <c r="B14" s="52">
        <v>0.51</v>
      </c>
      <c r="F14" s="20"/>
      <c r="G14" s="52"/>
      <c r="H14" s="53"/>
    </row>
    <row r="15" spans="1:20" x14ac:dyDescent="0.35">
      <c r="A15" s="51">
        <v>2015</v>
      </c>
      <c r="B15" s="52">
        <v>0.47</v>
      </c>
      <c r="F15" s="20"/>
      <c r="G15" s="52"/>
      <c r="H15" s="53"/>
    </row>
    <row r="16" spans="1:20" x14ac:dyDescent="0.35">
      <c r="A16" s="51">
        <v>2016</v>
      </c>
      <c r="B16" s="52">
        <v>0.56000000000000005</v>
      </c>
      <c r="F16" s="20"/>
      <c r="G16" s="52"/>
      <c r="H16" s="53"/>
    </row>
    <row r="17" spans="1:8" x14ac:dyDescent="0.35">
      <c r="A17" s="51">
        <v>2017</v>
      </c>
      <c r="B17" s="52">
        <v>0.61</v>
      </c>
      <c r="F17" s="20"/>
      <c r="G17" s="52"/>
      <c r="H17" s="53"/>
    </row>
    <row r="18" spans="1:8" x14ac:dyDescent="0.35">
      <c r="A18" s="51">
        <v>2018</v>
      </c>
      <c r="B18" s="52">
        <v>0.52</v>
      </c>
      <c r="F18" s="20"/>
      <c r="G18" s="52"/>
      <c r="H18" s="53"/>
    </row>
    <row r="19" spans="1:8" x14ac:dyDescent="0.35">
      <c r="A19" s="51">
        <v>2019</v>
      </c>
      <c r="B19" s="52">
        <v>0.63</v>
      </c>
      <c r="F19" s="20"/>
      <c r="G19" s="52"/>
      <c r="H19" s="53"/>
    </row>
    <row r="20" spans="1:8" x14ac:dyDescent="0.35">
      <c r="A20" s="51">
        <v>2020</v>
      </c>
      <c r="B20" s="52">
        <v>0.34</v>
      </c>
      <c r="F20" s="20"/>
      <c r="G20" s="52"/>
      <c r="H20" s="53"/>
    </row>
    <row r="21" spans="1:8" x14ac:dyDescent="0.35">
      <c r="A21" s="51">
        <v>2021</v>
      </c>
      <c r="B21" s="52">
        <v>0.66</v>
      </c>
      <c r="F21" s="20"/>
      <c r="G21" s="52"/>
      <c r="H21" s="53"/>
    </row>
    <row r="22" spans="1:8" x14ac:dyDescent="0.35">
      <c r="A22" s="51">
        <v>2022</v>
      </c>
      <c r="B22" s="52">
        <v>0.69</v>
      </c>
      <c r="F22" s="20"/>
      <c r="G22" s="52"/>
      <c r="H22" s="53"/>
    </row>
    <row r="23" spans="1:8" x14ac:dyDescent="0.35">
      <c r="A23" s="51">
        <v>2023</v>
      </c>
      <c r="B23" s="52">
        <v>0.79</v>
      </c>
      <c r="F23" s="20"/>
      <c r="G23" s="52"/>
      <c r="H23" s="53"/>
    </row>
    <row r="24" spans="1:8" x14ac:dyDescent="0.35">
      <c r="A24" s="51">
        <v>2024</v>
      </c>
      <c r="B24" s="52">
        <v>0.67</v>
      </c>
      <c r="F24" s="20"/>
      <c r="G24" s="52"/>
      <c r="H24" s="53"/>
    </row>
    <row r="25" spans="1:8" x14ac:dyDescent="0.35">
      <c r="A25" s="100">
        <v>2025</v>
      </c>
      <c r="B25" s="52">
        <v>0.72</v>
      </c>
      <c r="F25" s="20"/>
      <c r="G25" s="52"/>
      <c r="H25" s="53"/>
    </row>
    <row r="26" spans="1:8" x14ac:dyDescent="0.35">
      <c r="H26" s="53"/>
    </row>
    <row r="27" spans="1:8" x14ac:dyDescent="0.35">
      <c r="H27" s="53"/>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C995-B7D3-4030-8756-86A2791B9D4D}">
  <dimension ref="A1:B2"/>
  <sheetViews>
    <sheetView workbookViewId="0"/>
  </sheetViews>
  <sheetFormatPr defaultRowHeight="15.5" x14ac:dyDescent="0.35"/>
  <sheetData>
    <row r="1" spans="1:2" ht="20" x14ac:dyDescent="0.4">
      <c r="A1" s="54" t="s">
        <v>212</v>
      </c>
    </row>
    <row r="2" spans="1:2" x14ac:dyDescent="0.35">
      <c r="A2" s="56" t="str">
        <f>HYPERLINK("#'Table of Contents'!A1", "Back to contents")</f>
        <v>Back to contents</v>
      </c>
      <c r="B2" s="55"/>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AD3C-27AD-4A5F-94EF-3C471C6A4A1A}">
  <dimension ref="A1:F9"/>
  <sheetViews>
    <sheetView workbookViewId="0"/>
  </sheetViews>
  <sheetFormatPr defaultRowHeight="15.5" x14ac:dyDescent="0.35"/>
  <cols>
    <col min="1" max="1" width="24.84375" customWidth="1"/>
    <col min="2" max="2" width="15.07421875" customWidth="1"/>
    <col min="6" max="6" width="10.84375" customWidth="1"/>
  </cols>
  <sheetData>
    <row r="1" spans="1:6" ht="20" x14ac:dyDescent="0.4">
      <c r="A1" s="54" t="s">
        <v>213</v>
      </c>
      <c r="B1" s="55"/>
    </row>
    <row r="2" spans="1:6" x14ac:dyDescent="0.35">
      <c r="A2" s="55" t="s">
        <v>46</v>
      </c>
      <c r="B2" s="55"/>
    </row>
    <row r="3" spans="1:6" s="47" customFormat="1" x14ac:dyDescent="0.35">
      <c r="A3" s="48" t="s">
        <v>214</v>
      </c>
    </row>
    <row r="4" spans="1:6" x14ac:dyDescent="0.35">
      <c r="A4" s="56" t="str">
        <f>HYPERLINK("#'Table of Contents'!A1", "Back to contents")</f>
        <v>Back to contents</v>
      </c>
      <c r="B4" s="55"/>
    </row>
    <row r="5" spans="1:6" ht="31" x14ac:dyDescent="0.35">
      <c r="A5" s="57" t="s">
        <v>215</v>
      </c>
      <c r="B5" s="58" t="s">
        <v>216</v>
      </c>
      <c r="C5" s="89"/>
      <c r="D5" s="89"/>
    </row>
    <row r="6" spans="1:6" x14ac:dyDescent="0.35">
      <c r="A6" s="108" t="s">
        <v>324</v>
      </c>
      <c r="B6" s="109">
        <f>ROUND((2570799/2274324-1)*100,1)</f>
        <v>13</v>
      </c>
      <c r="C6" s="33"/>
      <c r="F6" s="59"/>
    </row>
    <row r="7" spans="1:6" x14ac:dyDescent="0.35">
      <c r="A7" s="40" t="s">
        <v>325</v>
      </c>
      <c r="B7" s="110">
        <f>ROUND((5545500/5110200-1)*100,1)</f>
        <v>8.5</v>
      </c>
      <c r="D7" s="33"/>
      <c r="F7" s="60"/>
    </row>
    <row r="9" spans="1:6" x14ac:dyDescent="0.35">
      <c r="F9" s="90"/>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F09D-73A6-4325-983D-45C38BB0EBC9}">
  <dimension ref="A1:A2"/>
  <sheetViews>
    <sheetView workbookViewId="0"/>
  </sheetViews>
  <sheetFormatPr defaultColWidth="9.23046875" defaultRowHeight="15.5" x14ac:dyDescent="0.35"/>
  <cols>
    <col min="1" max="16384" width="9.23046875" style="55"/>
  </cols>
  <sheetData>
    <row r="1" spans="1:1" ht="20" x14ac:dyDescent="0.4">
      <c r="A1" s="46" t="s">
        <v>318</v>
      </c>
    </row>
    <row r="2" spans="1:1" x14ac:dyDescent="0.35">
      <c r="A2" s="61" t="s">
        <v>217</v>
      </c>
    </row>
  </sheetData>
  <hyperlinks>
    <hyperlink ref="A2" location="'Table of Contents'!A1" display="Back to contents" xr:uid="{49281109-E064-4BAE-91C2-C1F0A9B965B3}"/>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43A6C-3089-4544-A8D6-DFBBC4FA900B}">
  <dimension ref="A1:O42"/>
  <sheetViews>
    <sheetView workbookViewId="0"/>
  </sheetViews>
  <sheetFormatPr defaultColWidth="8.84375" defaultRowHeight="15.5" x14ac:dyDescent="0.35"/>
  <cols>
    <col min="1" max="1" width="19.69140625" style="47" customWidth="1"/>
    <col min="2" max="2" width="11.84375" style="47" customWidth="1"/>
    <col min="3" max="3" width="12.23046875" style="47" customWidth="1"/>
    <col min="4" max="4" width="8.84375" style="47"/>
    <col min="5" max="5" width="8.84375" style="114"/>
    <col min="6" max="6" width="8.84375" style="47"/>
    <col min="7" max="7" width="16" style="47" customWidth="1"/>
    <col min="8" max="8" width="11.765625" style="47" customWidth="1"/>
    <col min="9" max="9" width="11.84375" style="47" customWidth="1"/>
    <col min="10" max="10" width="8.84375" style="47"/>
    <col min="11" max="11" width="10.84375" style="47" customWidth="1"/>
    <col min="12" max="12" width="11.07421875" style="47" customWidth="1"/>
    <col min="13" max="16384" width="8.84375" style="47"/>
  </cols>
  <sheetData>
    <row r="1" spans="1:15" ht="20" x14ac:dyDescent="0.4">
      <c r="A1" s="46" t="s">
        <v>343</v>
      </c>
    </row>
    <row r="2" spans="1:15" x14ac:dyDescent="0.35">
      <c r="A2" s="47" t="s">
        <v>16</v>
      </c>
    </row>
    <row r="3" spans="1:15" x14ac:dyDescent="0.35">
      <c r="A3" s="47" t="s">
        <v>214</v>
      </c>
    </row>
    <row r="4" spans="1:15" x14ac:dyDescent="0.35">
      <c r="A4" s="111" t="str">
        <f>HYPERLINK("#'Table of contents'!A1", "Back to contents")</f>
        <v>Back to contents</v>
      </c>
    </row>
    <row r="5" spans="1:15" ht="46.5" customHeight="1" x14ac:dyDescent="0.35">
      <c r="A5" s="112" t="s">
        <v>208</v>
      </c>
      <c r="B5" s="113" t="s">
        <v>310</v>
      </c>
      <c r="C5" s="113" t="s">
        <v>317</v>
      </c>
      <c r="E5" s="62" t="s">
        <v>218</v>
      </c>
    </row>
    <row r="6" spans="1:15" x14ac:dyDescent="0.35">
      <c r="A6" s="47" t="s">
        <v>109</v>
      </c>
      <c r="B6" s="29">
        <v>1.8</v>
      </c>
      <c r="C6" s="52">
        <v>-5</v>
      </c>
      <c r="E6" s="63">
        <f>(ROWS($A$6:$A$37)-ROW()+ROW($A$6)-0.5)/ROWS($A$6:$A$37)</f>
        <v>0.984375</v>
      </c>
      <c r="G6" s="40"/>
      <c r="H6" s="121"/>
      <c r="I6" s="121"/>
      <c r="J6" s="52"/>
      <c r="K6" s="14"/>
      <c r="L6" s="14"/>
      <c r="M6" s="122"/>
      <c r="O6" s="52"/>
    </row>
    <row r="7" spans="1:15" x14ac:dyDescent="0.35">
      <c r="A7" s="47" t="s">
        <v>137</v>
      </c>
      <c r="B7" s="29">
        <v>5.3</v>
      </c>
      <c r="C7" s="52">
        <v>-3.5</v>
      </c>
      <c r="E7" s="63">
        <f t="shared" ref="E7:E37" si="0">(ROWS($A$6:$A$37)-ROW()+ROW($A$6)-0.5)/ROWS($A$6:$A$37)</f>
        <v>0.953125</v>
      </c>
      <c r="G7" s="40"/>
      <c r="H7" s="121"/>
      <c r="I7" s="121"/>
      <c r="J7" s="52"/>
      <c r="K7" s="14"/>
      <c r="L7" s="14"/>
      <c r="M7" s="122"/>
      <c r="O7" s="52"/>
    </row>
    <row r="8" spans="1:15" x14ac:dyDescent="0.35">
      <c r="A8" s="47" t="s">
        <v>83</v>
      </c>
      <c r="B8" s="29">
        <v>6.3</v>
      </c>
      <c r="C8" s="52">
        <v>-3.4</v>
      </c>
      <c r="E8" s="63">
        <f t="shared" si="0"/>
        <v>0.921875</v>
      </c>
      <c r="G8" s="40"/>
      <c r="H8" s="121"/>
      <c r="I8" s="121"/>
      <c r="J8" s="52"/>
      <c r="K8" s="14"/>
      <c r="L8" s="14"/>
      <c r="M8" s="122"/>
      <c r="O8" s="52"/>
    </row>
    <row r="9" spans="1:15" x14ac:dyDescent="0.35">
      <c r="A9" s="47" t="s">
        <v>131</v>
      </c>
      <c r="B9" s="29">
        <v>6.5</v>
      </c>
      <c r="C9" s="52">
        <v>0.2</v>
      </c>
      <c r="E9" s="63">
        <f t="shared" si="0"/>
        <v>0.890625</v>
      </c>
      <c r="G9" s="40"/>
      <c r="H9" s="121"/>
      <c r="I9" s="121"/>
      <c r="J9" s="52"/>
      <c r="K9" s="14"/>
      <c r="L9" s="14"/>
      <c r="M9" s="122"/>
      <c r="O9" s="52"/>
    </row>
    <row r="10" spans="1:15" x14ac:dyDescent="0.35">
      <c r="A10" s="47" t="s">
        <v>91</v>
      </c>
      <c r="B10" s="29">
        <v>6.6</v>
      </c>
      <c r="C10" s="52">
        <v>3.3</v>
      </c>
      <c r="E10" s="63">
        <f t="shared" si="0"/>
        <v>0.859375</v>
      </c>
      <c r="G10" s="40"/>
      <c r="H10" s="121"/>
      <c r="I10" s="121"/>
      <c r="J10" s="52"/>
      <c r="K10" s="14"/>
      <c r="L10" s="14"/>
      <c r="M10" s="122"/>
      <c r="O10" s="52"/>
    </row>
    <row r="11" spans="1:15" x14ac:dyDescent="0.35">
      <c r="A11" s="47" t="s">
        <v>143</v>
      </c>
      <c r="B11" s="29">
        <v>7.4</v>
      </c>
      <c r="C11" s="52">
        <v>14.9</v>
      </c>
      <c r="E11" s="63">
        <f t="shared" si="0"/>
        <v>0.828125</v>
      </c>
      <c r="G11" s="40"/>
      <c r="H11" s="121"/>
      <c r="I11" s="121"/>
      <c r="J11" s="52"/>
      <c r="K11" s="14"/>
      <c r="L11" s="14"/>
      <c r="M11" s="122"/>
      <c r="O11" s="52"/>
    </row>
    <row r="12" spans="1:15" x14ac:dyDescent="0.35">
      <c r="A12" s="47" t="s">
        <v>89</v>
      </c>
      <c r="B12" s="29">
        <v>7.7</v>
      </c>
      <c r="C12" s="52">
        <v>-2.8</v>
      </c>
      <c r="E12" s="63">
        <f t="shared" si="0"/>
        <v>0.796875</v>
      </c>
      <c r="G12" s="40"/>
      <c r="H12" s="121"/>
      <c r="I12" s="121"/>
      <c r="J12" s="52"/>
      <c r="K12" s="14"/>
      <c r="L12" s="14"/>
      <c r="M12" s="122"/>
      <c r="O12" s="52"/>
    </row>
    <row r="13" spans="1:15" x14ac:dyDescent="0.35">
      <c r="A13" s="47" t="s">
        <v>117</v>
      </c>
      <c r="B13" s="29">
        <v>8.4</v>
      </c>
      <c r="C13" s="52">
        <v>-2.2000000000000002</v>
      </c>
      <c r="E13" s="63">
        <f t="shared" si="0"/>
        <v>0.765625</v>
      </c>
      <c r="G13" s="40"/>
      <c r="H13" s="121"/>
      <c r="I13" s="121"/>
      <c r="J13" s="52"/>
      <c r="K13" s="14"/>
      <c r="L13" s="14"/>
      <c r="M13" s="122"/>
      <c r="O13" s="52"/>
    </row>
    <row r="14" spans="1:15" x14ac:dyDescent="0.35">
      <c r="A14" s="47" t="s">
        <v>93</v>
      </c>
      <c r="B14" s="29">
        <v>9.6999999999999993</v>
      </c>
      <c r="C14" s="52">
        <v>0.9</v>
      </c>
      <c r="E14" s="63">
        <f t="shared" si="0"/>
        <v>0.734375</v>
      </c>
      <c r="G14" s="40"/>
      <c r="H14" s="121"/>
      <c r="I14" s="121"/>
      <c r="J14" s="52"/>
      <c r="K14" s="14"/>
      <c r="L14" s="14"/>
      <c r="M14" s="122"/>
      <c r="O14" s="52"/>
    </row>
    <row r="15" spans="1:15" x14ac:dyDescent="0.35">
      <c r="A15" s="47" t="s">
        <v>95</v>
      </c>
      <c r="B15" s="29">
        <v>9.9</v>
      </c>
      <c r="C15" s="52">
        <v>3.3</v>
      </c>
      <c r="E15" s="63">
        <f t="shared" si="0"/>
        <v>0.703125</v>
      </c>
      <c r="G15" s="40"/>
      <c r="H15" s="121"/>
      <c r="I15" s="121"/>
      <c r="J15" s="52"/>
      <c r="K15" s="14"/>
      <c r="L15" s="14"/>
      <c r="M15" s="122"/>
      <c r="O15" s="52"/>
    </row>
    <row r="16" spans="1:15" x14ac:dyDescent="0.35">
      <c r="A16" s="47" t="s">
        <v>119</v>
      </c>
      <c r="B16" s="29">
        <v>10.3</v>
      </c>
      <c r="C16" s="52">
        <v>5.0999999999999996</v>
      </c>
      <c r="E16" s="63">
        <f t="shared" si="0"/>
        <v>0.671875</v>
      </c>
      <c r="G16" s="40"/>
      <c r="H16" s="121"/>
      <c r="I16" s="121"/>
      <c r="J16" s="52"/>
      <c r="K16" s="14"/>
      <c r="L16" s="14"/>
      <c r="M16" s="122"/>
      <c r="O16" s="52"/>
    </row>
    <row r="17" spans="1:15" x14ac:dyDescent="0.35">
      <c r="A17" s="47" t="s">
        <v>115</v>
      </c>
      <c r="B17" s="29">
        <v>11.1</v>
      </c>
      <c r="C17" s="52">
        <v>-4.3</v>
      </c>
      <c r="E17" s="63">
        <f t="shared" si="0"/>
        <v>0.640625</v>
      </c>
      <c r="G17" s="40"/>
      <c r="H17" s="121"/>
      <c r="I17" s="121"/>
      <c r="J17" s="52"/>
      <c r="K17" s="14"/>
      <c r="L17" s="14"/>
      <c r="M17" s="122"/>
      <c r="O17" s="52"/>
    </row>
    <row r="18" spans="1:15" x14ac:dyDescent="0.35">
      <c r="A18" s="47" t="s">
        <v>103</v>
      </c>
      <c r="B18" s="29">
        <v>11.2</v>
      </c>
      <c r="C18" s="52">
        <v>5.2</v>
      </c>
      <c r="E18" s="63">
        <f t="shared" si="0"/>
        <v>0.609375</v>
      </c>
      <c r="G18" s="40"/>
      <c r="H18" s="121"/>
      <c r="I18" s="121"/>
      <c r="J18" s="52"/>
      <c r="K18" s="14"/>
      <c r="L18" s="14"/>
      <c r="M18" s="122"/>
      <c r="O18" s="52"/>
    </row>
    <row r="19" spans="1:15" x14ac:dyDescent="0.35">
      <c r="A19" s="47" t="s">
        <v>101</v>
      </c>
      <c r="B19" s="29">
        <v>11.6</v>
      </c>
      <c r="C19" s="52">
        <v>6.7</v>
      </c>
      <c r="E19" s="63">
        <f t="shared" si="0"/>
        <v>0.578125</v>
      </c>
      <c r="G19" s="40"/>
      <c r="H19" s="121"/>
      <c r="I19" s="121"/>
      <c r="J19" s="52"/>
      <c r="K19" s="14"/>
      <c r="L19" s="14"/>
      <c r="M19" s="122"/>
      <c r="O19" s="52"/>
    </row>
    <row r="20" spans="1:15" x14ac:dyDescent="0.35">
      <c r="A20" s="47" t="s">
        <v>135</v>
      </c>
      <c r="B20" s="29">
        <v>12.5</v>
      </c>
      <c r="C20" s="52">
        <v>7.5</v>
      </c>
      <c r="E20" s="63">
        <f t="shared" si="0"/>
        <v>0.546875</v>
      </c>
      <c r="G20" s="40"/>
      <c r="H20" s="121"/>
      <c r="I20" s="121"/>
      <c r="J20" s="52"/>
      <c r="K20" s="14"/>
      <c r="L20" s="14"/>
      <c r="M20" s="122"/>
      <c r="O20" s="52"/>
    </row>
    <row r="21" spans="1:15" x14ac:dyDescent="0.35">
      <c r="A21" s="47" t="s">
        <v>81</v>
      </c>
      <c r="B21" s="29">
        <v>12.8</v>
      </c>
      <c r="C21" s="52">
        <v>2.9</v>
      </c>
      <c r="E21" s="63">
        <f t="shared" si="0"/>
        <v>0.515625</v>
      </c>
      <c r="G21" s="40"/>
      <c r="H21" s="121"/>
      <c r="I21" s="121"/>
      <c r="J21" s="52"/>
      <c r="K21" s="14"/>
      <c r="L21" s="14"/>
      <c r="M21" s="122"/>
      <c r="O21" s="52"/>
    </row>
    <row r="22" spans="1:15" x14ac:dyDescent="0.35">
      <c r="A22" s="47" t="s">
        <v>99</v>
      </c>
      <c r="B22" s="29">
        <v>13.4</v>
      </c>
      <c r="C22" s="52">
        <v>11.1</v>
      </c>
      <c r="E22" s="63">
        <f t="shared" si="0"/>
        <v>0.484375</v>
      </c>
      <c r="G22" s="40"/>
      <c r="H22" s="121"/>
      <c r="I22" s="121"/>
      <c r="J22" s="52"/>
      <c r="K22" s="14"/>
      <c r="L22" s="14"/>
      <c r="M22" s="122"/>
      <c r="O22" s="52"/>
    </row>
    <row r="23" spans="1:15" x14ac:dyDescent="0.35">
      <c r="A23" s="47" t="s">
        <v>87</v>
      </c>
      <c r="B23" s="29">
        <v>13.6</v>
      </c>
      <c r="C23" s="52">
        <v>5</v>
      </c>
      <c r="E23" s="63">
        <f t="shared" si="0"/>
        <v>0.453125</v>
      </c>
      <c r="G23" s="40"/>
      <c r="H23" s="121"/>
      <c r="I23" s="121"/>
      <c r="J23" s="52"/>
      <c r="K23" s="14"/>
      <c r="L23" s="14"/>
      <c r="M23" s="122"/>
      <c r="O23" s="52"/>
    </row>
    <row r="24" spans="1:15" x14ac:dyDescent="0.35">
      <c r="A24" s="47" t="s">
        <v>127</v>
      </c>
      <c r="B24" s="29">
        <v>13.7</v>
      </c>
      <c r="C24" s="52">
        <v>5.9</v>
      </c>
      <c r="E24" s="63">
        <f t="shared" si="0"/>
        <v>0.421875</v>
      </c>
      <c r="G24" s="40"/>
      <c r="H24" s="121"/>
      <c r="I24" s="121"/>
      <c r="J24" s="52"/>
      <c r="K24" s="14"/>
      <c r="L24" s="14"/>
      <c r="M24" s="122"/>
      <c r="O24" s="52"/>
    </row>
    <row r="25" spans="1:15" x14ac:dyDescent="0.35">
      <c r="A25" s="47" t="s">
        <v>141</v>
      </c>
      <c r="B25" s="29">
        <v>14</v>
      </c>
      <c r="C25" s="52">
        <v>10.3</v>
      </c>
      <c r="E25" s="63">
        <f t="shared" si="0"/>
        <v>0.390625</v>
      </c>
      <c r="G25" s="40"/>
      <c r="H25" s="121"/>
      <c r="I25" s="121"/>
      <c r="J25" s="52"/>
      <c r="K25" s="14"/>
      <c r="L25" s="14"/>
      <c r="M25" s="122"/>
      <c r="O25" s="52"/>
    </row>
    <row r="26" spans="1:15" x14ac:dyDescent="0.35">
      <c r="A26" s="47" t="s">
        <v>125</v>
      </c>
      <c r="B26" s="29">
        <v>14.3</v>
      </c>
      <c r="C26" s="52">
        <v>10.4</v>
      </c>
      <c r="E26" s="63">
        <f t="shared" si="0"/>
        <v>0.359375</v>
      </c>
      <c r="G26" s="40"/>
      <c r="H26" s="121"/>
      <c r="I26" s="121"/>
      <c r="J26" s="52"/>
      <c r="K26" s="14"/>
      <c r="L26" s="14"/>
      <c r="M26" s="122"/>
      <c r="O26" s="52"/>
    </row>
    <row r="27" spans="1:15" x14ac:dyDescent="0.35">
      <c r="A27" s="47" t="s">
        <v>129</v>
      </c>
      <c r="B27" s="29">
        <v>15.2</v>
      </c>
      <c r="C27" s="52">
        <v>2.1</v>
      </c>
      <c r="E27" s="63">
        <f t="shared" si="0"/>
        <v>0.328125</v>
      </c>
      <c r="G27" s="40"/>
      <c r="H27" s="121"/>
      <c r="I27" s="121"/>
      <c r="J27" s="52"/>
      <c r="K27" s="14"/>
      <c r="L27" s="14"/>
      <c r="M27" s="122"/>
      <c r="O27" s="52"/>
    </row>
    <row r="28" spans="1:15" x14ac:dyDescent="0.35">
      <c r="A28" s="47" t="s">
        <v>133</v>
      </c>
      <c r="B28" s="29">
        <v>15.6</v>
      </c>
      <c r="C28" s="52">
        <v>9</v>
      </c>
      <c r="E28" s="63">
        <f t="shared" si="0"/>
        <v>0.296875</v>
      </c>
      <c r="G28" s="40"/>
      <c r="H28" s="121"/>
      <c r="I28" s="121"/>
      <c r="J28" s="52"/>
      <c r="K28" s="14"/>
      <c r="L28" s="14"/>
      <c r="M28" s="122"/>
      <c r="O28" s="52"/>
    </row>
    <row r="29" spans="1:15" x14ac:dyDescent="0.35">
      <c r="A29" s="47" t="s">
        <v>142</v>
      </c>
      <c r="B29" s="29">
        <v>16.399999999999999</v>
      </c>
      <c r="C29" s="52">
        <v>18.2</v>
      </c>
      <c r="E29" s="63">
        <f t="shared" si="0"/>
        <v>0.265625</v>
      </c>
      <c r="G29" s="40"/>
      <c r="H29" s="121"/>
      <c r="I29" s="121"/>
      <c r="J29" s="52"/>
      <c r="K29" s="14"/>
      <c r="L29" s="14"/>
      <c r="M29" s="122"/>
      <c r="O29" s="52"/>
    </row>
    <row r="30" spans="1:15" x14ac:dyDescent="0.35">
      <c r="A30" s="47" t="s">
        <v>123</v>
      </c>
      <c r="B30" s="29">
        <v>17.100000000000001</v>
      </c>
      <c r="C30" s="52">
        <v>12.2</v>
      </c>
      <c r="E30" s="63">
        <f t="shared" si="0"/>
        <v>0.234375</v>
      </c>
      <c r="G30" s="40"/>
      <c r="H30" s="121"/>
      <c r="I30" s="121"/>
      <c r="J30" s="52"/>
      <c r="K30" s="14"/>
      <c r="L30" s="14"/>
      <c r="M30" s="122"/>
      <c r="O30" s="52"/>
    </row>
    <row r="31" spans="1:15" x14ac:dyDescent="0.35">
      <c r="A31" s="47" t="s">
        <v>113</v>
      </c>
      <c r="B31" s="29">
        <v>18.5</v>
      </c>
      <c r="C31" s="52">
        <v>5.0999999999999996</v>
      </c>
      <c r="E31" s="63">
        <f t="shared" si="0"/>
        <v>0.203125</v>
      </c>
      <c r="G31" s="40"/>
      <c r="H31" s="121"/>
      <c r="I31" s="121"/>
      <c r="J31" s="52"/>
      <c r="K31" s="14"/>
      <c r="L31" s="14"/>
      <c r="M31" s="122"/>
      <c r="O31" s="52"/>
    </row>
    <row r="32" spans="1:15" x14ac:dyDescent="0.35">
      <c r="A32" s="47" t="s">
        <v>139</v>
      </c>
      <c r="B32" s="29">
        <v>18.8</v>
      </c>
      <c r="C32" s="52">
        <v>13.5</v>
      </c>
      <c r="E32" s="63">
        <f t="shared" si="0"/>
        <v>0.171875</v>
      </c>
      <c r="G32" s="40"/>
      <c r="H32" s="121"/>
      <c r="I32" s="121"/>
      <c r="J32" s="52"/>
      <c r="K32" s="14"/>
      <c r="L32" s="14"/>
      <c r="M32" s="122"/>
      <c r="O32" s="52"/>
    </row>
    <row r="33" spans="1:15" x14ac:dyDescent="0.35">
      <c r="A33" s="47" t="s">
        <v>107</v>
      </c>
      <c r="B33" s="29">
        <v>21.1</v>
      </c>
      <c r="C33" s="52">
        <v>8.8000000000000007</v>
      </c>
      <c r="E33" s="63">
        <f t="shared" si="0"/>
        <v>0.140625</v>
      </c>
      <c r="G33" s="40"/>
      <c r="H33" s="121"/>
      <c r="I33" s="121"/>
      <c r="J33" s="52"/>
      <c r="K33" s="14"/>
      <c r="L33" s="14"/>
      <c r="M33" s="122"/>
      <c r="O33" s="52"/>
    </row>
    <row r="34" spans="1:15" x14ac:dyDescent="0.35">
      <c r="A34" s="47" t="s">
        <v>79</v>
      </c>
      <c r="B34" s="29">
        <v>21.3</v>
      </c>
      <c r="C34" s="52">
        <v>11.4</v>
      </c>
      <c r="E34" s="63">
        <f t="shared" si="0"/>
        <v>0.109375</v>
      </c>
      <c r="G34" s="40"/>
      <c r="H34" s="121"/>
      <c r="I34" s="121"/>
      <c r="J34" s="52"/>
      <c r="K34" s="14"/>
      <c r="L34" s="14"/>
      <c r="M34" s="122"/>
      <c r="O34" s="52"/>
    </row>
    <row r="35" spans="1:15" x14ac:dyDescent="0.35">
      <c r="A35" s="47" t="s">
        <v>121</v>
      </c>
      <c r="B35" s="29">
        <v>22.9</v>
      </c>
      <c r="C35" s="52">
        <v>9.1999999999999993</v>
      </c>
      <c r="E35" s="63">
        <f t="shared" si="0"/>
        <v>7.8125E-2</v>
      </c>
      <c r="G35" s="40"/>
      <c r="H35" s="121"/>
      <c r="I35" s="121"/>
      <c r="J35" s="52"/>
      <c r="K35" s="14"/>
      <c r="L35" s="14"/>
      <c r="M35" s="122"/>
      <c r="O35" s="52"/>
    </row>
    <row r="36" spans="1:15" x14ac:dyDescent="0.35">
      <c r="A36" s="47" t="s">
        <v>97</v>
      </c>
      <c r="B36" s="29">
        <v>30</v>
      </c>
      <c r="C36" s="52">
        <v>25.6</v>
      </c>
      <c r="E36" s="63">
        <f t="shared" si="0"/>
        <v>4.6875E-2</v>
      </c>
      <c r="G36" s="40"/>
      <c r="H36" s="121"/>
      <c r="I36" s="121"/>
      <c r="J36" s="52"/>
      <c r="K36" s="14"/>
      <c r="L36" s="14"/>
      <c r="M36" s="122"/>
      <c r="O36" s="52"/>
    </row>
    <row r="37" spans="1:15" x14ac:dyDescent="0.35">
      <c r="A37" s="47" t="s">
        <v>111</v>
      </c>
      <c r="B37" s="29">
        <v>30.7</v>
      </c>
      <c r="C37" s="52">
        <v>25.4</v>
      </c>
      <c r="E37" s="63">
        <f t="shared" si="0"/>
        <v>1.5625E-2</v>
      </c>
      <c r="G37" s="40"/>
      <c r="H37" s="121"/>
      <c r="I37" s="121"/>
      <c r="J37" s="52"/>
      <c r="K37" s="14"/>
      <c r="L37" s="14"/>
      <c r="M37" s="122"/>
      <c r="O37" s="52"/>
    </row>
    <row r="42" spans="1:15" x14ac:dyDescent="0.35">
      <c r="G42" s="40" t="s">
        <v>73</v>
      </c>
      <c r="H42" s="121">
        <v>5110200</v>
      </c>
      <c r="I42" s="121">
        <v>5545500</v>
      </c>
      <c r="J42" s="52">
        <v>8.5182576024421746</v>
      </c>
      <c r="K42" s="20">
        <v>2274324</v>
      </c>
      <c r="L42" s="20">
        <v>2570799</v>
      </c>
      <c r="M42" s="52">
        <v>13.035741609374918</v>
      </c>
    </row>
  </sheetData>
  <sortState xmlns:xlrd2="http://schemas.microsoft.com/office/spreadsheetml/2017/richdata2" ref="G6:M38">
    <sortCondition ref="M6:M38"/>
  </sortState>
  <phoneticPr fontId="25"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D4DE9-3BDA-4FE1-8281-659F919DDD99}">
  <dimension ref="A1:A2"/>
  <sheetViews>
    <sheetView workbookViewId="0"/>
  </sheetViews>
  <sheetFormatPr defaultColWidth="9.23046875" defaultRowHeight="15.5" x14ac:dyDescent="0.35"/>
  <cols>
    <col min="1" max="16384" width="9.23046875" style="55"/>
  </cols>
  <sheetData>
    <row r="1" spans="1:1" ht="20" x14ac:dyDescent="0.4">
      <c r="A1" s="46" t="s">
        <v>311</v>
      </c>
    </row>
    <row r="2" spans="1:1" x14ac:dyDescent="0.35">
      <c r="A2" s="61" t="s">
        <v>217</v>
      </c>
    </row>
  </sheetData>
  <hyperlinks>
    <hyperlink ref="A2" location="'Table of Contents'!A1" display="Back to contents" xr:uid="{603C30EE-9E86-4D33-B3D2-A8CEE3535132}"/>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5639-A1F0-4ADD-A006-5B923FAB3B6A}">
  <dimension ref="A1:G40"/>
  <sheetViews>
    <sheetView workbookViewId="0"/>
  </sheetViews>
  <sheetFormatPr defaultColWidth="8.84375" defaultRowHeight="15.5" x14ac:dyDescent="0.35"/>
  <cols>
    <col min="1" max="1" width="8.84375" style="47"/>
    <col min="2" max="2" width="36.07421875" style="47" customWidth="1"/>
    <col min="3" max="3" width="30.07421875" style="47" customWidth="1"/>
    <col min="4" max="16384" width="8.84375" style="47"/>
  </cols>
  <sheetData>
    <row r="1" spans="1:4" ht="20" x14ac:dyDescent="0.4">
      <c r="A1" s="46" t="s">
        <v>331</v>
      </c>
    </row>
    <row r="2" spans="1:4" x14ac:dyDescent="0.35">
      <c r="A2" s="48" t="s">
        <v>219</v>
      </c>
    </row>
    <row r="3" spans="1:4" x14ac:dyDescent="0.35">
      <c r="A3" s="45" t="str">
        <f>HYPERLINK("#'Table of contents'!A1", "Back to contents")</f>
        <v>Back to contents</v>
      </c>
    </row>
    <row r="4" spans="1:4" ht="28.5" customHeight="1" x14ac:dyDescent="0.35">
      <c r="A4" s="49" t="s">
        <v>207</v>
      </c>
      <c r="B4" s="64" t="s">
        <v>220</v>
      </c>
      <c r="C4" s="50" t="s">
        <v>221</v>
      </c>
    </row>
    <row r="5" spans="1:4" x14ac:dyDescent="0.35">
      <c r="A5" s="51">
        <v>2015</v>
      </c>
      <c r="B5" s="47" t="s">
        <v>222</v>
      </c>
      <c r="C5" s="47">
        <v>36</v>
      </c>
      <c r="D5" s="65"/>
    </row>
    <row r="6" spans="1:4" x14ac:dyDescent="0.35">
      <c r="A6" s="51">
        <v>2016</v>
      </c>
      <c r="B6" s="47" t="s">
        <v>222</v>
      </c>
      <c r="C6" s="47">
        <v>36</v>
      </c>
      <c r="D6" s="65"/>
    </row>
    <row r="7" spans="1:4" x14ac:dyDescent="0.35">
      <c r="A7" s="51">
        <v>2017</v>
      </c>
      <c r="B7" s="47" t="s">
        <v>222</v>
      </c>
      <c r="C7" s="47">
        <v>37</v>
      </c>
      <c r="D7" s="65"/>
    </row>
    <row r="8" spans="1:4" x14ac:dyDescent="0.35">
      <c r="A8" s="51">
        <v>2018</v>
      </c>
      <c r="B8" s="47" t="s">
        <v>222</v>
      </c>
      <c r="C8" s="47">
        <v>39</v>
      </c>
      <c r="D8" s="65"/>
    </row>
    <row r="9" spans="1:4" x14ac:dyDescent="0.35">
      <c r="A9" s="51">
        <v>2019</v>
      </c>
      <c r="B9" s="47" t="s">
        <v>222</v>
      </c>
      <c r="C9" s="47">
        <v>41</v>
      </c>
      <c r="D9" s="65"/>
    </row>
    <row r="10" spans="1:4" x14ac:dyDescent="0.35">
      <c r="A10" s="51">
        <v>2020</v>
      </c>
      <c r="B10" s="47" t="s">
        <v>222</v>
      </c>
      <c r="C10" s="47">
        <v>47</v>
      </c>
      <c r="D10" s="65"/>
    </row>
    <row r="11" spans="1:4" x14ac:dyDescent="0.35">
      <c r="A11" s="51">
        <v>2021</v>
      </c>
      <c r="B11" s="47" t="s">
        <v>222</v>
      </c>
      <c r="C11" s="47">
        <v>44</v>
      </c>
      <c r="D11" s="65"/>
    </row>
    <row r="12" spans="1:4" x14ac:dyDescent="0.35">
      <c r="A12" s="51">
        <v>2022</v>
      </c>
      <c r="B12" s="47" t="s">
        <v>222</v>
      </c>
      <c r="C12" s="47">
        <v>45</v>
      </c>
      <c r="D12" s="65"/>
    </row>
    <row r="13" spans="1:4" x14ac:dyDescent="0.35">
      <c r="A13" s="51">
        <v>2023</v>
      </c>
      <c r="B13" s="47" t="s">
        <v>222</v>
      </c>
      <c r="C13" s="47">
        <v>46</v>
      </c>
      <c r="D13" s="65"/>
    </row>
    <row r="14" spans="1:4" x14ac:dyDescent="0.35">
      <c r="A14" s="51">
        <v>2024</v>
      </c>
      <c r="B14" s="47" t="s">
        <v>222</v>
      </c>
      <c r="C14" s="47">
        <v>44</v>
      </c>
      <c r="D14" s="65"/>
    </row>
    <row r="15" spans="1:4" x14ac:dyDescent="0.35">
      <c r="A15" s="51">
        <v>2025</v>
      </c>
      <c r="B15" s="47" t="s">
        <v>222</v>
      </c>
      <c r="C15" s="101">
        <v>44</v>
      </c>
      <c r="D15" s="65"/>
    </row>
    <row r="16" spans="1:4" x14ac:dyDescent="0.35">
      <c r="A16" s="51">
        <v>2015</v>
      </c>
      <c r="B16" s="47" t="s">
        <v>223</v>
      </c>
      <c r="C16" s="47">
        <v>43</v>
      </c>
    </row>
    <row r="17" spans="1:3" x14ac:dyDescent="0.35">
      <c r="A17" s="51">
        <v>2016</v>
      </c>
      <c r="B17" s="47" t="s">
        <v>223</v>
      </c>
      <c r="C17" s="47">
        <v>43</v>
      </c>
    </row>
    <row r="18" spans="1:3" x14ac:dyDescent="0.35">
      <c r="A18" s="51">
        <v>2017</v>
      </c>
      <c r="B18" s="47" t="s">
        <v>223</v>
      </c>
      <c r="C18" s="47">
        <v>42</v>
      </c>
    </row>
    <row r="19" spans="1:3" x14ac:dyDescent="0.35">
      <c r="A19" s="51">
        <v>2018</v>
      </c>
      <c r="B19" s="47" t="s">
        <v>223</v>
      </c>
      <c r="C19" s="47">
        <v>44</v>
      </c>
    </row>
    <row r="20" spans="1:3" x14ac:dyDescent="0.35">
      <c r="A20" s="51">
        <v>2019</v>
      </c>
      <c r="B20" s="47" t="s">
        <v>223</v>
      </c>
      <c r="C20" s="47">
        <v>44</v>
      </c>
    </row>
    <row r="21" spans="1:3" x14ac:dyDescent="0.35">
      <c r="A21" s="51">
        <v>2020</v>
      </c>
      <c r="B21" s="47" t="s">
        <v>223</v>
      </c>
      <c r="C21" s="47">
        <v>43</v>
      </c>
    </row>
    <row r="22" spans="1:3" x14ac:dyDescent="0.35">
      <c r="A22" s="51">
        <v>2021</v>
      </c>
      <c r="B22" s="47" t="s">
        <v>223</v>
      </c>
      <c r="C22" s="47">
        <v>45</v>
      </c>
    </row>
    <row r="23" spans="1:3" x14ac:dyDescent="0.35">
      <c r="A23" s="51">
        <v>2022</v>
      </c>
      <c r="B23" s="47" t="s">
        <v>223</v>
      </c>
      <c r="C23" s="47">
        <v>46</v>
      </c>
    </row>
    <row r="24" spans="1:3" x14ac:dyDescent="0.35">
      <c r="A24" s="51">
        <v>2023</v>
      </c>
      <c r="B24" s="47" t="s">
        <v>223</v>
      </c>
      <c r="C24" s="47">
        <v>46</v>
      </c>
    </row>
    <row r="25" spans="1:3" x14ac:dyDescent="0.35">
      <c r="A25" s="51">
        <v>2024</v>
      </c>
      <c r="B25" s="47" t="s">
        <v>223</v>
      </c>
      <c r="C25" s="47">
        <v>48</v>
      </c>
    </row>
    <row r="26" spans="1:3" x14ac:dyDescent="0.35">
      <c r="A26" s="51">
        <v>2025</v>
      </c>
      <c r="B26" s="47" t="s">
        <v>223</v>
      </c>
      <c r="C26" s="101">
        <v>45</v>
      </c>
    </row>
    <row r="27" spans="1:3" x14ac:dyDescent="0.35">
      <c r="A27" s="51">
        <v>2015</v>
      </c>
      <c r="B27" s="47" t="s">
        <v>224</v>
      </c>
      <c r="C27" s="47">
        <v>27</v>
      </c>
    </row>
    <row r="28" spans="1:3" x14ac:dyDescent="0.35">
      <c r="A28" s="51">
        <v>2016</v>
      </c>
      <c r="B28" s="47" t="s">
        <v>224</v>
      </c>
      <c r="C28" s="47">
        <v>26</v>
      </c>
    </row>
    <row r="29" spans="1:3" x14ac:dyDescent="0.35">
      <c r="A29" s="51">
        <v>2017</v>
      </c>
      <c r="B29" s="47" t="s">
        <v>224</v>
      </c>
      <c r="C29" s="47">
        <v>26</v>
      </c>
    </row>
    <row r="30" spans="1:3" x14ac:dyDescent="0.35">
      <c r="A30" s="51">
        <v>2018</v>
      </c>
      <c r="B30" s="47" t="s">
        <v>224</v>
      </c>
      <c r="C30" s="47">
        <v>25</v>
      </c>
    </row>
    <row r="31" spans="1:3" x14ac:dyDescent="0.35">
      <c r="A31" s="51">
        <v>2019</v>
      </c>
      <c r="B31" s="47" t="s">
        <v>224</v>
      </c>
      <c r="C31" s="47">
        <v>25</v>
      </c>
    </row>
    <row r="32" spans="1:3" x14ac:dyDescent="0.35">
      <c r="A32" s="51">
        <v>2020</v>
      </c>
      <c r="B32" s="47" t="s">
        <v>224</v>
      </c>
      <c r="C32" s="47">
        <v>25</v>
      </c>
    </row>
    <row r="33" spans="1:7" x14ac:dyDescent="0.35">
      <c r="A33" s="51">
        <v>2021</v>
      </c>
      <c r="B33" s="47" t="s">
        <v>224</v>
      </c>
      <c r="C33" s="47">
        <v>24</v>
      </c>
    </row>
    <row r="34" spans="1:7" x14ac:dyDescent="0.35">
      <c r="A34" s="51">
        <v>2022</v>
      </c>
      <c r="B34" s="47" t="s">
        <v>224</v>
      </c>
      <c r="C34" s="47">
        <v>24</v>
      </c>
    </row>
    <row r="35" spans="1:7" x14ac:dyDescent="0.35">
      <c r="A35" s="51">
        <v>2023</v>
      </c>
      <c r="B35" s="47" t="s">
        <v>224</v>
      </c>
      <c r="C35" s="47">
        <v>24</v>
      </c>
    </row>
    <row r="36" spans="1:7" x14ac:dyDescent="0.35">
      <c r="A36" s="51">
        <v>2024</v>
      </c>
      <c r="B36" s="47" t="s">
        <v>224</v>
      </c>
      <c r="C36" s="47">
        <v>22</v>
      </c>
    </row>
    <row r="37" spans="1:7" x14ac:dyDescent="0.35">
      <c r="A37" s="51">
        <v>2025</v>
      </c>
      <c r="B37" s="47" t="s">
        <v>224</v>
      </c>
      <c r="C37" s="101">
        <v>21</v>
      </c>
    </row>
    <row r="40" spans="1:7" x14ac:dyDescent="0.35">
      <c r="E40" s="20"/>
      <c r="F40" s="20"/>
      <c r="G40" s="20"/>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512CA-6E94-4B8E-BFEB-D2FA83EAFD21}">
  <dimension ref="A1:A2"/>
  <sheetViews>
    <sheetView workbookViewId="0"/>
  </sheetViews>
  <sheetFormatPr defaultRowHeight="15.5" x14ac:dyDescent="0.35"/>
  <sheetData>
    <row r="1" spans="1:1" ht="20" x14ac:dyDescent="0.4">
      <c r="A1" s="66" t="s">
        <v>342</v>
      </c>
    </row>
    <row r="2" spans="1:1" x14ac:dyDescent="0.35">
      <c r="A2" s="61" t="str">
        <f>HYPERLINK("#'Table of contents'!A1", "Back to contents")</f>
        <v>Back to contents</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7D66-BAD2-4523-8955-7C2C587B6181}">
  <dimension ref="A1:Z26"/>
  <sheetViews>
    <sheetView zoomScaleNormal="100" workbookViewId="0"/>
  </sheetViews>
  <sheetFormatPr defaultColWidth="8.84375" defaultRowHeight="15.5" x14ac:dyDescent="0.35"/>
  <cols>
    <col min="1" max="1" width="9.07421875" style="47" customWidth="1"/>
    <col min="2" max="2" width="20.23046875" style="47" customWidth="1"/>
    <col min="3" max="3" width="21.765625" style="47" customWidth="1"/>
    <col min="4" max="16384" width="8.84375" style="47"/>
  </cols>
  <sheetData>
    <row r="1" spans="1:26" ht="20" x14ac:dyDescent="0.4">
      <c r="A1" s="66" t="s">
        <v>341</v>
      </c>
    </row>
    <row r="2" spans="1:26" x14ac:dyDescent="0.35">
      <c r="A2" s="48" t="s">
        <v>219</v>
      </c>
    </row>
    <row r="3" spans="1:26" ht="17.5" x14ac:dyDescent="0.35">
      <c r="A3" s="48" t="s">
        <v>225</v>
      </c>
      <c r="G3" s="67"/>
    </row>
    <row r="4" spans="1:26" x14ac:dyDescent="0.35">
      <c r="A4" s="45" t="str">
        <f>HYPERLINK("#'Table of contents'!A1", "Back to contents")</f>
        <v>Back to contents</v>
      </c>
    </row>
    <row r="5" spans="1:26" x14ac:dyDescent="0.35">
      <c r="A5" s="49" t="s">
        <v>207</v>
      </c>
      <c r="B5" s="50" t="s">
        <v>226</v>
      </c>
      <c r="C5" s="50" t="s">
        <v>227</v>
      </c>
    </row>
    <row r="6" spans="1:26" x14ac:dyDescent="0.35">
      <c r="A6" s="51">
        <v>2005</v>
      </c>
      <c r="B6" s="68">
        <v>19867</v>
      </c>
      <c r="C6" s="70">
        <v>25711</v>
      </c>
      <c r="F6" s="48"/>
      <c r="I6" s="69"/>
    </row>
    <row r="7" spans="1:26" x14ac:dyDescent="0.35">
      <c r="A7" s="103">
        <v>2006</v>
      </c>
      <c r="B7" s="104">
        <v>19289</v>
      </c>
      <c r="C7" s="105">
        <v>24716</v>
      </c>
      <c r="F7" s="48"/>
    </row>
    <row r="8" spans="1:26" x14ac:dyDescent="0.35">
      <c r="A8" s="103">
        <v>2007</v>
      </c>
      <c r="B8" s="104">
        <v>24525</v>
      </c>
      <c r="C8" s="105">
        <v>25271</v>
      </c>
    </row>
    <row r="9" spans="1:26" x14ac:dyDescent="0.35">
      <c r="A9" s="103">
        <v>2008</v>
      </c>
      <c r="B9" s="104">
        <v>20287</v>
      </c>
      <c r="C9" s="105">
        <v>23680</v>
      </c>
    </row>
    <row r="10" spans="1:26" x14ac:dyDescent="0.35">
      <c r="A10" s="103">
        <v>2009</v>
      </c>
      <c r="B10" s="104">
        <v>15274</v>
      </c>
      <c r="C10" s="105">
        <v>18279</v>
      </c>
      <c r="I10" s="69"/>
    </row>
    <row r="11" spans="1:26" x14ac:dyDescent="0.35">
      <c r="A11" s="103">
        <v>2010</v>
      </c>
      <c r="B11" s="104">
        <v>12339</v>
      </c>
      <c r="C11" s="105">
        <v>17073</v>
      </c>
      <c r="I11" s="69"/>
    </row>
    <row r="12" spans="1:26" x14ac:dyDescent="0.35">
      <c r="A12" s="103">
        <v>2011</v>
      </c>
      <c r="B12" s="104">
        <v>12353</v>
      </c>
      <c r="C12" s="105">
        <v>15762</v>
      </c>
      <c r="F12" s="70"/>
      <c r="G12" s="105"/>
      <c r="H12" s="105"/>
      <c r="I12" s="105"/>
      <c r="J12" s="105"/>
      <c r="K12" s="105"/>
      <c r="L12" s="105"/>
      <c r="M12" s="105"/>
      <c r="N12" s="105"/>
      <c r="O12" s="105"/>
      <c r="P12" s="105"/>
      <c r="Q12" s="105"/>
      <c r="R12" s="105"/>
      <c r="S12" s="105"/>
      <c r="T12" s="105"/>
      <c r="U12" s="105"/>
      <c r="V12" s="105"/>
      <c r="W12" s="105"/>
      <c r="X12" s="105"/>
      <c r="Y12" s="105"/>
      <c r="Z12" s="105"/>
    </row>
    <row r="13" spans="1:26" x14ac:dyDescent="0.35">
      <c r="A13" s="103">
        <v>2012</v>
      </c>
      <c r="B13" s="104">
        <v>14193</v>
      </c>
      <c r="C13" s="105">
        <v>15451</v>
      </c>
      <c r="I13" s="69"/>
    </row>
    <row r="14" spans="1:26" x14ac:dyDescent="0.35">
      <c r="A14" s="103">
        <v>2013</v>
      </c>
      <c r="B14" s="104">
        <v>11828</v>
      </c>
      <c r="C14" s="105">
        <v>14810</v>
      </c>
      <c r="I14" s="69"/>
    </row>
    <row r="15" spans="1:26" x14ac:dyDescent="0.35">
      <c r="A15" s="103">
        <v>2014</v>
      </c>
      <c r="B15" s="104">
        <v>13691</v>
      </c>
      <c r="C15" s="105">
        <v>15555</v>
      </c>
      <c r="I15" s="69"/>
    </row>
    <row r="16" spans="1:26" x14ac:dyDescent="0.35">
      <c r="A16" s="103">
        <v>2015</v>
      </c>
      <c r="B16" s="104">
        <v>17021</v>
      </c>
      <c r="C16" s="105">
        <v>17138</v>
      </c>
      <c r="I16" s="69"/>
    </row>
    <row r="17" spans="1:9" x14ac:dyDescent="0.35">
      <c r="A17" s="103">
        <v>2016</v>
      </c>
      <c r="B17" s="104">
        <v>18085</v>
      </c>
      <c r="C17" s="105">
        <v>16688</v>
      </c>
      <c r="I17" s="69"/>
    </row>
    <row r="18" spans="1:9" x14ac:dyDescent="0.35">
      <c r="A18" s="103">
        <v>2017</v>
      </c>
      <c r="B18" s="104">
        <v>19364</v>
      </c>
      <c r="C18" s="105">
        <v>17951</v>
      </c>
      <c r="I18" s="69"/>
    </row>
    <row r="19" spans="1:9" x14ac:dyDescent="0.35">
      <c r="A19" s="103">
        <v>2018</v>
      </c>
      <c r="B19" s="104">
        <v>20154</v>
      </c>
      <c r="C19" s="105">
        <v>18791</v>
      </c>
      <c r="I19" s="69"/>
    </row>
    <row r="20" spans="1:9" x14ac:dyDescent="0.35">
      <c r="A20" s="103">
        <v>2019</v>
      </c>
      <c r="B20" s="104">
        <v>21686</v>
      </c>
      <c r="C20" s="105">
        <v>22043</v>
      </c>
      <c r="I20" s="69"/>
    </row>
    <row r="21" spans="1:9" x14ac:dyDescent="0.35">
      <c r="A21" s="103">
        <v>2020</v>
      </c>
      <c r="B21" s="104">
        <v>16854</v>
      </c>
      <c r="C21" s="105">
        <v>16440</v>
      </c>
      <c r="I21" s="69"/>
    </row>
    <row r="22" spans="1:9" x14ac:dyDescent="0.35">
      <c r="A22" s="103">
        <v>2021</v>
      </c>
      <c r="B22" s="104">
        <v>21268</v>
      </c>
      <c r="C22" s="105">
        <v>20980</v>
      </c>
      <c r="I22" s="69"/>
    </row>
    <row r="23" spans="1:9" x14ac:dyDescent="0.35">
      <c r="A23" s="103">
        <v>2022</v>
      </c>
      <c r="B23" s="104">
        <v>24386</v>
      </c>
      <c r="C23" s="105">
        <v>22908</v>
      </c>
      <c r="I23" s="69"/>
    </row>
    <row r="24" spans="1:9" x14ac:dyDescent="0.35">
      <c r="A24" s="103">
        <v>2023</v>
      </c>
      <c r="B24" s="104">
        <v>21846</v>
      </c>
      <c r="C24" s="105">
        <v>22279</v>
      </c>
      <c r="I24" s="69"/>
    </row>
    <row r="25" spans="1:9" x14ac:dyDescent="0.35">
      <c r="A25" s="103">
        <v>2024</v>
      </c>
      <c r="B25" s="104">
        <v>19748</v>
      </c>
      <c r="C25" s="105">
        <v>19854</v>
      </c>
      <c r="I25" s="69"/>
    </row>
    <row r="26" spans="1:9" x14ac:dyDescent="0.35">
      <c r="A26" s="103">
        <v>2025</v>
      </c>
      <c r="B26" s="104">
        <v>16890</v>
      </c>
      <c r="C26" s="105">
        <v>18483</v>
      </c>
      <c r="E26" s="115"/>
      <c r="I26" s="69"/>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49B5-CC4E-4901-886E-A2F2254D18F2}">
  <dimension ref="A1:A2"/>
  <sheetViews>
    <sheetView workbookViewId="0"/>
  </sheetViews>
  <sheetFormatPr defaultColWidth="8.84375" defaultRowHeight="15.5" x14ac:dyDescent="0.35"/>
  <cols>
    <col min="1" max="1" width="19.07421875" style="55" bestFit="1" customWidth="1"/>
    <col min="2" max="2" width="17.23046875" style="55" bestFit="1" customWidth="1"/>
    <col min="3" max="3" width="7.84375" style="55" customWidth="1"/>
    <col min="4" max="4" width="19.07421875" style="55" bestFit="1" customWidth="1"/>
    <col min="5" max="6" width="9.4609375" style="55" customWidth="1"/>
    <col min="7" max="7" width="19.07421875" style="55" bestFit="1" customWidth="1"/>
    <col min="8" max="16384" width="8.84375" style="55"/>
  </cols>
  <sheetData>
    <row r="1" spans="1:1" ht="27.75" customHeight="1" x14ac:dyDescent="0.4">
      <c r="A1" s="46" t="s">
        <v>304</v>
      </c>
    </row>
    <row r="2" spans="1:1" ht="15" customHeight="1" x14ac:dyDescent="0.35">
      <c r="A2" s="45" t="str">
        <f>HYPERLINK("#'Table of contents'!A1", "Back to contents")</f>
        <v>Back to contents</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BC96-C306-4251-BADA-8AA5CB13F2DF}">
  <dimension ref="A1:N37"/>
  <sheetViews>
    <sheetView workbookViewId="0"/>
  </sheetViews>
  <sheetFormatPr defaultColWidth="8.84375" defaultRowHeight="15.5" x14ac:dyDescent="0.35"/>
  <cols>
    <col min="1" max="1" width="19.3046875" style="55" customWidth="1"/>
    <col min="2" max="2" width="20.23046875" style="55" customWidth="1"/>
    <col min="3" max="3" width="7.84375" style="55" customWidth="1"/>
    <col min="4" max="4" width="19.07421875" style="55" bestFit="1" customWidth="1"/>
    <col min="5" max="5" width="28.765625" style="55" customWidth="1"/>
    <col min="6" max="6" width="9.4609375" style="55" customWidth="1"/>
    <col min="7" max="7" width="19.07421875" style="55" bestFit="1" customWidth="1"/>
    <col min="8" max="8" width="18.53515625" style="55" customWidth="1"/>
    <col min="9" max="9" width="8.84375" style="55"/>
    <col min="10" max="10" width="8.84375" style="55" customWidth="1"/>
    <col min="11" max="16384" width="8.84375" style="55"/>
  </cols>
  <sheetData>
    <row r="1" spans="1:14" ht="20" x14ac:dyDescent="0.4">
      <c r="A1" s="54" t="s">
        <v>305</v>
      </c>
    </row>
    <row r="2" spans="1:14" x14ac:dyDescent="0.35">
      <c r="A2" s="55" t="s">
        <v>228</v>
      </c>
    </row>
    <row r="3" spans="1:14" x14ac:dyDescent="0.35">
      <c r="A3" s="45" t="str">
        <f>HYPERLINK("#'Table of contents'!A1", "Back to contents")</f>
        <v>Back to contents</v>
      </c>
    </row>
    <row r="4" spans="1:14" x14ac:dyDescent="0.35">
      <c r="A4" s="72" t="s">
        <v>208</v>
      </c>
      <c r="B4" s="73" t="s">
        <v>229</v>
      </c>
      <c r="C4" s="72"/>
      <c r="D4" s="72" t="s">
        <v>208</v>
      </c>
      <c r="E4" s="73" t="s">
        <v>230</v>
      </c>
      <c r="F4" s="72"/>
      <c r="G4" s="72" t="s">
        <v>208</v>
      </c>
      <c r="H4" s="73" t="s">
        <v>231</v>
      </c>
      <c r="K4" s="72"/>
      <c r="L4" s="73"/>
      <c r="N4" s="55" t="s">
        <v>232</v>
      </c>
    </row>
    <row r="5" spans="1:14" ht="15.75" customHeight="1" x14ac:dyDescent="0.35">
      <c r="A5" s="55" t="s">
        <v>115</v>
      </c>
      <c r="B5" s="16">
        <v>8</v>
      </c>
      <c r="D5" s="55" t="s">
        <v>83</v>
      </c>
      <c r="E5" s="16">
        <v>4.9000000000000004</v>
      </c>
      <c r="G5" s="55" t="s">
        <v>115</v>
      </c>
      <c r="H5" s="16">
        <v>5.9</v>
      </c>
      <c r="K5" s="32"/>
      <c r="L5" s="16"/>
    </row>
    <row r="6" spans="1:14" x14ac:dyDescent="0.35">
      <c r="A6" s="55" t="s">
        <v>83</v>
      </c>
      <c r="B6" s="16">
        <v>6.7</v>
      </c>
      <c r="D6" s="55" t="s">
        <v>141</v>
      </c>
      <c r="E6" s="16">
        <v>4.8</v>
      </c>
      <c r="G6" s="55" t="s">
        <v>83</v>
      </c>
      <c r="H6" s="16">
        <v>5.6</v>
      </c>
      <c r="K6" s="32"/>
      <c r="L6" s="16"/>
    </row>
    <row r="7" spans="1:14" x14ac:dyDescent="0.35">
      <c r="A7" s="55" t="s">
        <v>141</v>
      </c>
      <c r="B7" s="16">
        <v>6.6</v>
      </c>
      <c r="D7" s="55" t="s">
        <v>115</v>
      </c>
      <c r="E7" s="16">
        <v>4.4000000000000004</v>
      </c>
      <c r="G7" s="55" t="s">
        <v>121</v>
      </c>
      <c r="H7" s="16">
        <v>3.6</v>
      </c>
      <c r="K7" s="32"/>
      <c r="L7" s="16"/>
    </row>
    <row r="8" spans="1:14" x14ac:dyDescent="0.35">
      <c r="A8" s="55" t="s">
        <v>121</v>
      </c>
      <c r="B8" s="16">
        <v>6.1</v>
      </c>
      <c r="D8" s="55" t="s">
        <v>129</v>
      </c>
      <c r="E8" s="16">
        <v>4.2</v>
      </c>
      <c r="G8" s="55" t="s">
        <v>107</v>
      </c>
      <c r="H8" s="16">
        <v>2.7</v>
      </c>
      <c r="K8" s="32"/>
      <c r="L8" s="16"/>
    </row>
    <row r="9" spans="1:14" x14ac:dyDescent="0.35">
      <c r="A9" s="55" t="s">
        <v>129</v>
      </c>
      <c r="B9" s="16">
        <v>6.1</v>
      </c>
      <c r="D9" s="55" t="s">
        <v>107</v>
      </c>
      <c r="E9" s="16">
        <v>3.2</v>
      </c>
      <c r="G9" s="55" t="s">
        <v>117</v>
      </c>
      <c r="H9" s="16">
        <v>1.9</v>
      </c>
      <c r="K9" s="32"/>
      <c r="L9" s="16"/>
    </row>
    <row r="10" spans="1:14" x14ac:dyDescent="0.35">
      <c r="A10" s="55" t="s">
        <v>107</v>
      </c>
      <c r="B10" s="16">
        <v>4.8</v>
      </c>
      <c r="D10" s="55" t="s">
        <v>121</v>
      </c>
      <c r="E10" s="16">
        <v>2.7</v>
      </c>
      <c r="G10" s="55" t="s">
        <v>129</v>
      </c>
      <c r="H10" s="16">
        <v>1.7</v>
      </c>
      <c r="K10" s="32"/>
      <c r="L10" s="16"/>
    </row>
    <row r="11" spans="1:14" x14ac:dyDescent="0.35">
      <c r="A11" s="55" t="s">
        <v>81</v>
      </c>
      <c r="B11" s="16">
        <v>4.4000000000000004</v>
      </c>
      <c r="D11" s="55" t="s">
        <v>127</v>
      </c>
      <c r="E11" s="16">
        <v>2.5</v>
      </c>
      <c r="G11" s="55" t="s">
        <v>89</v>
      </c>
      <c r="H11" s="16">
        <v>1.6</v>
      </c>
      <c r="K11" s="32"/>
      <c r="L11" s="16"/>
    </row>
    <row r="12" spans="1:14" x14ac:dyDescent="0.35">
      <c r="A12" s="55" t="s">
        <v>109</v>
      </c>
      <c r="B12" s="16">
        <v>4.4000000000000004</v>
      </c>
      <c r="D12" s="55" t="s">
        <v>81</v>
      </c>
      <c r="E12" s="16">
        <v>2.4</v>
      </c>
      <c r="G12" s="55" t="s">
        <v>113</v>
      </c>
      <c r="H12" s="16">
        <v>1.5</v>
      </c>
      <c r="K12" s="32"/>
      <c r="L12" s="16"/>
    </row>
    <row r="13" spans="1:14" x14ac:dyDescent="0.35">
      <c r="A13" s="55" t="s">
        <v>127</v>
      </c>
      <c r="B13" s="16">
        <v>4.4000000000000004</v>
      </c>
      <c r="D13" s="55" t="s">
        <v>79</v>
      </c>
      <c r="E13" s="16">
        <v>2.2999999999999998</v>
      </c>
      <c r="G13" s="55" t="s">
        <v>127</v>
      </c>
      <c r="H13" s="16">
        <v>1.4</v>
      </c>
      <c r="K13" s="32"/>
      <c r="L13" s="16"/>
    </row>
    <row r="14" spans="1:14" x14ac:dyDescent="0.35">
      <c r="A14" s="55" t="s">
        <v>79</v>
      </c>
      <c r="B14" s="16">
        <v>4.3</v>
      </c>
      <c r="D14" s="55" t="s">
        <v>89</v>
      </c>
      <c r="E14" s="16">
        <v>2.2999999999999998</v>
      </c>
      <c r="G14" s="55" t="s">
        <v>123</v>
      </c>
      <c r="H14" s="16">
        <v>1.3</v>
      </c>
      <c r="K14" s="32"/>
      <c r="L14" s="16"/>
    </row>
    <row r="15" spans="1:14" x14ac:dyDescent="0.35">
      <c r="A15" s="55" t="s">
        <v>89</v>
      </c>
      <c r="B15" s="16">
        <v>4.0999999999999996</v>
      </c>
      <c r="D15" s="55" t="s">
        <v>123</v>
      </c>
      <c r="E15" s="16">
        <v>1.9</v>
      </c>
      <c r="G15" s="55" t="s">
        <v>103</v>
      </c>
      <c r="H15" s="16">
        <v>1.1000000000000001</v>
      </c>
      <c r="K15" s="32"/>
      <c r="L15" s="16"/>
    </row>
    <row r="16" spans="1:14" x14ac:dyDescent="0.35">
      <c r="A16" s="55" t="s">
        <v>91</v>
      </c>
      <c r="B16" s="16">
        <v>3.7</v>
      </c>
      <c r="D16" s="55" t="s">
        <v>73</v>
      </c>
      <c r="E16" s="16">
        <v>1.6</v>
      </c>
      <c r="G16" s="55" t="s">
        <v>97</v>
      </c>
      <c r="H16" s="16">
        <v>1</v>
      </c>
      <c r="K16" s="32"/>
      <c r="L16" s="16"/>
    </row>
    <row r="17" spans="1:12" x14ac:dyDescent="0.35">
      <c r="A17" s="55" t="s">
        <v>123</v>
      </c>
      <c r="B17" s="16">
        <v>3.6</v>
      </c>
      <c r="D17" s="55" t="s">
        <v>113</v>
      </c>
      <c r="E17" s="16">
        <v>1.6</v>
      </c>
      <c r="G17" s="55" t="s">
        <v>79</v>
      </c>
      <c r="H17" s="16">
        <v>0.9</v>
      </c>
      <c r="K17" s="32"/>
      <c r="L17" s="16"/>
    </row>
    <row r="18" spans="1:12" x14ac:dyDescent="0.35">
      <c r="A18" s="55" t="s">
        <v>113</v>
      </c>
      <c r="B18" s="16">
        <v>3.5</v>
      </c>
      <c r="D18" s="55" t="s">
        <v>131</v>
      </c>
      <c r="E18" s="74">
        <v>1.6</v>
      </c>
      <c r="G18" s="55" t="s">
        <v>131</v>
      </c>
      <c r="H18" s="74">
        <v>0.9</v>
      </c>
      <c r="K18" s="75"/>
      <c r="L18" s="21"/>
    </row>
    <row r="19" spans="1:12" x14ac:dyDescent="0.35">
      <c r="A19" s="55" t="s">
        <v>131</v>
      </c>
      <c r="B19" s="16">
        <v>3.5</v>
      </c>
      <c r="D19" s="55" t="s">
        <v>119</v>
      </c>
      <c r="E19" s="16">
        <v>1.5</v>
      </c>
      <c r="G19" s="55" t="s">
        <v>73</v>
      </c>
      <c r="H19" s="16">
        <v>0.8</v>
      </c>
      <c r="K19" s="32"/>
      <c r="L19" s="16"/>
    </row>
    <row r="20" spans="1:12" x14ac:dyDescent="0.35">
      <c r="A20" s="55" t="s">
        <v>103</v>
      </c>
      <c r="B20" s="16">
        <v>3.3</v>
      </c>
      <c r="D20" s="55" t="s">
        <v>103</v>
      </c>
      <c r="E20" s="16">
        <v>1.4</v>
      </c>
      <c r="G20" s="55" t="s">
        <v>135</v>
      </c>
      <c r="H20" s="16">
        <v>0.7</v>
      </c>
      <c r="K20" s="32"/>
      <c r="L20" s="16"/>
    </row>
    <row r="21" spans="1:12" ht="15" customHeight="1" x14ac:dyDescent="0.35">
      <c r="A21" s="55" t="s">
        <v>73</v>
      </c>
      <c r="B21" s="74">
        <v>3.2</v>
      </c>
      <c r="D21" s="55" t="s">
        <v>109</v>
      </c>
      <c r="E21" s="16">
        <v>1.4</v>
      </c>
      <c r="G21" s="55" t="s">
        <v>81</v>
      </c>
      <c r="H21" s="16">
        <v>0.5</v>
      </c>
      <c r="K21" s="32"/>
      <c r="L21" s="16"/>
    </row>
    <row r="22" spans="1:12" x14ac:dyDescent="0.35">
      <c r="A22" s="55" t="s">
        <v>125</v>
      </c>
      <c r="B22" s="16">
        <v>3</v>
      </c>
      <c r="D22" s="55" t="s">
        <v>135</v>
      </c>
      <c r="E22" s="16">
        <v>1.4</v>
      </c>
      <c r="G22" s="55" t="s">
        <v>142</v>
      </c>
      <c r="H22" s="16">
        <v>0.5</v>
      </c>
      <c r="K22" s="32"/>
      <c r="L22" s="16"/>
    </row>
    <row r="23" spans="1:12" x14ac:dyDescent="0.35">
      <c r="A23" s="55" t="s">
        <v>135</v>
      </c>
      <c r="B23" s="16">
        <v>3</v>
      </c>
      <c r="D23" s="55" t="s">
        <v>91</v>
      </c>
      <c r="E23" s="16">
        <v>1.2</v>
      </c>
      <c r="G23" s="55" t="s">
        <v>141</v>
      </c>
      <c r="H23" s="16">
        <v>0.3</v>
      </c>
      <c r="K23" s="32"/>
      <c r="L23" s="16"/>
    </row>
    <row r="24" spans="1:12" x14ac:dyDescent="0.35">
      <c r="A24" s="55" t="s">
        <v>117</v>
      </c>
      <c r="B24" s="16">
        <v>2.9</v>
      </c>
      <c r="D24" s="55" t="s">
        <v>117</v>
      </c>
      <c r="E24" s="16">
        <v>1.2</v>
      </c>
      <c r="G24" s="55" t="s">
        <v>91</v>
      </c>
      <c r="H24" s="16">
        <v>0.2</v>
      </c>
      <c r="K24" s="32"/>
      <c r="L24" s="16"/>
    </row>
    <row r="25" spans="1:12" x14ac:dyDescent="0.35">
      <c r="A25" s="55" t="s">
        <v>119</v>
      </c>
      <c r="B25" s="16">
        <v>2.7</v>
      </c>
      <c r="D25" s="55" t="s">
        <v>142</v>
      </c>
      <c r="E25" s="16">
        <v>1.1000000000000001</v>
      </c>
      <c r="G25" s="55" t="s">
        <v>143</v>
      </c>
      <c r="H25" s="16">
        <v>0.2</v>
      </c>
      <c r="K25" s="32"/>
      <c r="L25" s="16"/>
    </row>
    <row r="26" spans="1:12" x14ac:dyDescent="0.35">
      <c r="A26" s="55" t="s">
        <v>143</v>
      </c>
      <c r="B26" s="16">
        <v>2.5</v>
      </c>
      <c r="D26" s="55" t="s">
        <v>111</v>
      </c>
      <c r="E26" s="16">
        <v>1</v>
      </c>
      <c r="G26" s="55" t="s">
        <v>109</v>
      </c>
      <c r="H26" s="16">
        <v>0.2</v>
      </c>
      <c r="K26" s="32"/>
      <c r="L26" s="16"/>
    </row>
    <row r="27" spans="1:12" x14ac:dyDescent="0.35">
      <c r="A27" s="55" t="s">
        <v>142</v>
      </c>
      <c r="B27" s="16">
        <v>2.4</v>
      </c>
      <c r="D27" s="55" t="s">
        <v>97</v>
      </c>
      <c r="E27" s="16">
        <v>0.9</v>
      </c>
      <c r="G27" s="55" t="s">
        <v>87</v>
      </c>
      <c r="H27" s="16">
        <v>0.1</v>
      </c>
      <c r="K27" s="32"/>
      <c r="L27" s="16"/>
    </row>
    <row r="28" spans="1:12" x14ac:dyDescent="0.35">
      <c r="A28" s="55" t="s">
        <v>87</v>
      </c>
      <c r="B28" s="16">
        <v>2.4</v>
      </c>
      <c r="D28" s="55" t="s">
        <v>143</v>
      </c>
      <c r="E28" s="16">
        <v>0.9</v>
      </c>
      <c r="G28" s="55" t="s">
        <v>93</v>
      </c>
      <c r="H28" s="16">
        <v>0.1</v>
      </c>
      <c r="K28" s="32"/>
      <c r="L28" s="16"/>
    </row>
    <row r="29" spans="1:12" x14ac:dyDescent="0.35">
      <c r="A29" s="55" t="s">
        <v>93</v>
      </c>
      <c r="B29" s="16">
        <v>2.2999999999999998</v>
      </c>
      <c r="D29" s="55" t="s">
        <v>125</v>
      </c>
      <c r="E29" s="16">
        <v>0.9</v>
      </c>
      <c r="G29" s="55" t="s">
        <v>95</v>
      </c>
      <c r="H29" s="16">
        <v>0.1</v>
      </c>
      <c r="K29" s="32"/>
      <c r="L29" s="16"/>
    </row>
    <row r="30" spans="1:12" ht="15" customHeight="1" x14ac:dyDescent="0.35">
      <c r="A30" s="55" t="s">
        <v>133</v>
      </c>
      <c r="B30" s="16">
        <v>2.2999999999999998</v>
      </c>
      <c r="D30" s="55" t="s">
        <v>133</v>
      </c>
      <c r="E30" s="16">
        <v>0.9</v>
      </c>
      <c r="G30" s="55" t="s">
        <v>99</v>
      </c>
      <c r="H30" s="16">
        <v>0.1</v>
      </c>
      <c r="K30" s="32"/>
      <c r="L30" s="16"/>
    </row>
    <row r="31" spans="1:12" x14ac:dyDescent="0.35">
      <c r="A31" s="55" t="s">
        <v>101</v>
      </c>
      <c r="B31" s="16">
        <v>2.2000000000000002</v>
      </c>
      <c r="D31" s="55" t="s">
        <v>93</v>
      </c>
      <c r="E31" s="16">
        <v>0.8</v>
      </c>
      <c r="G31" s="55" t="s">
        <v>101</v>
      </c>
      <c r="H31" s="16">
        <v>0.1</v>
      </c>
      <c r="K31" s="32"/>
      <c r="L31" s="16"/>
    </row>
    <row r="32" spans="1:12" x14ac:dyDescent="0.35">
      <c r="A32" s="55" t="s">
        <v>137</v>
      </c>
      <c r="B32" s="16">
        <v>2.1</v>
      </c>
      <c r="D32" s="55" t="s">
        <v>101</v>
      </c>
      <c r="E32" s="16">
        <v>0.8</v>
      </c>
      <c r="G32" s="55" t="s">
        <v>125</v>
      </c>
      <c r="H32" s="16">
        <v>0.1</v>
      </c>
      <c r="K32" s="32"/>
      <c r="L32" s="16"/>
    </row>
    <row r="33" spans="1:12" x14ac:dyDescent="0.35">
      <c r="A33" s="55" t="s">
        <v>97</v>
      </c>
      <c r="B33" s="16">
        <v>2</v>
      </c>
      <c r="D33" s="55" t="s">
        <v>139</v>
      </c>
      <c r="E33" s="16">
        <v>0.7</v>
      </c>
      <c r="G33" s="55" t="s">
        <v>133</v>
      </c>
      <c r="H33" s="16">
        <v>0.1</v>
      </c>
      <c r="K33" s="32"/>
      <c r="L33" s="16"/>
    </row>
    <row r="34" spans="1:12" x14ac:dyDescent="0.35">
      <c r="A34" s="55" t="s">
        <v>111</v>
      </c>
      <c r="B34" s="16">
        <v>1.9</v>
      </c>
      <c r="D34" s="55" t="s">
        <v>87</v>
      </c>
      <c r="E34" s="16">
        <v>0.6</v>
      </c>
      <c r="G34" s="55" t="s">
        <v>139</v>
      </c>
      <c r="H34" s="16">
        <v>0.1</v>
      </c>
      <c r="K34" s="32"/>
      <c r="L34" s="16"/>
    </row>
    <row r="35" spans="1:12" x14ac:dyDescent="0.35">
      <c r="A35" s="55" t="s">
        <v>139</v>
      </c>
      <c r="B35" s="16">
        <v>1.9</v>
      </c>
      <c r="D35" s="55" t="s">
        <v>137</v>
      </c>
      <c r="E35" s="16">
        <v>0.6</v>
      </c>
      <c r="G35" s="55" t="s">
        <v>111</v>
      </c>
      <c r="H35" s="16">
        <v>0</v>
      </c>
      <c r="K35" s="32"/>
      <c r="L35" s="16"/>
    </row>
    <row r="36" spans="1:12" x14ac:dyDescent="0.35">
      <c r="A36" s="55" t="s">
        <v>95</v>
      </c>
      <c r="B36" s="16">
        <v>1.6</v>
      </c>
      <c r="D36" s="55" t="s">
        <v>95</v>
      </c>
      <c r="E36" s="16">
        <v>0.5</v>
      </c>
      <c r="G36" s="55" t="s">
        <v>119</v>
      </c>
      <c r="H36" s="16">
        <v>0</v>
      </c>
      <c r="K36" s="32"/>
      <c r="L36" s="16"/>
    </row>
    <row r="37" spans="1:12" x14ac:dyDescent="0.35">
      <c r="A37" s="55" t="s">
        <v>99</v>
      </c>
      <c r="B37" s="16">
        <v>1</v>
      </c>
      <c r="D37" s="55" t="s">
        <v>99</v>
      </c>
      <c r="E37" s="16">
        <v>0.1</v>
      </c>
      <c r="G37" s="55" t="s">
        <v>137</v>
      </c>
      <c r="H37" s="16">
        <v>0</v>
      </c>
      <c r="K37" s="32"/>
      <c r="L37" s="16"/>
    </row>
  </sheetData>
  <pageMargins left="0.7" right="0.7" top="0.75" bottom="0.75" header="0.3" footer="0.3"/>
  <drawing r:id="rId1"/>
  <tableParts count="3">
    <tablePart r:id="rId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41AE-8DC5-4835-A0A5-CBA2DBC8CBD5}">
  <dimension ref="A1:A2"/>
  <sheetViews>
    <sheetView workbookViewId="0"/>
  </sheetViews>
  <sheetFormatPr defaultRowHeight="15.5" x14ac:dyDescent="0.35"/>
  <cols>
    <col min="1" max="1" width="72.4609375" customWidth="1"/>
  </cols>
  <sheetData>
    <row r="1" spans="1:1" ht="27" customHeight="1" x14ac:dyDescent="0.4">
      <c r="A1" s="66" t="s">
        <v>306</v>
      </c>
    </row>
    <row r="2" spans="1:1" x14ac:dyDescent="0.35">
      <c r="A2" s="45" t="str">
        <f>HYPERLINK("#'Table of contents'!A1", "Back to contents")</f>
        <v>Back to contents</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464C-510B-4F00-856C-58AD4AA44F29}">
  <dimension ref="A1:H17"/>
  <sheetViews>
    <sheetView workbookViewId="0"/>
  </sheetViews>
  <sheetFormatPr defaultColWidth="8.84375" defaultRowHeight="15.5" x14ac:dyDescent="0.35"/>
  <cols>
    <col min="1" max="1" width="21.3046875" style="47" customWidth="1"/>
    <col min="2" max="2" width="20" style="47" bestFit="1" customWidth="1"/>
    <col min="3" max="3" width="20.69140625" style="47" customWidth="1"/>
    <col min="4" max="4" width="26.84375" style="76" customWidth="1"/>
    <col min="5" max="16384" width="8.84375" style="47"/>
  </cols>
  <sheetData>
    <row r="1" spans="1:8" ht="20" x14ac:dyDescent="0.4">
      <c r="A1" s="66" t="s">
        <v>307</v>
      </c>
    </row>
    <row r="2" spans="1:8" x14ac:dyDescent="0.35">
      <c r="A2" s="47" t="s">
        <v>260</v>
      </c>
    </row>
    <row r="3" spans="1:8" x14ac:dyDescent="0.35">
      <c r="A3" s="45" t="str">
        <f>HYPERLINK("#'Table of contents'!A1", "Back to contents")</f>
        <v>Back to contents</v>
      </c>
    </row>
    <row r="4" spans="1:8" ht="32.5" customHeight="1" x14ac:dyDescent="0.35">
      <c r="A4" s="77" t="s">
        <v>207</v>
      </c>
      <c r="B4" s="77" t="s">
        <v>49</v>
      </c>
      <c r="C4" s="77" t="s">
        <v>319</v>
      </c>
      <c r="D4" s="78" t="s">
        <v>316</v>
      </c>
    </row>
    <row r="5" spans="1:8" x14ac:dyDescent="0.35">
      <c r="A5" s="71">
        <v>2025</v>
      </c>
      <c r="B5" s="47" t="s">
        <v>188</v>
      </c>
      <c r="C5" s="69">
        <v>1002004</v>
      </c>
      <c r="D5" s="76">
        <v>6.35</v>
      </c>
      <c r="H5" s="116"/>
    </row>
    <row r="6" spans="1:8" x14ac:dyDescent="0.35">
      <c r="A6" s="71">
        <v>2025</v>
      </c>
      <c r="B6" s="47" t="s">
        <v>189</v>
      </c>
      <c r="C6" s="69">
        <v>886172</v>
      </c>
      <c r="D6" s="76">
        <v>6.5</v>
      </c>
      <c r="H6" s="116"/>
    </row>
    <row r="7" spans="1:8" x14ac:dyDescent="0.35">
      <c r="A7" s="71">
        <v>2025</v>
      </c>
      <c r="B7" s="47" t="s">
        <v>190</v>
      </c>
      <c r="C7" s="69">
        <v>226608</v>
      </c>
      <c r="D7" s="76">
        <v>10.210000000000001</v>
      </c>
      <c r="H7" s="116"/>
    </row>
    <row r="8" spans="1:8" x14ac:dyDescent="0.35">
      <c r="A8" s="71">
        <v>2025</v>
      </c>
      <c r="B8" s="47" t="s">
        <v>191</v>
      </c>
      <c r="C8" s="69">
        <v>73532</v>
      </c>
      <c r="D8" s="76">
        <v>3.74</v>
      </c>
      <c r="H8" s="116"/>
    </row>
    <row r="9" spans="1:8" x14ac:dyDescent="0.35">
      <c r="A9" s="71">
        <v>2025</v>
      </c>
      <c r="B9" s="47" t="s">
        <v>192</v>
      </c>
      <c r="C9" s="69">
        <v>308661</v>
      </c>
      <c r="D9" s="76">
        <v>17.2</v>
      </c>
      <c r="H9" s="116"/>
    </row>
    <row r="10" spans="1:8" x14ac:dyDescent="0.35">
      <c r="A10" s="71">
        <v>2025</v>
      </c>
      <c r="B10" s="47" t="s">
        <v>193</v>
      </c>
      <c r="C10" s="69">
        <v>150370</v>
      </c>
      <c r="D10" s="76">
        <v>9.48</v>
      </c>
      <c r="H10" s="116"/>
    </row>
    <row r="12" spans="1:8" x14ac:dyDescent="0.35">
      <c r="E12"/>
      <c r="H12" s="116"/>
    </row>
    <row r="13" spans="1:8" x14ac:dyDescent="0.35">
      <c r="E13"/>
      <c r="H13" s="116"/>
    </row>
    <row r="14" spans="1:8" x14ac:dyDescent="0.35">
      <c r="E14"/>
      <c r="H14" s="116"/>
    </row>
    <row r="15" spans="1:8" x14ac:dyDescent="0.35">
      <c r="E15"/>
      <c r="H15" s="116"/>
    </row>
    <row r="16" spans="1:8" x14ac:dyDescent="0.35">
      <c r="E16"/>
      <c r="H16" s="116"/>
    </row>
    <row r="17" spans="5:8" x14ac:dyDescent="0.35">
      <c r="E17"/>
      <c r="H17" s="116"/>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8E73-D7FB-47C3-99C4-3AB1AA78BE64}">
  <dimension ref="A1:A2"/>
  <sheetViews>
    <sheetView workbookViewId="0"/>
  </sheetViews>
  <sheetFormatPr defaultRowHeight="15.5" x14ac:dyDescent="0.35"/>
  <cols>
    <col min="1" max="1" width="51.07421875" customWidth="1"/>
  </cols>
  <sheetData>
    <row r="1" spans="1:1" ht="26.15" customHeight="1" x14ac:dyDescent="0.4">
      <c r="A1" s="79" t="s">
        <v>344</v>
      </c>
    </row>
    <row r="2" spans="1:1" x14ac:dyDescent="0.35">
      <c r="A2" s="45" t="str">
        <f>HYPERLINK("#'Table of contents'!A1", "Back to contents")</f>
        <v>Back to contents</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8144-E858-43F5-8F25-ED1A966AF5A5}">
  <dimension ref="A1:H16"/>
  <sheetViews>
    <sheetView workbookViewId="0"/>
  </sheetViews>
  <sheetFormatPr defaultColWidth="11.53515625" defaultRowHeight="15.5" x14ac:dyDescent="0.35"/>
  <cols>
    <col min="1" max="1" width="19.69140625" customWidth="1"/>
    <col min="2" max="8" width="13.69140625" customWidth="1"/>
  </cols>
  <sheetData>
    <row r="1" spans="1:8" ht="20" x14ac:dyDescent="0.4">
      <c r="A1" s="46" t="s">
        <v>345</v>
      </c>
    </row>
    <row r="2" spans="1:8" x14ac:dyDescent="0.35">
      <c r="A2" t="s">
        <v>46</v>
      </c>
    </row>
    <row r="3" spans="1:8" x14ac:dyDescent="0.35">
      <c r="A3" s="5" t="str">
        <f>HYPERLINK("#'Table of Contents'!A1", "Back to contents")</f>
        <v>Back to contents</v>
      </c>
    </row>
    <row r="4" spans="1:8" ht="93" x14ac:dyDescent="0.35">
      <c r="A4" s="11" t="s">
        <v>195</v>
      </c>
      <c r="B4" s="12" t="s">
        <v>152</v>
      </c>
      <c r="C4" s="12" t="s">
        <v>153</v>
      </c>
      <c r="D4" s="12" t="s">
        <v>185</v>
      </c>
      <c r="E4" s="12" t="s">
        <v>155</v>
      </c>
      <c r="F4" s="12" t="s">
        <v>156</v>
      </c>
      <c r="G4" s="12" t="s">
        <v>186</v>
      </c>
      <c r="H4" s="12" t="s">
        <v>187</v>
      </c>
    </row>
    <row r="5" spans="1:8" x14ac:dyDescent="0.35">
      <c r="A5" t="s">
        <v>196</v>
      </c>
      <c r="B5" s="17">
        <v>96.4</v>
      </c>
      <c r="C5" s="17">
        <v>3.5</v>
      </c>
      <c r="D5" s="17">
        <v>2.2000000000000002</v>
      </c>
      <c r="E5" s="17">
        <v>1.3</v>
      </c>
      <c r="F5" s="17">
        <v>0.1</v>
      </c>
      <c r="G5" s="17">
        <v>3.3</v>
      </c>
      <c r="H5" s="17">
        <v>51.5</v>
      </c>
    </row>
    <row r="6" spans="1:8" x14ac:dyDescent="0.35">
      <c r="A6" t="s">
        <v>197</v>
      </c>
      <c r="B6" s="17">
        <v>96.2</v>
      </c>
      <c r="C6" s="17">
        <v>3.5</v>
      </c>
      <c r="D6" s="17">
        <v>1.9</v>
      </c>
      <c r="E6" s="17">
        <v>1.6</v>
      </c>
      <c r="F6" s="17">
        <v>0.3</v>
      </c>
      <c r="G6" s="17">
        <v>3.5</v>
      </c>
      <c r="H6" s="17">
        <v>47.2</v>
      </c>
    </row>
    <row r="7" spans="1:8" x14ac:dyDescent="0.35">
      <c r="A7" t="s">
        <v>198</v>
      </c>
      <c r="B7" s="17">
        <v>96.6</v>
      </c>
      <c r="C7" s="17">
        <v>3.2</v>
      </c>
      <c r="D7" s="17">
        <v>1.7</v>
      </c>
      <c r="E7" s="17">
        <v>1.5</v>
      </c>
      <c r="F7" s="17">
        <v>0.2</v>
      </c>
      <c r="G7" s="17">
        <v>3.1</v>
      </c>
      <c r="H7" s="17">
        <v>45.3</v>
      </c>
    </row>
    <row r="8" spans="1:8" x14ac:dyDescent="0.35">
      <c r="A8" t="s">
        <v>199</v>
      </c>
      <c r="B8" s="17">
        <v>96</v>
      </c>
      <c r="C8" s="17">
        <v>3.4</v>
      </c>
      <c r="D8" s="17">
        <v>1.7</v>
      </c>
      <c r="E8" s="17">
        <v>1.8</v>
      </c>
      <c r="F8" s="17">
        <v>0.6</v>
      </c>
      <c r="G8" s="17">
        <v>3.7</v>
      </c>
      <c r="H8" s="17">
        <v>42.2</v>
      </c>
    </row>
    <row r="9" spans="1:8" x14ac:dyDescent="0.35">
      <c r="A9" t="s">
        <v>200</v>
      </c>
      <c r="B9" s="17">
        <v>94.8</v>
      </c>
      <c r="C9" s="17">
        <v>3.7</v>
      </c>
      <c r="D9" s="17">
        <v>1.8</v>
      </c>
      <c r="E9" s="17">
        <v>2</v>
      </c>
      <c r="F9" s="17">
        <v>1.5</v>
      </c>
      <c r="G9" s="17">
        <v>2.8</v>
      </c>
      <c r="H9" s="17">
        <v>39.1</v>
      </c>
    </row>
    <row r="10" spans="1:8" x14ac:dyDescent="0.35">
      <c r="A10" t="s">
        <v>201</v>
      </c>
      <c r="B10" s="17">
        <v>94.5</v>
      </c>
      <c r="C10" s="17">
        <v>3.9</v>
      </c>
      <c r="D10" s="17">
        <v>1.7</v>
      </c>
      <c r="E10" s="17">
        <v>2.2999999999999998</v>
      </c>
      <c r="F10" s="17">
        <v>1.6</v>
      </c>
      <c r="G10" s="17">
        <v>4.3</v>
      </c>
      <c r="H10" s="17">
        <v>35.200000000000003</v>
      </c>
    </row>
    <row r="11" spans="1:8" x14ac:dyDescent="0.35">
      <c r="A11" t="s">
        <v>202</v>
      </c>
      <c r="B11" s="17">
        <v>95.2</v>
      </c>
      <c r="C11" s="17">
        <v>3.4</v>
      </c>
      <c r="D11" s="17">
        <v>1.6</v>
      </c>
      <c r="E11" s="17">
        <v>1.8</v>
      </c>
      <c r="F11" s="17">
        <v>1.4</v>
      </c>
      <c r="G11" s="17">
        <v>2.6</v>
      </c>
      <c r="H11" s="17">
        <v>34.1</v>
      </c>
    </row>
    <row r="12" spans="1:8" x14ac:dyDescent="0.35">
      <c r="A12" t="s">
        <v>203</v>
      </c>
      <c r="B12" s="17">
        <v>96.4</v>
      </c>
      <c r="C12" s="17">
        <v>2.8</v>
      </c>
      <c r="D12" s="17">
        <v>1.4</v>
      </c>
      <c r="E12" s="17">
        <v>1.4</v>
      </c>
      <c r="F12" s="17">
        <v>0.8</v>
      </c>
      <c r="G12" s="17">
        <v>2.5</v>
      </c>
      <c r="H12" s="17">
        <v>31.6</v>
      </c>
    </row>
    <row r="13" spans="1:8" x14ac:dyDescent="0.35">
      <c r="A13" t="s">
        <v>204</v>
      </c>
      <c r="B13" s="17">
        <v>97.2</v>
      </c>
      <c r="C13" s="17">
        <v>2.2999999999999998</v>
      </c>
      <c r="D13" s="17">
        <v>1.2</v>
      </c>
      <c r="E13" s="17">
        <v>1.1000000000000001</v>
      </c>
      <c r="F13" s="17">
        <v>0.5</v>
      </c>
      <c r="G13" s="17">
        <v>3.3</v>
      </c>
      <c r="H13" s="17">
        <v>29.9</v>
      </c>
    </row>
    <row r="14" spans="1:8" x14ac:dyDescent="0.35">
      <c r="A14" t="s">
        <v>205</v>
      </c>
      <c r="B14" s="17">
        <v>96.9</v>
      </c>
      <c r="C14" s="17">
        <v>2.4</v>
      </c>
      <c r="D14" s="17">
        <v>1.2</v>
      </c>
      <c r="E14" s="17">
        <v>1.2</v>
      </c>
      <c r="F14" s="17">
        <v>0.7</v>
      </c>
      <c r="G14" s="17">
        <v>3.5</v>
      </c>
      <c r="H14" s="17">
        <v>29.2</v>
      </c>
    </row>
    <row r="15" spans="1:8" ht="25" customHeight="1" x14ac:dyDescent="0.35">
      <c r="A15" s="80" t="s">
        <v>73</v>
      </c>
      <c r="B15" s="81">
        <v>96</v>
      </c>
      <c r="C15" s="81">
        <v>3.2</v>
      </c>
      <c r="D15" s="81">
        <v>1.6</v>
      </c>
      <c r="E15" s="81">
        <v>1.6</v>
      </c>
      <c r="F15" s="81">
        <v>0.8</v>
      </c>
      <c r="G15" s="81">
        <v>3.3</v>
      </c>
      <c r="H15" s="81">
        <v>38.700000000000003</v>
      </c>
    </row>
    <row r="16" spans="1:8" x14ac:dyDescent="0.35">
      <c r="B16" s="17"/>
      <c r="C16" s="17"/>
      <c r="D16" s="17"/>
      <c r="E16" s="17"/>
      <c r="F16" s="17"/>
      <c r="G16" s="17"/>
      <c r="H16" s="17"/>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A94A-5A9C-4642-8629-6AC15FC026D4}">
  <dimension ref="A1:A2"/>
  <sheetViews>
    <sheetView workbookViewId="0"/>
  </sheetViews>
  <sheetFormatPr defaultRowHeight="15.5" x14ac:dyDescent="0.35"/>
  <cols>
    <col min="1" max="1" width="82.3046875" customWidth="1"/>
  </cols>
  <sheetData>
    <row r="1" spans="1:1" ht="20" x14ac:dyDescent="0.4">
      <c r="A1" s="79" t="s">
        <v>308</v>
      </c>
    </row>
    <row r="2" spans="1:1" x14ac:dyDescent="0.35">
      <c r="A2" s="45" t="str">
        <f>HYPERLINK("#'Table of contents'!A1", "Back to contents")</f>
        <v>Back to contents</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DE79-57A4-4FE0-B0AD-D325D55262B3}">
  <dimension ref="A1:C7"/>
  <sheetViews>
    <sheetView workbookViewId="0"/>
  </sheetViews>
  <sheetFormatPr defaultColWidth="11.53515625" defaultRowHeight="15.5" x14ac:dyDescent="0.35"/>
  <cols>
    <col min="1" max="1" width="62.53515625" style="47" customWidth="1"/>
    <col min="2" max="2" width="27.765625" style="47" customWidth="1"/>
    <col min="3" max="3" width="42.4609375" style="47" customWidth="1"/>
    <col min="4" max="16384" width="11.53515625" style="47"/>
  </cols>
  <sheetData>
    <row r="1" spans="1:3" ht="20" x14ac:dyDescent="0.4">
      <c r="A1" s="79" t="s">
        <v>309</v>
      </c>
    </row>
    <row r="2" spans="1:3" ht="15" customHeight="1" x14ac:dyDescent="0.35">
      <c r="A2" s="82" t="s">
        <v>16</v>
      </c>
    </row>
    <row r="3" spans="1:3" ht="15" customHeight="1" x14ac:dyDescent="0.35">
      <c r="A3" s="45" t="str">
        <f>HYPERLINK("#'Table of contents'!A1", "Back to contents")</f>
        <v>Back to contents</v>
      </c>
    </row>
    <row r="4" spans="1:3" ht="33" customHeight="1" x14ac:dyDescent="0.35">
      <c r="A4" s="83" t="s">
        <v>233</v>
      </c>
      <c r="B4" s="84" t="s">
        <v>234</v>
      </c>
      <c r="C4" s="84" t="s">
        <v>235</v>
      </c>
    </row>
    <row r="5" spans="1:3" ht="35.25" customHeight="1" x14ac:dyDescent="0.35">
      <c r="A5" s="85" t="s">
        <v>236</v>
      </c>
      <c r="B5" s="47">
        <v>93.8</v>
      </c>
      <c r="C5" s="16">
        <v>12.1</v>
      </c>
    </row>
    <row r="6" spans="1:3" x14ac:dyDescent="0.35">
      <c r="A6" s="86" t="s">
        <v>237</v>
      </c>
      <c r="B6" s="47">
        <v>51.5</v>
      </c>
      <c r="C6" s="47">
        <v>29.2</v>
      </c>
    </row>
    <row r="7" spans="1:3" ht="29.25" customHeight="1" x14ac:dyDescent="0.35">
      <c r="A7" s="87" t="s">
        <v>183</v>
      </c>
      <c r="B7" s="16">
        <v>19.510000000000002</v>
      </c>
      <c r="C7" s="16">
        <v>7.44</v>
      </c>
    </row>
  </sheetData>
  <pageMargins left="0.7" right="0.7" top="0.75" bottom="0.75" header="0.3" footer="0.3"/>
  <pageSetup paperSize="9"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A56936080</value>
    </field>
    <field name="Objective-Title">
      <value order="0">NRS - Household Estimates 2025 - publication - Tables - FINAL</value>
    </field>
    <field name="Objective-Description">
      <value order="0"/>
    </field>
    <field name="Objective-CreationStamp">
      <value order="0">2026-07-19T08:35:40Z</value>
    </field>
    <field name="Objective-IsApproved">
      <value order="0">false</value>
    </field>
    <field name="Objective-IsPublished">
      <value order="0">false</value>
    </field>
    <field name="Objective-DatePublished">
      <value order="0"/>
    </field>
    <field name="Objective-ModificationStamp">
      <value order="0">2026-07-31T13:47:41Z</value>
    </field>
    <field name="Objective-Owner">
      <value order="0">Leadbetter, Clare C (U417137)</value>
    </field>
    <field name="Objective-Path">
      <value order="0">Objective Global Folder:SG File Plan:People, communities and living:Population and migration:Demography:Research and analysis: Demography:National Records of Scotland (NRS): Household Statistics: Household estimates 2025: Pre-publication: 2025-2030</value>
    </field>
    <field name="Objective-Parent">
      <value order="0">National Records of Scotland (NRS): Household Statistics: Household estimates 2025: Pre-publication: 2025-2030</value>
    </field>
    <field name="Objective-State">
      <value order="0">Being Drafted</value>
    </field>
    <field name="Objective-VersionId">
      <value order="0">vA86662243</value>
    </field>
    <field name="Objective-Version">
      <value order="0">0.17</value>
    </field>
    <field name="Objective-VersionNumber">
      <value order="0">17</value>
    </field>
    <field name="Objective-VersionComment">
      <value order="0"/>
    </field>
    <field name="Objective-FileNumber">
      <value order="0">STAT/825</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vt:i4>
      </vt:variant>
    </vt:vector>
  </HeadingPairs>
  <TitlesOfParts>
    <vt:vector size="36" baseType="lpstr">
      <vt:lpstr>Cover Sheet</vt:lpstr>
      <vt:lpstr>Table of Contents</vt:lpstr>
      <vt:lpstr>Notes</vt:lpstr>
      <vt:lpstr>Table1</vt:lpstr>
      <vt:lpstr>Table2</vt:lpstr>
      <vt:lpstr>Table3</vt:lpstr>
      <vt:lpstr>Table4</vt:lpstr>
      <vt:lpstr>Table5</vt:lpstr>
      <vt:lpstr>Table6a</vt:lpstr>
      <vt:lpstr>Table6b</vt:lpstr>
      <vt:lpstr>Table6c</vt:lpstr>
      <vt:lpstr>Table7</vt:lpstr>
      <vt:lpstr>Table8</vt:lpstr>
      <vt:lpstr>Table9</vt:lpstr>
      <vt:lpstr>Table10</vt:lpstr>
      <vt:lpstr>Table11</vt:lpstr>
      <vt:lpstr>Table12</vt:lpstr>
      <vt:lpstr>Figure 1a</vt:lpstr>
      <vt:lpstr>Figure 1a data</vt:lpstr>
      <vt:lpstr>Figure 1b</vt:lpstr>
      <vt:lpstr>Figure 1b data</vt:lpstr>
      <vt:lpstr>Figure 2</vt:lpstr>
      <vt:lpstr>Figure 2 data</vt:lpstr>
      <vt:lpstr>Figure 3</vt:lpstr>
      <vt:lpstr>Figure 3 data</vt:lpstr>
      <vt:lpstr>Figure 4</vt:lpstr>
      <vt:lpstr>Figure 4 data</vt:lpstr>
      <vt:lpstr>Figure 5</vt:lpstr>
      <vt:lpstr>Figure 5 data</vt:lpstr>
      <vt:lpstr>Figure 6</vt:lpstr>
      <vt:lpstr>Figure 6 data</vt:lpstr>
      <vt:lpstr>Figure 7</vt:lpstr>
      <vt:lpstr>Figure 7 data</vt:lpstr>
      <vt:lpstr>Figure 8</vt:lpstr>
      <vt:lpstr>Figure 8 data</vt:lpstr>
      <vt:lpstr>Notes!Print_Area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cp:lastPrinted>2026-07-24T11:00:07Z</cp:lastPrinted>
  <dcterms:created xsi:type="dcterms:W3CDTF">2024-06-07T11:04:10Z</dcterms:created>
  <dcterms:modified xsi:type="dcterms:W3CDTF">2026-08-03T12:58:39Z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A56936080</vt:lpwstr>
  </property>
  <property fmtid="{D5CDD505-2E9C-101B-9397-08002B2CF9AE}" pid="4" name="Objective-Title">
    <vt:lpwstr>NRS - Household Estimates 2025 - publication - Tables - FINAL</vt:lpwstr>
  </property>
  <property fmtid="{D5CDD505-2E9C-101B-9397-08002B2CF9AE}" pid="5" name="Objective-Description">
    <vt:lpwstr/>
  </property>
  <property fmtid="{D5CDD505-2E9C-101B-9397-08002B2CF9AE}" pid="6" name="Objective-CreationStamp">
    <vt:filetime>2026-07-19T08:35:40Z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2026-07-31T13:47:41Z</vt:filetime>
  </property>
  <property fmtid="{D5CDD505-2E9C-101B-9397-08002B2CF9AE}" pid="11" name="Objective-Owner">
    <vt:lpwstr>Leadbetter, Clare C (U417137)</vt:lpwstr>
  </property>
  <property fmtid="{D5CDD505-2E9C-101B-9397-08002B2CF9AE}" pid="12" name="Objective-Path">
    <vt:lpwstr>Objective Global Folder:SG File Plan:People, communities and living:Population and migration:Demography:Research and analysis: Demography:National Records of Scotland (NRS): Household Statistics: Household estimates 2025: Pre-publication: 2025-2030</vt:lpwstr>
  </property>
  <property fmtid="{D5CDD505-2E9C-101B-9397-08002B2CF9AE}" pid="13" name="Objective-Parent">
    <vt:lpwstr>National Records of Scotland (NRS): Household Statistics: Household estimates 2025: Pre-publication: 2025-2030</vt:lpwstr>
  </property>
  <property fmtid="{D5CDD505-2E9C-101B-9397-08002B2CF9AE}" pid="14" name="Objective-State">
    <vt:lpwstr>Being Drafted</vt:lpwstr>
  </property>
  <property fmtid="{D5CDD505-2E9C-101B-9397-08002B2CF9AE}" pid="15" name="Objective-VersionId">
    <vt:lpwstr>vA86662243</vt:lpwstr>
  </property>
  <property fmtid="{D5CDD505-2E9C-101B-9397-08002B2CF9AE}" pid="16" name="Objective-Version">
    <vt:lpwstr>0.17</vt:lpwstr>
  </property>
  <property fmtid="{D5CDD505-2E9C-101B-9397-08002B2CF9AE}" pid="17" name="Objective-VersionNumber">
    <vt:r8>17</vt:r8>
  </property>
  <property fmtid="{D5CDD505-2E9C-101B-9397-08002B2CF9AE}" pid="18" name="Objective-VersionComment">
    <vt:lpwstr/>
  </property>
  <property fmtid="{D5CDD505-2E9C-101B-9397-08002B2CF9AE}" pid="19" name="Objective-FileNumber">
    <vt:lpwstr>STAT/825</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Comment">
    <vt:lpwstr/>
  </property>
  <property fmtid="{D5CDD505-2E9C-101B-9397-08002B2CF9AE}" pid="30" name="Objective-Access Conditions">
    <vt:lpwstr/>
  </property>
  <property fmtid="{D5CDD505-2E9C-101B-9397-08002B2CF9AE}" pid="31" name="Objective-Access Status">
    <vt:lpwstr/>
  </property>
  <property fmtid="{D5CDD505-2E9C-101B-9397-08002B2CF9AE}" pid="32" name="Objective-Date Open From">
    <vt:lpwstr/>
  </property>
</Properties>
</file>