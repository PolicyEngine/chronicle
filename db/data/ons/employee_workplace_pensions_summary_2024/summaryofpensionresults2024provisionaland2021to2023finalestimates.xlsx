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U:\Projects\AH\Pensions\Outputs\SummaryTables_2026March\"/>
    </mc:Choice>
  </mc:AlternateContent>
  <xr:revisionPtr revIDLastSave="0" documentId="13_ncr:1_{99E76C89-B428-4553-BF18-8CBD805E683A}" xr6:coauthVersionLast="47" xr6:coauthVersionMax="47" xr10:uidLastSave="{00000000-0000-0000-0000-000000000000}"/>
  <bookViews>
    <workbookView xWindow="-108" yWindow="-108" windowWidth="23256" windowHeight="13896" xr2:uid="{3BD8FA18-8616-498C-8453-381FF6EC5FDE}"/>
  </bookViews>
  <sheets>
    <sheet name="Cover Sheet" sheetId="4" r:id="rId1"/>
    <sheet name="Contents" sheetId="1" r:id="rId2"/>
    <sheet name="Notes" sheetId="2" r:id="rId3"/>
    <sheet name="Glossary " sheetId="7" r:id="rId4"/>
    <sheet name="Table 1" sheetId="5" r:id="rId5"/>
    <sheet name="Table 2" sheetId="6" r:id="rId6"/>
    <sheet name="Table 3" sheetId="8" r:id="rId7"/>
    <sheet name="Table 4"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7" i="1"/>
  <c r="A6" i="1"/>
  <c r="A5" i="1"/>
  <c r="A4" i="1"/>
  <c r="A3" i="8"/>
  <c r="A3" i="5"/>
  <c r="A3" i="6"/>
</calcChain>
</file>

<file path=xl/sharedStrings.xml><?xml version="1.0" encoding="utf-8"?>
<sst xmlns="http://schemas.openxmlformats.org/spreadsheetml/2006/main" count="268" uniqueCount="92">
  <si>
    <t>This workbook contains 4 worksheets of data relating to the Annual Survey of Hours and Earnings (ASHE).</t>
  </si>
  <si>
    <t>The information below is provided to help users understand the pension estimates from ASHE. It gives guidance on the meanings, coverage and quality of the statistics.</t>
  </si>
  <si>
    <t>Key points to note</t>
  </si>
  <si>
    <t>Estimates available in this document</t>
  </si>
  <si>
    <t>See 'Glossary' sheet for definitions of the pension types referred to in this document.</t>
  </si>
  <si>
    <t>In previous editions of these tables, contribution rates were calculated as a percentage of pensionable pay. The change in method means the rates in this and future editions are not comparable with the 2021 provisional or earlier versions. Further details are available in the Quality and Methods guide.</t>
  </si>
  <si>
    <t>Coverage</t>
  </si>
  <si>
    <t>ASHE covers employee jobs in the United Kingdom. It does not cover the self-employed, nor does it cover employees not paid during the reference period.</t>
  </si>
  <si>
    <t>Estimates in tables include employees on adult rates, excluding those whose pay was affected by absence in the survey reference period.</t>
  </si>
  <si>
    <t>ASHE is based on a 1% sample of jobs taken from HM Revenue and Customs' Pay As You Earn (PAYE) records. Consequently, individuals with more than one job may appear in the sample more than once.</t>
  </si>
  <si>
    <t>As ASHE is a survey of employers, it covers only workplace pensions, which are those that are either provided or facilitated by employers. It does not cover individual personal or stakeholder pensions, where individuals enter into a contract with an insurance company and where that contract is not facilitated by an employer.</t>
  </si>
  <si>
    <t>ASHE collects information on only the current employer’s pension scheme. Employees may hold preserved rights in former employers’ pension schemes or be in receipt of a pension from a former employer. This information is not captured by the survey.</t>
  </si>
  <si>
    <t>In ASHE, employees are defined as making contributions to a workplace pension if they have made a contribution, or had a contribution made on their behalf, in the survey pay period.</t>
  </si>
  <si>
    <t xml:space="preserve">ASHE data are weighted to UK population totals from the Labour Force Survey (LFS) based on classes defined by region, occupation, age and sex. </t>
  </si>
  <si>
    <t>Publication Date</t>
  </si>
  <si>
    <t>Date published: 10th March 2026</t>
  </si>
  <si>
    <t>Source</t>
  </si>
  <si>
    <t>Annual Survey of Hours and Earnings, Office for National Statistics</t>
  </si>
  <si>
    <t>Contacts</t>
  </si>
  <si>
    <t>For more general enquiries about ASHE, please contact: earnings@ons.gov.uk</t>
  </si>
  <si>
    <t>Contents</t>
  </si>
  <si>
    <t>This worksheet contains one table.</t>
  </si>
  <si>
    <t>Table number</t>
  </si>
  <si>
    <t>Table Title</t>
  </si>
  <si>
    <t>Notes</t>
  </si>
  <si>
    <t>Note number</t>
  </si>
  <si>
    <t>Note text</t>
  </si>
  <si>
    <t>Glossary</t>
  </si>
  <si>
    <t>Term</t>
  </si>
  <si>
    <t>Definition</t>
  </si>
  <si>
    <t>Contributions</t>
  </si>
  <si>
    <t>Payments into a pension by employees, employers, or third parties. Contributions are presented as rates, calculated as the amount paid into the workplace pension in the survey pay period as a percentage of qualifying earnings for the survey pay period.</t>
  </si>
  <si>
    <t>Group personal pension</t>
  </si>
  <si>
    <t>Group stakeholder pension</t>
  </si>
  <si>
    <t>Measure</t>
  </si>
  <si>
    <t>Pension type</t>
  </si>
  <si>
    <t>2021</t>
  </si>
  <si>
    <t>2022</t>
  </si>
  <si>
    <t>2023</t>
  </si>
  <si>
    <t>2024</t>
  </si>
  <si>
    <t>Defined benefit</t>
  </si>
  <si>
    <t>Defined contribution</t>
  </si>
  <si>
    <t>Group self-invested personal pension</t>
  </si>
  <si>
    <t>Unknown pension provision</t>
  </si>
  <si>
    <t>Count</t>
  </si>
  <si>
    <t>Sector</t>
  </si>
  <si>
    <t>Sex</t>
  </si>
  <si>
    <t>All sectors</t>
  </si>
  <si>
    <t>Male</t>
  </si>
  <si>
    <t>Female</t>
  </si>
  <si>
    <t>Private sector</t>
  </si>
  <si>
    <t>Public sector</t>
  </si>
  <si>
    <t>Employees on adult rates whose pay for the survey pay period was not affected by absence.</t>
  </si>
  <si>
    <t>No known pension provision with employer.</t>
  </si>
  <si>
    <t>Contribution rates are the percentage of total earnings paid into a workplace pension. They are calculated as the amount paid into the pension, as a percentage of qualifying earnings for the survey pay period. See Cover Sheet for further details.</t>
  </si>
  <si>
    <t>Job counts are for indicative purposes only and should not be considered an accurate estimate of the number of employee jobs.</t>
  </si>
  <si>
    <t>Percentage of jobs (%)</t>
  </si>
  <si>
    <t>Median contribution rate (%)</t>
  </si>
  <si>
    <t>2. Job counts are not accurate estimates. See below for more information.</t>
  </si>
  <si>
    <r>
      <rPr>
        <i/>
        <sz val="12"/>
        <color theme="1"/>
        <rFont val="Arial"/>
        <family val="2"/>
      </rPr>
      <t xml:space="preserve">Jobs </t>
    </r>
    <r>
      <rPr>
        <sz val="12"/>
        <color theme="1"/>
        <rFont val="Arial"/>
        <family val="2"/>
      </rPr>
      <t>- Indicative counts for the number of jobs are provided. These are intended to give a broad idea of the numbers of employee jobs but they should not be considered accurate estimates. Caution should be applied when using these numbers.</t>
    </r>
  </si>
  <si>
    <t>Percentages within a year may not sum to 100% due to rounding.</t>
  </si>
  <si>
    <t>Percentage of jobs (%) [note 2]</t>
  </si>
  <si>
    <t>No pension provision [note 3]</t>
  </si>
  <si>
    <t>Number of jobs (thousands) [note 4]</t>
  </si>
  <si>
    <t>1. Estimates vary in quality, mainly reflecting the size of the samples. See below for more information.</t>
  </si>
  <si>
    <r>
      <t xml:space="preserve">Counts - </t>
    </r>
    <r>
      <rPr>
        <sz val="12"/>
        <rFont val="Arial"/>
        <family val="2"/>
      </rPr>
      <t>The underlying sample size used to calculate the estimates presented are provided.</t>
    </r>
    <r>
      <rPr>
        <i/>
        <sz val="12"/>
        <rFont val="Arial"/>
        <family val="2"/>
      </rPr>
      <t xml:space="preserve"> </t>
    </r>
    <r>
      <rPr>
        <sz val="12"/>
        <rFont val="Arial"/>
        <family val="2"/>
      </rPr>
      <t>These are intended to provide a broad measure of the quality of each estimate</t>
    </r>
    <r>
      <rPr>
        <i/>
        <sz val="12"/>
        <rFont val="Arial"/>
        <family val="2"/>
      </rPr>
      <t>.</t>
    </r>
  </si>
  <si>
    <t>For queries about these pension estimates, please contact: pensionsanalysis@ons.gov.uk</t>
  </si>
  <si>
    <t>If an employee is enrolled in a workplace pension scheme, the employee and employer pay a percentage of the employee earnings into the workplace pension scheme. These are the employee and employer contribution rates. The qualifying earnings contribution rate is calculated as the amount paid into a workplace pension, expressed as a percentage of qualifying earnings. Because it uses the same qualifying earnings basis, this measure is comparable with the automatic enrolment minimum contribution definitions.</t>
  </si>
  <si>
    <t>Number of jobs refers to the number of employee jobs with a workplace pension.</t>
  </si>
  <si>
    <t>Number of jobs (thousands) [notes 4, 5, 6]</t>
  </si>
  <si>
    <t>Count [note 5]</t>
  </si>
  <si>
    <t>Pension estimates are provided for the pay period that included a specified date in April (21 April 2021; 27 April 2022; 19 April 2023; 17 April 2024).</t>
  </si>
  <si>
    <t>Breakdowns may not sum to totals due to omitted categories or rounding.</t>
  </si>
  <si>
    <t>Annual Survey of Hours and Earnings - Summary of Pension Results: United Kingdom, 2024 provisional and 2021 to 2023 final estimates</t>
  </si>
  <si>
    <t>Pension membership by pension type, for all employee jobs: United Kingdom, 2024 provisional and 2021 to 2023 final</t>
  </si>
  <si>
    <t>Pension membership by pension type, for employee jobs with a workplace pension: United Kingdom, 2024 provisional and 2021 to 2023 final</t>
  </si>
  <si>
    <t>Pension membership by sector and sex, for all employee jobs: United Kingdom, 2024 provisional and 2021 to 2023 final</t>
  </si>
  <si>
    <t>Employer contribution rates (percentage of qualifying earnings) by sector and sex, for all employee jobs: United Kingdom, 2024 provisional and 2021 to 2023 final</t>
  </si>
  <si>
    <t>Table 1: Pension membership by pension type, for all employee jobs [note 1]: United Kingdom, 2024 provisional and 2021 to 2023 final</t>
  </si>
  <si>
    <t>Table 3: Pension membership by sector and sex, for all employee jobs [note 1]: United Kingdom, 2024 provisional and 2021 to 2023 final</t>
  </si>
  <si>
    <t>Table 2: Pension membership by pension type, for employee jobs with a workplace pension [note 1]: United Kingdom, 2024 provisional and 2021 to 2023 final</t>
  </si>
  <si>
    <t>Defined benefit scheme</t>
  </si>
  <si>
    <t>Defined contribution scheme</t>
  </si>
  <si>
    <t>Table 4: Employer contribution rates (percentage of qualifying earnings) by sector and sex, for all employee jobs [notes 1, 7, 8]: United Kingdom, 2024 provisional and 2021 to 2023 final</t>
  </si>
  <si>
    <t xml:space="preserve">Defined benefit (DB) schemes are one of two main types of pension scheme and are predominantly workplace occupational (also known as trust-based) schemes. A workplace DB scheme is a type of workplace pension run by the organisation (employer). The rate of benefits to be paid is determined by the scheme rules. The most common scheme is a salary-related scheme in which benefits are based on the number of years of pensionable service, the accrual rate, and the salary (average or final). The pension usually pays an income for life and may include a lump sum. Employers with DB schemes have a legal requirement to ensure schemes are sufficiently funded to pay future pensions. Therefore, employer and employee contribution rates tend to be higher for DB pensions compared with other pension types. </t>
  </si>
  <si>
    <t>Defined contribution (DC) pensions are one of two main types of pension scheme, where schemes may be workplace or individual. It is a type of pension where benefits are determined by contributions paid into the scheme and investment return on those contributions. The pension provides a pot of money for retirement, not a guaranteed pension. It is also known as a money purchase scheme. 
ASHE provides information on workplace pensions. Workplace DC pensions may be occupational (also known as trust-based) or personal (also known as contract-based); these are quite distinct and considered separately in ASHE. Definitions of personal workplace DC pensions are given below. Occupational workplace DC pension schemes are run by the organisation (employer). The National Employment Savings Trust (NEST) pension schemes are included within our definition of occupational workplace DC pension scheme.</t>
  </si>
  <si>
    <t xml:space="preserve">Group personal pensions (GPPs) are a type of personal, also known as contract-based, DC workplace pension scheme (See DC definition). It is a workplace pension facilitated, but not run, by the organisation (employer). An arrangement for employees to participate in a personal pension on a group basis. The contract is between the individual and the pension provider. </t>
  </si>
  <si>
    <t xml:space="preserve">Group self-invested personal pensions (GSIPPs) are a type of personal, also known as contract-based, DC workplace pension scheme (See DC definition). It is a workplace pension facilitated, but not run, by the organisation (employer). An arrangement made for employees to participate in a SIPP on a group basis. The GSIPP is similar to the group personal pension, except that members have a wider choice of investments. </t>
  </si>
  <si>
    <t xml:space="preserve">Group stakeholder pensions (GSPs) are a type of personal, also known as contract-based, DC workplace pension scheme (See DC definition). It is a workplace pension facilitated, but not run, by the organisation (employer). An arrangement for employees to participate in a stakeholder pension on a group basis. The contract is between the individual and the pension provider. </t>
  </si>
  <si>
    <t>Lower earnings limit</t>
  </si>
  <si>
    <t>The lower earnings limit (LEL) is the lower threshold that determines the band of qualifying earnings upon which minimum pension contributions are calculated for eligible employees. For the 2021-22 tax year to 2023-24 tax year inclusive, this is £6,240 annually.</t>
  </si>
  <si>
    <t>For all employee jobs with a pension who earn above the lower earnings limit. See Glossary Sheet for further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</si>
</sst>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rial"/>
      <family val="2"/>
    </font>
    <font>
      <sz val="12"/>
      <color theme="1"/>
      <name val="Arial"/>
      <family val="2"/>
    </font>
    <font>
      <b/>
      <sz val="15"/>
      <color theme="3"/>
      <name val="Arial"/>
      <family val="2"/>
    </font>
    <font>
      <b/>
      <sz val="13"/>
      <color theme="3"/>
      <name val="Arial"/>
      <family val="2"/>
    </font>
    <font>
      <sz val="12"/>
      <color rgb="FFFF0000"/>
      <name val="Arial"/>
      <family val="2"/>
    </font>
    <font>
      <u/>
      <sz val="12"/>
      <color theme="10"/>
      <name val="Arial"/>
      <family val="2"/>
    </font>
    <font>
      <b/>
      <sz val="15"/>
      <name val="Arial"/>
      <family val="2"/>
    </font>
    <font>
      <sz val="11"/>
      <color theme="1"/>
      <name val="Aptos Narrow"/>
      <family val="2"/>
      <scheme val="minor"/>
    </font>
    <font>
      <sz val="12"/>
      <name val="Arial"/>
      <family val="2"/>
    </font>
    <font>
      <b/>
      <sz val="13"/>
      <name val="Arial"/>
      <family val="2"/>
    </font>
    <font>
      <b/>
      <sz val="13"/>
      <color theme="1"/>
      <name val="Arial"/>
      <family val="2"/>
    </font>
    <font>
      <sz val="12"/>
      <color theme="8"/>
      <name val="Arial"/>
      <family val="2"/>
    </font>
    <font>
      <u/>
      <sz val="12"/>
      <color rgb="FFFF0000"/>
      <name val="Arial"/>
      <family val="2"/>
    </font>
    <font>
      <sz val="11"/>
      <color rgb="FFFF0000"/>
      <name val="Aptos Narrow"/>
      <family val="2"/>
      <scheme val="minor"/>
    </font>
    <font>
      <sz val="11"/>
      <name val="Aptos Narrow"/>
      <family val="2"/>
      <scheme val="minor"/>
    </font>
    <font>
      <sz val="11"/>
      <color rgb="FFFF0000"/>
      <name val="Arial"/>
      <family val="2"/>
    </font>
    <font>
      <b/>
      <sz val="12"/>
      <color rgb="FFFF0000"/>
      <name val="Arial"/>
      <family val="2"/>
    </font>
    <font>
      <b/>
      <sz val="12"/>
      <name val="Arial"/>
      <family val="2"/>
    </font>
    <font>
      <i/>
      <sz val="12"/>
      <color theme="1"/>
      <name val="Arial"/>
      <family val="2"/>
    </font>
    <font>
      <i/>
      <sz val="12"/>
      <name val="Arial"/>
      <family val="2"/>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7">
    <xf numFmtId="0" fontId="0" fillId="0" borderId="0"/>
    <xf numFmtId="0" fontId="2" fillId="0" borderId="1" applyNumberFormat="0" applyFill="0" applyAlignment="0" applyProtection="0"/>
    <xf numFmtId="0" fontId="3" fillId="0" borderId="2" applyNumberFormat="0" applyFill="0" applyAlignment="0" applyProtection="0"/>
    <xf numFmtId="0" fontId="5" fillId="0" borderId="0" applyNumberFormat="0" applyFill="0" applyBorder="0" applyAlignment="0" applyProtection="0"/>
    <xf numFmtId="0" fontId="7" fillId="0" borderId="0"/>
    <xf numFmtId="0" fontId="1" fillId="0" borderId="0"/>
    <xf numFmtId="0" fontId="7" fillId="0" borderId="0"/>
  </cellStyleXfs>
  <cellXfs count="47">
    <xf numFmtId="0" fontId="0" fillId="0" borderId="0" xfId="0"/>
    <xf numFmtId="0" fontId="0" fillId="0" borderId="0" xfId="0" applyAlignment="1">
      <alignment wrapText="1"/>
    </xf>
    <xf numFmtId="0" fontId="0" fillId="0" borderId="0" xfId="0" applyAlignment="1">
      <alignment vertical="top" wrapText="1"/>
    </xf>
    <xf numFmtId="0" fontId="8" fillId="0" borderId="0" xfId="4" applyFont="1" applyAlignment="1">
      <alignment horizontal="left" vertical="top" wrapText="1"/>
    </xf>
    <xf numFmtId="0" fontId="9" fillId="0" borderId="0" xfId="2" applyFont="1" applyFill="1" applyBorder="1" applyAlignment="1">
      <alignment wrapText="1"/>
    </xf>
    <xf numFmtId="0" fontId="9" fillId="0" borderId="0" xfId="2" applyFont="1" applyFill="1" applyBorder="1" applyAlignment="1"/>
    <xf numFmtId="0" fontId="8" fillId="0" borderId="0" xfId="0" applyFont="1" applyAlignment="1">
      <alignment vertical="top" wrapText="1"/>
    </xf>
    <xf numFmtId="0" fontId="10" fillId="0" borderId="0" xfId="0" applyFont="1" applyAlignment="1">
      <alignment wrapText="1"/>
    </xf>
    <xf numFmtId="0" fontId="4" fillId="0" borderId="0" xfId="0" applyFont="1"/>
    <xf numFmtId="0" fontId="11" fillId="0" borderId="0" xfId="0" applyFont="1"/>
    <xf numFmtId="0" fontId="8" fillId="0" borderId="0" xfId="4" applyFont="1" applyAlignment="1">
      <alignment vertical="top" wrapText="1"/>
    </xf>
    <xf numFmtId="0" fontId="0" fillId="0" borderId="0" xfId="0" applyAlignment="1">
      <alignment vertical="top"/>
    </xf>
    <xf numFmtId="0" fontId="4" fillId="0" borderId="0" xfId="0" applyFont="1" applyAlignment="1">
      <alignment vertical="top" wrapText="1"/>
    </xf>
    <xf numFmtId="0" fontId="4" fillId="0" borderId="0" xfId="0" applyFont="1" applyAlignment="1">
      <alignment vertical="top"/>
    </xf>
    <xf numFmtId="0" fontId="1" fillId="0" borderId="0" xfId="5" applyAlignment="1">
      <alignment vertical="top" wrapText="1"/>
    </xf>
    <xf numFmtId="0" fontId="4" fillId="0" borderId="0" xfId="0" applyFont="1" applyAlignment="1">
      <alignment horizontal="left"/>
    </xf>
    <xf numFmtId="0" fontId="6" fillId="0" borderId="0" xfId="1" applyFont="1" applyBorder="1"/>
    <xf numFmtId="0" fontId="9" fillId="0" borderId="0" xfId="2" applyFont="1" applyBorder="1"/>
    <xf numFmtId="0" fontId="6" fillId="0" borderId="0" xfId="1" applyFont="1" applyFill="1" applyBorder="1" applyAlignment="1">
      <alignment vertical="center" wrapText="1"/>
    </xf>
    <xf numFmtId="0" fontId="8" fillId="0" borderId="0" xfId="4" applyFont="1" applyAlignment="1">
      <alignment horizontal="left" vertical="center" wrapText="1"/>
    </xf>
    <xf numFmtId="0" fontId="8" fillId="0" borderId="0" xfId="4" applyFont="1" applyAlignment="1">
      <alignment horizontal="left" vertical="center"/>
    </xf>
    <xf numFmtId="0" fontId="13" fillId="0" borderId="0" xfId="4" applyFont="1" applyAlignment="1">
      <alignment vertical="center"/>
    </xf>
    <xf numFmtId="0" fontId="4" fillId="0" borderId="0" xfId="4" applyFont="1" applyAlignment="1">
      <alignment horizontal="left" vertical="center"/>
    </xf>
    <xf numFmtId="0" fontId="14" fillId="0" borderId="0" xfId="4" applyFont="1" applyAlignment="1">
      <alignment vertical="center"/>
    </xf>
    <xf numFmtId="0" fontId="15" fillId="0" borderId="0" xfId="4" applyFont="1" applyAlignment="1">
      <alignment vertical="center"/>
    </xf>
    <xf numFmtId="0" fontId="8" fillId="0" borderId="0" xfId="4" applyFont="1" applyAlignment="1">
      <alignment vertical="center"/>
    </xf>
    <xf numFmtId="0" fontId="8" fillId="0" borderId="0" xfId="4" applyFont="1" applyAlignment="1">
      <alignment horizontal="left" vertical="top"/>
    </xf>
    <xf numFmtId="0" fontId="4" fillId="0" borderId="0" xfId="4" applyFont="1" applyAlignment="1">
      <alignment vertical="center"/>
    </xf>
    <xf numFmtId="0" fontId="6" fillId="0" borderId="0" xfId="1" applyFont="1" applyFill="1" applyBorder="1" applyAlignment="1"/>
    <xf numFmtId="0" fontId="5" fillId="0" borderId="0" xfId="3"/>
    <xf numFmtId="0" fontId="8" fillId="0" borderId="0" xfId="3" applyFont="1"/>
    <xf numFmtId="0" fontId="12" fillId="0" borderId="0" xfId="3" applyFont="1"/>
    <xf numFmtId="0" fontId="9" fillId="0" borderId="0" xfId="2" applyFont="1" applyBorder="1" applyAlignment="1">
      <alignment horizontal="left" vertical="center"/>
    </xf>
    <xf numFmtId="2" fontId="0" fillId="0" borderId="0" xfId="0" applyNumberFormat="1"/>
    <xf numFmtId="3" fontId="0" fillId="0" borderId="0" xfId="0" applyNumberFormat="1"/>
    <xf numFmtId="0" fontId="9" fillId="0" borderId="0" xfId="2" applyFont="1" applyBorder="1" applyAlignment="1">
      <alignment horizontal="right"/>
    </xf>
    <xf numFmtId="0" fontId="0" fillId="0" borderId="0" xfId="0" applyAlignment="1">
      <alignment horizontal="right"/>
    </xf>
    <xf numFmtId="0" fontId="17" fillId="0" borderId="0" xfId="0" applyFont="1" applyAlignment="1">
      <alignment horizontal="left"/>
    </xf>
    <xf numFmtId="0" fontId="0" fillId="0" borderId="0" xfId="0" applyAlignment="1">
      <alignment horizontal="left"/>
    </xf>
    <xf numFmtId="3" fontId="0" fillId="0" borderId="0" xfId="0" applyNumberFormat="1" applyAlignment="1">
      <alignment horizontal="right"/>
    </xf>
    <xf numFmtId="0" fontId="16" fillId="0" borderId="0" xfId="2" applyFont="1" applyFill="1" applyBorder="1"/>
    <xf numFmtId="0" fontId="8" fillId="0" borderId="0" xfId="4" applyFont="1" applyAlignment="1">
      <alignment wrapText="1"/>
    </xf>
    <xf numFmtId="0" fontId="16" fillId="0" borderId="0" xfId="0" applyFont="1"/>
    <xf numFmtId="0" fontId="1" fillId="0" borderId="0" xfId="6" applyFont="1" applyAlignment="1">
      <alignment wrapText="1"/>
    </xf>
    <xf numFmtId="1" fontId="0" fillId="0" borderId="0" xfId="0" applyNumberFormat="1"/>
    <xf numFmtId="0" fontId="8" fillId="0" borderId="0" xfId="0" applyFont="1" applyAlignment="1">
      <alignment wrapText="1"/>
    </xf>
    <xf numFmtId="0" fontId="19" fillId="0" borderId="0" xfId="0" applyFont="1" applyAlignment="1">
      <alignment vertical="top" wrapText="1"/>
    </xf>
  </cellXfs>
  <cellStyles count="7">
    <cellStyle name="Heading 1" xfId="1" builtinId="16"/>
    <cellStyle name="Heading 2" xfId="2" builtinId="17"/>
    <cellStyle name="Hyperlink" xfId="3" builtinId="8"/>
    <cellStyle name="Normal" xfId="0" builtinId="0"/>
    <cellStyle name="Normal 2" xfId="4" xr:uid="{F784F5E5-AED9-4189-B4AB-E3E3148ADB8E}"/>
    <cellStyle name="Normal 2 2" xfId="6" xr:uid="{ADEB905B-C14B-44DF-A1F8-5D9AE7CA95C2}"/>
    <cellStyle name="Normal 2 3" xfId="5" xr:uid="{632269EB-1522-4A99-A259-434D4C6C1641}"/>
  </cellStyles>
  <dxfs count="28">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3"/>
        <color auto="1"/>
        <name val="Arial"/>
        <family val="2"/>
        <scheme val="none"/>
      </font>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3"/>
        <color auto="1"/>
        <name val="Arial"/>
        <family val="2"/>
        <scheme val="none"/>
      </font>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3"/>
        <color auto="1"/>
        <name val="Arial"/>
        <family val="2"/>
        <scheme val="none"/>
      </font>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strike val="0"/>
        <outline val="0"/>
        <shadow val="0"/>
        <u val="none"/>
        <vertAlign val="baseline"/>
        <sz val="13"/>
        <color auto="1"/>
        <name val="Arial"/>
        <family val="2"/>
        <scheme val="none"/>
      </font>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3"/>
        <color auto="1"/>
        <name val="Arial"/>
        <family val="2"/>
        <scheme val="none"/>
      </font>
      <alignment horizontal="left" vertical="center" textRotation="0" wrapText="0" indent="0" justifyLastLine="0" shrinkToFit="0" readingOrder="0"/>
    </dxf>
    <dxf>
      <alignment horizontal="general" vertical="bottom" textRotation="0" wrapText="1"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3"/>
        <color auto="1"/>
        <name val="Arial"/>
        <family val="2"/>
        <scheme val="none"/>
      </font>
    </dxf>
    <dxf>
      <font>
        <b/>
        <i val="0"/>
        <strike val="0"/>
        <condense val="0"/>
        <extend val="0"/>
        <outline val="0"/>
        <shadow val="0"/>
        <u val="none"/>
        <vertAlign val="baseline"/>
        <sz val="13"/>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7539E-2CD5-4B13-B6E2-839223131C73}" name="Table1" displayName="Table1" ref="A3:B7" totalsRowShown="0" headerRowDxfId="27" headerRowCellStyle="Heading 2">
  <autoFilter ref="A3:B7" xr:uid="{E057539E-2CD5-4B13-B6E2-839223131C73}">
    <filterColumn colId="0" hiddenButton="1"/>
    <filterColumn colId="1" hiddenButton="1"/>
  </autoFilter>
  <tableColumns count="2">
    <tableColumn id="1" xr3:uid="{86193019-8133-40CA-862D-F399D9BC93F7}" name="Table number"/>
    <tableColumn id="2" xr3:uid="{D3842317-3212-4F1B-A2D0-1FD3F4D9773A}" name="Table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497F15-6B5D-455C-8C62-79F459F8206F}" name="Table3" displayName="Table3" ref="A3:B11" totalsRowShown="0" headerRowDxfId="26" headerRowCellStyle="Heading 2">
  <autoFilter ref="A3:B11" xr:uid="{52497F15-6B5D-455C-8C62-79F459F8206F}">
    <filterColumn colId="0" hiddenButton="1"/>
    <filterColumn colId="1" hiddenButton="1"/>
  </autoFilter>
  <tableColumns count="2">
    <tableColumn id="1" xr3:uid="{F4F30D9C-5690-4D01-98E7-DE53EA4EC8F5}" name="Note number" dataDxfId="25"/>
    <tableColumn id="2" xr3:uid="{C1FACCDC-970B-45D2-B162-42ED6717E3FD}" name="Note text"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5FDCCB-34AD-43FF-A771-5A6AD22EAD7C}" name="Table4" displayName="Table4" ref="A3:B10" totalsRowShown="0" headerRowDxfId="23" dataDxfId="22" headerRowCellStyle="Heading 2" dataCellStyle="Normal 2">
  <autoFilter ref="A3:B10" xr:uid="{8D5FDCCB-34AD-43FF-A771-5A6AD22EAD7C}">
    <filterColumn colId="0" hiddenButton="1"/>
    <filterColumn colId="1" hiddenButton="1"/>
  </autoFilter>
  <tableColumns count="2">
    <tableColumn id="1" xr3:uid="{F30E5069-16ED-4893-BD33-BB3153599A3E}" name="Term" dataDxfId="21" dataCellStyle="Normal 2"/>
    <tableColumn id="2" xr3:uid="{ECCB2629-3403-4350-B970-CE48D5DF2A90}" name="Definition" dataDxfId="20"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0E0BFE-1C0E-4B6D-BCCB-5280B10746AB}" name="Table5" displayName="Table5" ref="A4:F25" totalsRowShown="0" headerRowDxfId="19" headerRowCellStyle="Heading 2">
  <autoFilter ref="A4:F25" xr:uid="{270E0BFE-1C0E-4B6D-BCCB-5280B10746AB}">
    <filterColumn colId="0" hiddenButton="1"/>
    <filterColumn colId="1" hiddenButton="1"/>
    <filterColumn colId="2" hiddenButton="1"/>
    <filterColumn colId="3" hiddenButton="1"/>
    <filterColumn colId="4" hiddenButton="1"/>
    <filterColumn colId="5" hiddenButton="1"/>
  </autoFilter>
  <tableColumns count="6">
    <tableColumn id="1" xr3:uid="{44AC3E05-85FD-4BF0-BEF2-2B6E5D3ECD19}" name="Measure"/>
    <tableColumn id="2" xr3:uid="{562D87C0-B508-4FE6-B9BF-3C0416FD08D7}" name="Pension type"/>
    <tableColumn id="3" xr3:uid="{2B898DF0-CEB6-48B1-8E3E-813A1CB66793}" name="2021" dataDxfId="18"/>
    <tableColumn id="4" xr3:uid="{4C639BD1-569D-4347-AF64-61417E7B6512}" name="2022" dataDxfId="17"/>
    <tableColumn id="5" xr3:uid="{8213D4B4-E2AF-4EC7-98FE-154A1568C9C8}" name="2023" dataDxfId="16"/>
    <tableColumn id="6" xr3:uid="{812F2904-62AA-4A43-A260-66DF87841B7D}" name="2024" dataDxfId="1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FC3386-EDB1-40F9-AF42-897DB039095D}" name="Table6" displayName="Table6" ref="A4:F22" totalsRowShown="0" headerRowDxfId="14" headerRowCellStyle="Heading 2">
  <autoFilter ref="A4:F22" xr:uid="{32FC3386-EDB1-40F9-AF42-897DB039095D}">
    <filterColumn colId="0" hiddenButton="1"/>
    <filterColumn colId="1" hiddenButton="1"/>
    <filterColumn colId="2" hiddenButton="1"/>
    <filterColumn colId="3" hiddenButton="1"/>
    <filterColumn colId="4" hiddenButton="1"/>
    <filterColumn colId="5" hiddenButton="1"/>
  </autoFilter>
  <tableColumns count="6">
    <tableColumn id="1" xr3:uid="{E02AD45E-B5F3-442A-8806-59C8AA7AD5AA}" name="Measure"/>
    <tableColumn id="2" xr3:uid="{43E974B7-74EF-4CBC-A0D5-6CBEEDD078B6}" name="Pension type"/>
    <tableColumn id="3" xr3:uid="{51FC4B12-E7F9-49B2-83A8-7E43E4B1B268}" name="2021" dataDxfId="13"/>
    <tableColumn id="4" xr3:uid="{314FDC31-43B5-4F06-97D1-1076A5ED3B17}" name="2022" dataDxfId="12"/>
    <tableColumn id="5" xr3:uid="{6426C6B5-8B7E-4B3A-9E97-4FD2C9E7C911}" name="2023" dataDxfId="11"/>
    <tableColumn id="6" xr3:uid="{BBFA6A11-4B7B-481F-BF29-73C0CF0CCFF8}" name="2024" dataDxfId="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5DE92B-A23B-414B-A085-D4FFCAF008D6}" name="Table7" displayName="Table7" ref="A4:G22" totalsRowShown="0" headerRowDxfId="9" headerRowCellStyle="Heading 2">
  <autoFilter ref="A4:G22" xr:uid="{3A5DE92B-A23B-414B-A085-D4FFCAF008D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A6D9D96-BAF5-4D81-B8E3-5A0300C7058E}" name="Measure"/>
    <tableColumn id="2" xr3:uid="{57657EF2-D621-4B03-901C-D8C9F30E3E84}" name="Sector"/>
    <tableColumn id="3" xr3:uid="{3C899631-CE4F-49E2-92E4-9C52E5D7BCFD}" name="Sex"/>
    <tableColumn id="4" xr3:uid="{EA51858E-A2B9-4373-902F-2A5238D2413B}" name="2021" dataDxfId="8"/>
    <tableColumn id="5" xr3:uid="{26B80EC6-A278-46EE-92C4-25860F9E5D70}" name="2022" dataDxfId="7"/>
    <tableColumn id="6" xr3:uid="{5F11A171-DAD2-4E70-B2B4-F2D4FABC2A95}" name="2023" dataDxfId="6"/>
    <tableColumn id="7" xr3:uid="{207A8BFB-24D1-46ED-AF79-C2F0E5E0D9A8}" name="2024" dataDxfId="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B32095-18AE-41D9-9073-2D5FD53DE392}" name="Table8" displayName="Table8" ref="A4:G16" totalsRowShown="0" headerRowDxfId="4" headerRowCellStyle="Heading 2">
  <autoFilter ref="A4:G16" xr:uid="{62B32095-18AE-41D9-9073-2D5FD53DE39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CEEDA9-01AC-436C-8162-CD7D07A141B7}" name="Measure"/>
    <tableColumn id="2" xr3:uid="{4C640316-8244-46AB-BF5A-556E0E0C19B3}" name="Sector"/>
    <tableColumn id="3" xr3:uid="{E8B4FF1B-0F51-4642-9D28-6EF2E68738E6}" name="Sex"/>
    <tableColumn id="4" xr3:uid="{0590BB05-5F80-48E9-A9AD-27B240B6A22F}" name="2021" dataDxfId="3"/>
    <tableColumn id="5" xr3:uid="{D87290D4-AEF9-4084-AE32-626BB3750A71}" name="2022" dataDxfId="2"/>
    <tableColumn id="6" xr3:uid="{EE01F2B3-E4D8-44D3-B286-81C828DCB7B0}" name="2023" dataDxfId="1"/>
    <tableColumn id="7" xr3:uid="{D6DC59AA-C7CA-4E8F-9B63-90DB79C7E4AF}" name="202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FAD1-DCA4-46BF-ADB4-29A10CDC6256}">
  <dimension ref="A1:Z28"/>
  <sheetViews>
    <sheetView tabSelected="1" workbookViewId="0"/>
  </sheetViews>
  <sheetFormatPr defaultColWidth="8.81640625" defaultRowHeight="15" x14ac:dyDescent="0.25"/>
  <cols>
    <col min="1" max="1" width="123.81640625" style="1" customWidth="1"/>
    <col min="2" max="2" width="12.1796875" style="1" customWidth="1"/>
    <col min="3" max="3" width="100" customWidth="1"/>
    <col min="4" max="4" width="29.54296875" customWidth="1"/>
    <col min="5" max="5" width="27.90625" customWidth="1"/>
  </cols>
  <sheetData>
    <row r="1" spans="1:26" ht="29.25" customHeight="1" x14ac:dyDescent="0.35">
      <c r="A1" s="28" t="s">
        <v>73</v>
      </c>
    </row>
    <row r="2" spans="1:26" ht="18" customHeight="1" x14ac:dyDescent="0.25">
      <c r="A2" s="2" t="s">
        <v>0</v>
      </c>
      <c r="B2" s="15"/>
    </row>
    <row r="3" spans="1:26" ht="33" customHeight="1" x14ac:dyDescent="0.25">
      <c r="A3" s="3" t="s">
        <v>1</v>
      </c>
    </row>
    <row r="4" spans="1:26" ht="28.2" customHeight="1" x14ac:dyDescent="0.3">
      <c r="A4" s="4" t="s">
        <v>2</v>
      </c>
      <c r="B4" s="4"/>
      <c r="C4" s="5"/>
      <c r="D4" s="5"/>
      <c r="E4" s="5"/>
      <c r="F4" s="5"/>
      <c r="G4" s="5"/>
      <c r="H4" s="5"/>
      <c r="I4" s="5"/>
      <c r="J4" s="5"/>
      <c r="K4" s="5"/>
      <c r="L4" s="5"/>
      <c r="M4" s="5"/>
      <c r="N4" s="5"/>
      <c r="O4" s="5"/>
      <c r="P4" s="5"/>
      <c r="Q4" s="5"/>
      <c r="R4" s="5"/>
      <c r="S4" s="5"/>
      <c r="T4" s="5"/>
      <c r="U4" s="5"/>
      <c r="V4" s="5"/>
      <c r="W4" s="5"/>
      <c r="X4" s="5"/>
      <c r="Y4" s="5"/>
      <c r="Z4" s="5"/>
    </row>
    <row r="5" spans="1:26" ht="18" customHeight="1" x14ac:dyDescent="0.25">
      <c r="A5" s="2" t="s">
        <v>64</v>
      </c>
    </row>
    <row r="6" spans="1:26" ht="18" customHeight="1" x14ac:dyDescent="0.25">
      <c r="A6" s="2" t="s">
        <v>58</v>
      </c>
    </row>
    <row r="7" spans="1:26" ht="28.2" customHeight="1" x14ac:dyDescent="0.3">
      <c r="A7" s="7" t="s">
        <v>3</v>
      </c>
    </row>
    <row r="8" spans="1:26" ht="34.200000000000003" customHeight="1" x14ac:dyDescent="0.25">
      <c r="A8" s="2" t="s">
        <v>59</v>
      </c>
    </row>
    <row r="9" spans="1:26" ht="34.200000000000003" customHeight="1" x14ac:dyDescent="0.25">
      <c r="A9" s="46" t="s">
        <v>65</v>
      </c>
      <c r="B9" s="8"/>
    </row>
    <row r="10" spans="1:26" ht="18" customHeight="1" x14ac:dyDescent="0.25">
      <c r="A10" s="2" t="s">
        <v>4</v>
      </c>
    </row>
    <row r="11" spans="1:26" ht="63" customHeight="1" x14ac:dyDescent="0.25">
      <c r="A11" s="6" t="s">
        <v>67</v>
      </c>
      <c r="B11" s="8"/>
      <c r="C11" s="1"/>
    </row>
    <row r="12" spans="1:26" ht="33" customHeight="1" x14ac:dyDescent="0.25">
      <c r="A12" s="6" t="s">
        <v>5</v>
      </c>
      <c r="B12" s="9"/>
      <c r="C12" s="1"/>
      <c r="D12" s="1"/>
    </row>
    <row r="13" spans="1:26" ht="28.2" customHeight="1" x14ac:dyDescent="0.3">
      <c r="A13" s="7" t="s">
        <v>6</v>
      </c>
    </row>
    <row r="14" spans="1:26" s="11" customFormat="1" ht="18" customHeight="1" x14ac:dyDescent="0.25">
      <c r="A14" s="10" t="s">
        <v>7</v>
      </c>
      <c r="B14" s="2"/>
    </row>
    <row r="15" spans="1:26" s="11" customFormat="1" ht="18" customHeight="1" x14ac:dyDescent="0.25">
      <c r="A15" s="10" t="s">
        <v>71</v>
      </c>
      <c r="B15" s="2"/>
    </row>
    <row r="16" spans="1:26" s="11" customFormat="1" ht="18" customHeight="1" x14ac:dyDescent="0.25">
      <c r="A16" s="10" t="s">
        <v>8</v>
      </c>
      <c r="B16" s="12"/>
    </row>
    <row r="17" spans="1:2" s="11" customFormat="1" ht="33" customHeight="1" x14ac:dyDescent="0.25">
      <c r="A17" s="10" t="s">
        <v>9</v>
      </c>
      <c r="B17" s="2"/>
    </row>
    <row r="18" spans="1:2" s="11" customFormat="1" ht="48" customHeight="1" x14ac:dyDescent="0.25">
      <c r="A18" s="3" t="s">
        <v>10</v>
      </c>
      <c r="B18" s="2"/>
    </row>
    <row r="19" spans="1:2" s="11" customFormat="1" ht="33" customHeight="1" x14ac:dyDescent="0.25">
      <c r="A19" s="10" t="s">
        <v>11</v>
      </c>
      <c r="B19" s="2"/>
    </row>
    <row r="20" spans="1:2" s="11" customFormat="1" ht="33" customHeight="1" x14ac:dyDescent="0.25">
      <c r="A20" s="10" t="s">
        <v>12</v>
      </c>
      <c r="B20" s="2"/>
    </row>
    <row r="21" spans="1:2" s="11" customFormat="1" ht="18" customHeight="1" x14ac:dyDescent="0.25">
      <c r="A21" s="14" t="s">
        <v>13</v>
      </c>
      <c r="B21" s="12"/>
    </row>
    <row r="22" spans="1:2" ht="28.2" customHeight="1" x14ac:dyDescent="0.3">
      <c r="A22" s="7" t="s">
        <v>14</v>
      </c>
    </row>
    <row r="23" spans="1:2" s="11" customFormat="1" x14ac:dyDescent="0.25">
      <c r="A23" s="6" t="s">
        <v>15</v>
      </c>
      <c r="B23" s="2"/>
    </row>
    <row r="24" spans="1:2" ht="28.2" customHeight="1" x14ac:dyDescent="0.3">
      <c r="A24" s="7" t="s">
        <v>16</v>
      </c>
    </row>
    <row r="25" spans="1:2" s="11" customFormat="1" x14ac:dyDescent="0.25">
      <c r="A25" s="2" t="s">
        <v>17</v>
      </c>
      <c r="B25" s="2"/>
    </row>
    <row r="26" spans="1:2" ht="28.2" customHeight="1" x14ac:dyDescent="0.3">
      <c r="A26" s="7" t="s">
        <v>18</v>
      </c>
    </row>
    <row r="27" spans="1:2" s="11" customFormat="1" x14ac:dyDescent="0.25">
      <c r="A27" s="3" t="s">
        <v>66</v>
      </c>
      <c r="B27" s="13"/>
    </row>
    <row r="28" spans="1:2" s="11" customFormat="1" x14ac:dyDescent="0.25">
      <c r="A28" s="3" t="s">
        <v>19</v>
      </c>
      <c r="B28"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9137-7434-4771-B16E-85DF4AFE32AD}">
  <dimension ref="A1:B7"/>
  <sheetViews>
    <sheetView workbookViewId="0"/>
  </sheetViews>
  <sheetFormatPr defaultRowHeight="15" x14ac:dyDescent="0.25"/>
  <cols>
    <col min="1" max="1" width="15.1796875" customWidth="1"/>
    <col min="2" max="2" width="131.7265625" bestFit="1" customWidth="1"/>
  </cols>
  <sheetData>
    <row r="1" spans="1:2" ht="19.2" x14ac:dyDescent="0.35">
      <c r="A1" s="16" t="s">
        <v>20</v>
      </c>
    </row>
    <row r="2" spans="1:2" x14ac:dyDescent="0.25">
      <c r="A2" t="s">
        <v>21</v>
      </c>
    </row>
    <row r="3" spans="1:2" ht="16.8" x14ac:dyDescent="0.3">
      <c r="A3" s="17" t="s">
        <v>22</v>
      </c>
      <c r="B3" s="17" t="s">
        <v>23</v>
      </c>
    </row>
    <row r="4" spans="1:2" x14ac:dyDescent="0.25">
      <c r="A4" s="29" t="str">
        <f>HYPERLINK("#'Table 1'!A1", "Table 1")</f>
        <v>Table 1</v>
      </c>
      <c r="B4" t="s">
        <v>74</v>
      </c>
    </row>
    <row r="5" spans="1:2" x14ac:dyDescent="0.25">
      <c r="A5" s="29" t="str">
        <f>HYPERLINK("#'Table 2'!A1", "Table 2")</f>
        <v>Table 2</v>
      </c>
      <c r="B5" t="s">
        <v>75</v>
      </c>
    </row>
    <row r="6" spans="1:2" x14ac:dyDescent="0.25">
      <c r="A6" s="29" t="str">
        <f>HYPERLINK("#'Table 3'!A1", "Table 3")</f>
        <v>Table 3</v>
      </c>
      <c r="B6" t="s">
        <v>76</v>
      </c>
    </row>
    <row r="7" spans="1:2" x14ac:dyDescent="0.25">
      <c r="A7" s="29" t="str">
        <f>HYPERLINK("#'Table 4'!A1", "Table 4")</f>
        <v>Table 4</v>
      </c>
      <c r="B7"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D8EBD-9BD5-43DB-82C7-EEF15C5D71CC}">
  <dimension ref="A1:C11"/>
  <sheetViews>
    <sheetView workbookViewId="0"/>
  </sheetViews>
  <sheetFormatPr defaultRowHeight="15" x14ac:dyDescent="0.25"/>
  <cols>
    <col min="1" max="1" width="18.54296875" customWidth="1"/>
    <col min="2" max="2" width="89.81640625" customWidth="1"/>
  </cols>
  <sheetData>
    <row r="1" spans="1:3" ht="19.2" x14ac:dyDescent="0.35">
      <c r="A1" s="16" t="s">
        <v>24</v>
      </c>
      <c r="C1" s="42"/>
    </row>
    <row r="2" spans="1:3" x14ac:dyDescent="0.25">
      <c r="A2" t="s">
        <v>21</v>
      </c>
    </row>
    <row r="3" spans="1:3" ht="16.8" x14ac:dyDescent="0.3">
      <c r="A3" s="17" t="s">
        <v>25</v>
      </c>
      <c r="B3" s="17" t="s">
        <v>26</v>
      </c>
      <c r="C3" s="40"/>
    </row>
    <row r="4" spans="1:3" x14ac:dyDescent="0.25">
      <c r="A4" s="11">
        <v>1</v>
      </c>
      <c r="B4" s="1" t="s">
        <v>52</v>
      </c>
      <c r="C4" s="8"/>
    </row>
    <row r="5" spans="1:3" x14ac:dyDescent="0.25">
      <c r="A5" s="11">
        <v>2</v>
      </c>
      <c r="B5" s="1" t="s">
        <v>60</v>
      </c>
      <c r="C5" s="8"/>
    </row>
    <row r="6" spans="1:3" x14ac:dyDescent="0.25">
      <c r="A6" s="11">
        <v>3</v>
      </c>
      <c r="B6" s="1" t="s">
        <v>53</v>
      </c>
      <c r="C6" s="8"/>
    </row>
    <row r="7" spans="1:3" ht="30" x14ac:dyDescent="0.25">
      <c r="A7" s="11">
        <v>4</v>
      </c>
      <c r="B7" s="43" t="s">
        <v>55</v>
      </c>
      <c r="C7" s="8"/>
    </row>
    <row r="8" spans="1:3" x14ac:dyDescent="0.25">
      <c r="A8" s="11">
        <v>5</v>
      </c>
      <c r="B8" s="1" t="s">
        <v>72</v>
      </c>
      <c r="C8" s="8"/>
    </row>
    <row r="9" spans="1:3" x14ac:dyDescent="0.25">
      <c r="A9" s="11">
        <v>6</v>
      </c>
      <c r="B9" s="45" t="s">
        <v>68</v>
      </c>
      <c r="C9" s="8"/>
    </row>
    <row r="10" spans="1:3" ht="45" x14ac:dyDescent="0.25">
      <c r="A10" s="11">
        <v>7</v>
      </c>
      <c r="B10" s="41" t="s">
        <v>54</v>
      </c>
      <c r="C10" s="8"/>
    </row>
    <row r="11" spans="1:3" ht="30" x14ac:dyDescent="0.25">
      <c r="A11" s="11">
        <v>8</v>
      </c>
      <c r="B11" s="1" t="s">
        <v>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E68B-69C0-4A31-B559-53180BB4601B}">
  <sheetPr>
    <pageSetUpPr fitToPage="1"/>
  </sheetPr>
  <dimension ref="A1:Z20"/>
  <sheetViews>
    <sheetView zoomScaleNormal="100" workbookViewId="0"/>
  </sheetViews>
  <sheetFormatPr defaultColWidth="7.453125" defaultRowHeight="17.100000000000001" customHeight="1" x14ac:dyDescent="0.25"/>
  <cols>
    <col min="1" max="1" width="41.81640625" style="20" customWidth="1"/>
    <col min="2" max="2" width="99.81640625" style="20" customWidth="1"/>
    <col min="3" max="26" width="6.1796875" style="20" customWidth="1"/>
    <col min="27" max="256" width="7.453125" style="20"/>
    <col min="257" max="257" width="6.1796875" style="20" customWidth="1"/>
    <col min="258" max="258" width="19.6328125" style="20" customWidth="1"/>
    <col min="259" max="282" width="6.1796875" style="20" customWidth="1"/>
    <col min="283" max="512" width="7.453125" style="20"/>
    <col min="513" max="513" width="6.1796875" style="20" customWidth="1"/>
    <col min="514" max="514" width="19.6328125" style="20" customWidth="1"/>
    <col min="515" max="538" width="6.1796875" style="20" customWidth="1"/>
    <col min="539" max="768" width="7.453125" style="20"/>
    <col min="769" max="769" width="6.1796875" style="20" customWidth="1"/>
    <col min="770" max="770" width="19.6328125" style="20" customWidth="1"/>
    <col min="771" max="794" width="6.1796875" style="20" customWidth="1"/>
    <col min="795" max="1024" width="7.453125" style="20"/>
    <col min="1025" max="1025" width="6.1796875" style="20" customWidth="1"/>
    <col min="1026" max="1026" width="19.6328125" style="20" customWidth="1"/>
    <col min="1027" max="1050" width="6.1796875" style="20" customWidth="1"/>
    <col min="1051" max="1280" width="7.453125" style="20"/>
    <col min="1281" max="1281" width="6.1796875" style="20" customWidth="1"/>
    <col min="1282" max="1282" width="19.6328125" style="20" customWidth="1"/>
    <col min="1283" max="1306" width="6.1796875" style="20" customWidth="1"/>
    <col min="1307" max="1536" width="7.453125" style="20"/>
    <col min="1537" max="1537" width="6.1796875" style="20" customWidth="1"/>
    <col min="1538" max="1538" width="19.6328125" style="20" customWidth="1"/>
    <col min="1539" max="1562" width="6.1796875" style="20" customWidth="1"/>
    <col min="1563" max="1792" width="7.453125" style="20"/>
    <col min="1793" max="1793" width="6.1796875" style="20" customWidth="1"/>
    <col min="1794" max="1794" width="19.6328125" style="20" customWidth="1"/>
    <col min="1795" max="1818" width="6.1796875" style="20" customWidth="1"/>
    <col min="1819" max="2048" width="7.453125" style="20"/>
    <col min="2049" max="2049" width="6.1796875" style="20" customWidth="1"/>
    <col min="2050" max="2050" width="19.6328125" style="20" customWidth="1"/>
    <col min="2051" max="2074" width="6.1796875" style="20" customWidth="1"/>
    <col min="2075" max="2304" width="7.453125" style="20"/>
    <col min="2305" max="2305" width="6.1796875" style="20" customWidth="1"/>
    <col min="2306" max="2306" width="19.6328125" style="20" customWidth="1"/>
    <col min="2307" max="2330" width="6.1796875" style="20" customWidth="1"/>
    <col min="2331" max="2560" width="7.453125" style="20"/>
    <col min="2561" max="2561" width="6.1796875" style="20" customWidth="1"/>
    <col min="2562" max="2562" width="19.6328125" style="20" customWidth="1"/>
    <col min="2563" max="2586" width="6.1796875" style="20" customWidth="1"/>
    <col min="2587" max="2816" width="7.453125" style="20"/>
    <col min="2817" max="2817" width="6.1796875" style="20" customWidth="1"/>
    <col min="2818" max="2818" width="19.6328125" style="20" customWidth="1"/>
    <col min="2819" max="2842" width="6.1796875" style="20" customWidth="1"/>
    <col min="2843" max="3072" width="7.453125" style="20"/>
    <col min="3073" max="3073" width="6.1796875" style="20" customWidth="1"/>
    <col min="3074" max="3074" width="19.6328125" style="20" customWidth="1"/>
    <col min="3075" max="3098" width="6.1796875" style="20" customWidth="1"/>
    <col min="3099" max="3328" width="7.453125" style="20"/>
    <col min="3329" max="3329" width="6.1796875" style="20" customWidth="1"/>
    <col min="3330" max="3330" width="19.6328125" style="20" customWidth="1"/>
    <col min="3331" max="3354" width="6.1796875" style="20" customWidth="1"/>
    <col min="3355" max="3584" width="7.453125" style="20"/>
    <col min="3585" max="3585" width="6.1796875" style="20" customWidth="1"/>
    <col min="3586" max="3586" width="19.6328125" style="20" customWidth="1"/>
    <col min="3587" max="3610" width="6.1796875" style="20" customWidth="1"/>
    <col min="3611" max="3840" width="7.453125" style="20"/>
    <col min="3841" max="3841" width="6.1796875" style="20" customWidth="1"/>
    <col min="3842" max="3842" width="19.6328125" style="20" customWidth="1"/>
    <col min="3843" max="3866" width="6.1796875" style="20" customWidth="1"/>
    <col min="3867" max="4096" width="7.453125" style="20"/>
    <col min="4097" max="4097" width="6.1796875" style="20" customWidth="1"/>
    <col min="4098" max="4098" width="19.6328125" style="20" customWidth="1"/>
    <col min="4099" max="4122" width="6.1796875" style="20" customWidth="1"/>
    <col min="4123" max="4352" width="7.453125" style="20"/>
    <col min="4353" max="4353" width="6.1796875" style="20" customWidth="1"/>
    <col min="4354" max="4354" width="19.6328125" style="20" customWidth="1"/>
    <col min="4355" max="4378" width="6.1796875" style="20" customWidth="1"/>
    <col min="4379" max="4608" width="7.453125" style="20"/>
    <col min="4609" max="4609" width="6.1796875" style="20" customWidth="1"/>
    <col min="4610" max="4610" width="19.6328125" style="20" customWidth="1"/>
    <col min="4611" max="4634" width="6.1796875" style="20" customWidth="1"/>
    <col min="4635" max="4864" width="7.453125" style="20"/>
    <col min="4865" max="4865" width="6.1796875" style="20" customWidth="1"/>
    <col min="4866" max="4866" width="19.6328125" style="20" customWidth="1"/>
    <col min="4867" max="4890" width="6.1796875" style="20" customWidth="1"/>
    <col min="4891" max="5120" width="7.453125" style="20"/>
    <col min="5121" max="5121" width="6.1796875" style="20" customWidth="1"/>
    <col min="5122" max="5122" width="19.6328125" style="20" customWidth="1"/>
    <col min="5123" max="5146" width="6.1796875" style="20" customWidth="1"/>
    <col min="5147" max="5376" width="7.453125" style="20"/>
    <col min="5377" max="5377" width="6.1796875" style="20" customWidth="1"/>
    <col min="5378" max="5378" width="19.6328125" style="20" customWidth="1"/>
    <col min="5379" max="5402" width="6.1796875" style="20" customWidth="1"/>
    <col min="5403" max="5632" width="7.453125" style="20"/>
    <col min="5633" max="5633" width="6.1796875" style="20" customWidth="1"/>
    <col min="5634" max="5634" width="19.6328125" style="20" customWidth="1"/>
    <col min="5635" max="5658" width="6.1796875" style="20" customWidth="1"/>
    <col min="5659" max="5888" width="7.453125" style="20"/>
    <col min="5889" max="5889" width="6.1796875" style="20" customWidth="1"/>
    <col min="5890" max="5890" width="19.6328125" style="20" customWidth="1"/>
    <col min="5891" max="5914" width="6.1796875" style="20" customWidth="1"/>
    <col min="5915" max="6144" width="7.453125" style="20"/>
    <col min="6145" max="6145" width="6.1796875" style="20" customWidth="1"/>
    <col min="6146" max="6146" width="19.6328125" style="20" customWidth="1"/>
    <col min="6147" max="6170" width="6.1796875" style="20" customWidth="1"/>
    <col min="6171" max="6400" width="7.453125" style="20"/>
    <col min="6401" max="6401" width="6.1796875" style="20" customWidth="1"/>
    <col min="6402" max="6402" width="19.6328125" style="20" customWidth="1"/>
    <col min="6403" max="6426" width="6.1796875" style="20" customWidth="1"/>
    <col min="6427" max="6656" width="7.453125" style="20"/>
    <col min="6657" max="6657" width="6.1796875" style="20" customWidth="1"/>
    <col min="6658" max="6658" width="19.6328125" style="20" customWidth="1"/>
    <col min="6659" max="6682" width="6.1796875" style="20" customWidth="1"/>
    <col min="6683" max="6912" width="7.453125" style="20"/>
    <col min="6913" max="6913" width="6.1796875" style="20" customWidth="1"/>
    <col min="6914" max="6914" width="19.6328125" style="20" customWidth="1"/>
    <col min="6915" max="6938" width="6.1796875" style="20" customWidth="1"/>
    <col min="6939" max="7168" width="7.453125" style="20"/>
    <col min="7169" max="7169" width="6.1796875" style="20" customWidth="1"/>
    <col min="7170" max="7170" width="19.6328125" style="20" customWidth="1"/>
    <col min="7171" max="7194" width="6.1796875" style="20" customWidth="1"/>
    <col min="7195" max="7424" width="7.453125" style="20"/>
    <col min="7425" max="7425" width="6.1796875" style="20" customWidth="1"/>
    <col min="7426" max="7426" width="19.6328125" style="20" customWidth="1"/>
    <col min="7427" max="7450" width="6.1796875" style="20" customWidth="1"/>
    <col min="7451" max="7680" width="7.453125" style="20"/>
    <col min="7681" max="7681" width="6.1796875" style="20" customWidth="1"/>
    <col min="7682" max="7682" width="19.6328125" style="20" customWidth="1"/>
    <col min="7683" max="7706" width="6.1796875" style="20" customWidth="1"/>
    <col min="7707" max="7936" width="7.453125" style="20"/>
    <col min="7937" max="7937" width="6.1796875" style="20" customWidth="1"/>
    <col min="7938" max="7938" width="19.6328125" style="20" customWidth="1"/>
    <col min="7939" max="7962" width="6.1796875" style="20" customWidth="1"/>
    <col min="7963" max="8192" width="7.453125" style="20"/>
    <col min="8193" max="8193" width="6.1796875" style="20" customWidth="1"/>
    <col min="8194" max="8194" width="19.6328125" style="20" customWidth="1"/>
    <col min="8195" max="8218" width="6.1796875" style="20" customWidth="1"/>
    <col min="8219" max="8448" width="7.453125" style="20"/>
    <col min="8449" max="8449" width="6.1796875" style="20" customWidth="1"/>
    <col min="8450" max="8450" width="19.6328125" style="20" customWidth="1"/>
    <col min="8451" max="8474" width="6.1796875" style="20" customWidth="1"/>
    <col min="8475" max="8704" width="7.453125" style="20"/>
    <col min="8705" max="8705" width="6.1796875" style="20" customWidth="1"/>
    <col min="8706" max="8706" width="19.6328125" style="20" customWidth="1"/>
    <col min="8707" max="8730" width="6.1796875" style="20" customWidth="1"/>
    <col min="8731" max="8960" width="7.453125" style="20"/>
    <col min="8961" max="8961" width="6.1796875" style="20" customWidth="1"/>
    <col min="8962" max="8962" width="19.6328125" style="20" customWidth="1"/>
    <col min="8963" max="8986" width="6.1796875" style="20" customWidth="1"/>
    <col min="8987" max="9216" width="7.453125" style="20"/>
    <col min="9217" max="9217" width="6.1796875" style="20" customWidth="1"/>
    <col min="9218" max="9218" width="19.6328125" style="20" customWidth="1"/>
    <col min="9219" max="9242" width="6.1796875" style="20" customWidth="1"/>
    <col min="9243" max="9472" width="7.453125" style="20"/>
    <col min="9473" max="9473" width="6.1796875" style="20" customWidth="1"/>
    <col min="9474" max="9474" width="19.6328125" style="20" customWidth="1"/>
    <col min="9475" max="9498" width="6.1796875" style="20" customWidth="1"/>
    <col min="9499" max="9728" width="7.453125" style="20"/>
    <col min="9729" max="9729" width="6.1796875" style="20" customWidth="1"/>
    <col min="9730" max="9730" width="19.6328125" style="20" customWidth="1"/>
    <col min="9731" max="9754" width="6.1796875" style="20" customWidth="1"/>
    <col min="9755" max="9984" width="7.453125" style="20"/>
    <col min="9985" max="9985" width="6.1796875" style="20" customWidth="1"/>
    <col min="9986" max="9986" width="19.6328125" style="20" customWidth="1"/>
    <col min="9987" max="10010" width="6.1796875" style="20" customWidth="1"/>
    <col min="10011" max="10240" width="7.453125" style="20"/>
    <col min="10241" max="10241" width="6.1796875" style="20" customWidth="1"/>
    <col min="10242" max="10242" width="19.6328125" style="20" customWidth="1"/>
    <col min="10243" max="10266" width="6.1796875" style="20" customWidth="1"/>
    <col min="10267" max="10496" width="7.453125" style="20"/>
    <col min="10497" max="10497" width="6.1796875" style="20" customWidth="1"/>
    <col min="10498" max="10498" width="19.6328125" style="20" customWidth="1"/>
    <col min="10499" max="10522" width="6.1796875" style="20" customWidth="1"/>
    <col min="10523" max="10752" width="7.453125" style="20"/>
    <col min="10753" max="10753" width="6.1796875" style="20" customWidth="1"/>
    <col min="10754" max="10754" width="19.6328125" style="20" customWidth="1"/>
    <col min="10755" max="10778" width="6.1796875" style="20" customWidth="1"/>
    <col min="10779" max="11008" width="7.453125" style="20"/>
    <col min="11009" max="11009" width="6.1796875" style="20" customWidth="1"/>
    <col min="11010" max="11010" width="19.6328125" style="20" customWidth="1"/>
    <col min="11011" max="11034" width="6.1796875" style="20" customWidth="1"/>
    <col min="11035" max="11264" width="7.453125" style="20"/>
    <col min="11265" max="11265" width="6.1796875" style="20" customWidth="1"/>
    <col min="11266" max="11266" width="19.6328125" style="20" customWidth="1"/>
    <col min="11267" max="11290" width="6.1796875" style="20" customWidth="1"/>
    <col min="11291" max="11520" width="7.453125" style="20"/>
    <col min="11521" max="11521" width="6.1796875" style="20" customWidth="1"/>
    <col min="11522" max="11522" width="19.6328125" style="20" customWidth="1"/>
    <col min="11523" max="11546" width="6.1796875" style="20" customWidth="1"/>
    <col min="11547" max="11776" width="7.453125" style="20"/>
    <col min="11777" max="11777" width="6.1796875" style="20" customWidth="1"/>
    <col min="11778" max="11778" width="19.6328125" style="20" customWidth="1"/>
    <col min="11779" max="11802" width="6.1796875" style="20" customWidth="1"/>
    <col min="11803" max="12032" width="7.453125" style="20"/>
    <col min="12033" max="12033" width="6.1796875" style="20" customWidth="1"/>
    <col min="12034" max="12034" width="19.6328125" style="20" customWidth="1"/>
    <col min="12035" max="12058" width="6.1796875" style="20" customWidth="1"/>
    <col min="12059" max="12288" width="7.453125" style="20"/>
    <col min="12289" max="12289" width="6.1796875" style="20" customWidth="1"/>
    <col min="12290" max="12290" width="19.6328125" style="20" customWidth="1"/>
    <col min="12291" max="12314" width="6.1796875" style="20" customWidth="1"/>
    <col min="12315" max="12544" width="7.453125" style="20"/>
    <col min="12545" max="12545" width="6.1796875" style="20" customWidth="1"/>
    <col min="12546" max="12546" width="19.6328125" style="20" customWidth="1"/>
    <col min="12547" max="12570" width="6.1796875" style="20" customWidth="1"/>
    <col min="12571" max="12800" width="7.453125" style="20"/>
    <col min="12801" max="12801" width="6.1796875" style="20" customWidth="1"/>
    <col min="12802" max="12802" width="19.6328125" style="20" customWidth="1"/>
    <col min="12803" max="12826" width="6.1796875" style="20" customWidth="1"/>
    <col min="12827" max="13056" width="7.453125" style="20"/>
    <col min="13057" max="13057" width="6.1796875" style="20" customWidth="1"/>
    <col min="13058" max="13058" width="19.6328125" style="20" customWidth="1"/>
    <col min="13059" max="13082" width="6.1796875" style="20" customWidth="1"/>
    <col min="13083" max="13312" width="7.453125" style="20"/>
    <col min="13313" max="13313" width="6.1796875" style="20" customWidth="1"/>
    <col min="13314" max="13314" width="19.6328125" style="20" customWidth="1"/>
    <col min="13315" max="13338" width="6.1796875" style="20" customWidth="1"/>
    <col min="13339" max="13568" width="7.453125" style="20"/>
    <col min="13569" max="13569" width="6.1796875" style="20" customWidth="1"/>
    <col min="13570" max="13570" width="19.6328125" style="20" customWidth="1"/>
    <col min="13571" max="13594" width="6.1796875" style="20" customWidth="1"/>
    <col min="13595" max="13824" width="7.453125" style="20"/>
    <col min="13825" max="13825" width="6.1796875" style="20" customWidth="1"/>
    <col min="13826" max="13826" width="19.6328125" style="20" customWidth="1"/>
    <col min="13827" max="13850" width="6.1796875" style="20" customWidth="1"/>
    <col min="13851" max="14080" width="7.453125" style="20"/>
    <col min="14081" max="14081" width="6.1796875" style="20" customWidth="1"/>
    <col min="14082" max="14082" width="19.6328125" style="20" customWidth="1"/>
    <col min="14083" max="14106" width="6.1796875" style="20" customWidth="1"/>
    <col min="14107" max="14336" width="7.453125" style="20"/>
    <col min="14337" max="14337" width="6.1796875" style="20" customWidth="1"/>
    <col min="14338" max="14338" width="19.6328125" style="20" customWidth="1"/>
    <col min="14339" max="14362" width="6.1796875" style="20" customWidth="1"/>
    <col min="14363" max="14592" width="7.453125" style="20"/>
    <col min="14593" max="14593" width="6.1796875" style="20" customWidth="1"/>
    <col min="14594" max="14594" width="19.6328125" style="20" customWidth="1"/>
    <col min="14595" max="14618" width="6.1796875" style="20" customWidth="1"/>
    <col min="14619" max="14848" width="7.453125" style="20"/>
    <col min="14849" max="14849" width="6.1796875" style="20" customWidth="1"/>
    <col min="14850" max="14850" width="19.6328125" style="20" customWidth="1"/>
    <col min="14851" max="14874" width="6.1796875" style="20" customWidth="1"/>
    <col min="14875" max="15104" width="7.453125" style="20"/>
    <col min="15105" max="15105" width="6.1796875" style="20" customWidth="1"/>
    <col min="15106" max="15106" width="19.6328125" style="20" customWidth="1"/>
    <col min="15107" max="15130" width="6.1796875" style="20" customWidth="1"/>
    <col min="15131" max="15360" width="7.453125" style="20"/>
    <col min="15361" max="15361" width="6.1796875" style="20" customWidth="1"/>
    <col min="15362" max="15362" width="19.6328125" style="20" customWidth="1"/>
    <col min="15363" max="15386" width="6.1796875" style="20" customWidth="1"/>
    <col min="15387" max="15616" width="7.453125" style="20"/>
    <col min="15617" max="15617" width="6.1796875" style="20" customWidth="1"/>
    <col min="15618" max="15618" width="19.6328125" style="20" customWidth="1"/>
    <col min="15619" max="15642" width="6.1796875" style="20" customWidth="1"/>
    <col min="15643" max="15872" width="7.453125" style="20"/>
    <col min="15873" max="15873" width="6.1796875" style="20" customWidth="1"/>
    <col min="15874" max="15874" width="19.6328125" style="20" customWidth="1"/>
    <col min="15875" max="15898" width="6.1796875" style="20" customWidth="1"/>
    <col min="15899" max="16128" width="7.453125" style="20"/>
    <col min="16129" max="16129" width="6.1796875" style="20" customWidth="1"/>
    <col min="16130" max="16130" width="19.6328125" style="20" customWidth="1"/>
    <col min="16131" max="16154" width="6.1796875" style="20" customWidth="1"/>
    <col min="16155" max="16384" width="7.453125" style="20"/>
  </cols>
  <sheetData>
    <row r="1" spans="1:26" s="19" customFormat="1" ht="22.2" customHeight="1" x14ac:dyDescent="0.25">
      <c r="A1" s="18" t="s">
        <v>27</v>
      </c>
      <c r="B1" s="18"/>
      <c r="C1" s="27"/>
      <c r="D1" s="18"/>
      <c r="E1" s="18"/>
      <c r="F1" s="18"/>
      <c r="G1" s="18"/>
      <c r="H1" s="18"/>
      <c r="I1" s="18"/>
      <c r="J1" s="18"/>
      <c r="K1" s="18"/>
      <c r="L1" s="18"/>
      <c r="M1" s="18"/>
      <c r="N1" s="18"/>
      <c r="O1" s="18"/>
      <c r="P1" s="18"/>
      <c r="Q1" s="18"/>
      <c r="R1" s="18"/>
      <c r="S1" s="18"/>
      <c r="T1" s="18"/>
      <c r="U1" s="18"/>
      <c r="V1" s="18"/>
      <c r="W1" s="18"/>
      <c r="X1" s="18"/>
      <c r="Y1" s="18"/>
      <c r="Z1" s="18"/>
    </row>
    <row r="2" spans="1:26" s="19" customFormat="1" ht="15" customHeight="1" x14ac:dyDescent="0.25">
      <c r="A2" t="s">
        <v>21</v>
      </c>
      <c r="B2" s="18"/>
      <c r="C2" s="27"/>
      <c r="D2" s="18"/>
      <c r="E2" s="18"/>
      <c r="F2" s="18"/>
      <c r="G2" s="18"/>
      <c r="H2" s="18"/>
      <c r="I2" s="18"/>
      <c r="J2" s="18"/>
      <c r="K2" s="18"/>
      <c r="L2" s="18"/>
      <c r="M2" s="18"/>
      <c r="N2" s="18"/>
      <c r="O2" s="18"/>
      <c r="P2" s="18"/>
      <c r="Q2" s="18"/>
      <c r="R2" s="18"/>
      <c r="S2" s="18"/>
      <c r="T2" s="18"/>
      <c r="U2" s="18"/>
      <c r="V2" s="18"/>
      <c r="W2" s="18"/>
      <c r="X2" s="18"/>
      <c r="Y2" s="18"/>
      <c r="Z2" s="18"/>
    </row>
    <row r="3" spans="1:26" ht="17.100000000000001" customHeight="1" x14ac:dyDescent="0.25">
      <c r="A3" s="32" t="s">
        <v>28</v>
      </c>
      <c r="B3" s="32" t="s">
        <v>29</v>
      </c>
    </row>
    <row r="4" spans="1:26" s="22" customFormat="1" ht="58.05" customHeight="1" x14ac:dyDescent="0.25">
      <c r="A4" s="26" t="s">
        <v>30</v>
      </c>
      <c r="B4" s="3" t="s">
        <v>31</v>
      </c>
      <c r="D4" s="27"/>
      <c r="E4" s="27"/>
      <c r="F4" s="27"/>
      <c r="G4" s="21"/>
      <c r="H4" s="21"/>
      <c r="I4" s="21"/>
      <c r="J4" s="21"/>
      <c r="K4" s="21"/>
      <c r="L4" s="21"/>
      <c r="M4" s="21"/>
      <c r="N4" s="21"/>
      <c r="O4" s="21"/>
      <c r="P4" s="21"/>
      <c r="Q4" s="21"/>
      <c r="R4" s="21"/>
      <c r="S4" s="21"/>
      <c r="T4" s="21"/>
      <c r="U4" s="21"/>
      <c r="V4" s="21"/>
      <c r="W4" s="21"/>
      <c r="X4" s="21"/>
      <c r="Y4" s="21"/>
      <c r="Z4" s="21"/>
    </row>
    <row r="5" spans="1:26" ht="118.05" customHeight="1" x14ac:dyDescent="0.25">
      <c r="A5" s="3" t="s">
        <v>81</v>
      </c>
      <c r="B5" s="3" t="s">
        <v>84</v>
      </c>
      <c r="C5" s="23"/>
      <c r="D5" s="23"/>
      <c r="E5" s="23"/>
      <c r="F5" s="23"/>
      <c r="G5" s="23"/>
      <c r="H5" s="23"/>
      <c r="I5" s="23"/>
      <c r="J5" s="23"/>
      <c r="K5" s="23"/>
      <c r="L5" s="23"/>
      <c r="M5" s="23"/>
      <c r="N5" s="23"/>
      <c r="O5" s="23"/>
      <c r="P5" s="23"/>
      <c r="Q5" s="23"/>
      <c r="R5" s="23"/>
      <c r="S5" s="23"/>
      <c r="T5" s="23"/>
      <c r="U5" s="23"/>
      <c r="V5" s="23"/>
      <c r="W5" s="23"/>
      <c r="X5" s="23"/>
      <c r="Y5" s="23"/>
      <c r="Z5" s="23"/>
    </row>
    <row r="6" spans="1:26" ht="145.05000000000001" customHeight="1" x14ac:dyDescent="0.25">
      <c r="A6" s="3" t="s">
        <v>82</v>
      </c>
      <c r="B6" s="3" t="s">
        <v>85</v>
      </c>
      <c r="C6" s="24"/>
      <c r="D6" s="23"/>
      <c r="E6" s="23"/>
      <c r="F6" s="23"/>
      <c r="G6" s="23"/>
      <c r="H6" s="23"/>
      <c r="I6" s="23"/>
      <c r="J6" s="23"/>
      <c r="K6" s="23"/>
      <c r="L6" s="23"/>
      <c r="M6" s="23"/>
      <c r="N6" s="23"/>
      <c r="O6" s="23"/>
      <c r="P6" s="23"/>
      <c r="Q6" s="23"/>
      <c r="R6" s="23"/>
      <c r="S6" s="23"/>
      <c r="T6" s="23"/>
      <c r="U6" s="23"/>
      <c r="V6" s="23"/>
      <c r="W6" s="23"/>
      <c r="X6" s="23"/>
      <c r="Y6" s="23"/>
      <c r="Z6" s="23"/>
    </row>
    <row r="7" spans="1:26" ht="70.05" customHeight="1" x14ac:dyDescent="0.25">
      <c r="A7" s="3" t="s">
        <v>32</v>
      </c>
      <c r="B7" s="3" t="s">
        <v>86</v>
      </c>
      <c r="C7" s="23"/>
      <c r="D7" s="23"/>
      <c r="E7" s="23"/>
      <c r="F7" s="23"/>
      <c r="G7" s="23"/>
      <c r="H7" s="23"/>
      <c r="I7" s="23"/>
      <c r="J7" s="23"/>
      <c r="K7" s="23"/>
      <c r="L7" s="23"/>
      <c r="M7" s="23"/>
      <c r="N7" s="23"/>
      <c r="O7" s="23"/>
      <c r="P7" s="23"/>
      <c r="Q7" s="23"/>
      <c r="R7" s="23"/>
      <c r="S7" s="23"/>
      <c r="T7" s="23"/>
      <c r="U7" s="23"/>
      <c r="V7" s="23"/>
      <c r="W7" s="23"/>
      <c r="X7" s="23"/>
      <c r="Y7" s="23"/>
      <c r="Z7" s="23"/>
    </row>
    <row r="8" spans="1:26" ht="68.400000000000006" customHeight="1" x14ac:dyDescent="0.25">
      <c r="A8" s="3" t="s">
        <v>42</v>
      </c>
      <c r="B8" s="3" t="s">
        <v>87</v>
      </c>
      <c r="C8" s="23"/>
      <c r="D8" s="23"/>
      <c r="E8" s="23"/>
      <c r="F8" s="23"/>
      <c r="G8" s="23"/>
      <c r="H8" s="23"/>
      <c r="I8" s="23"/>
      <c r="J8" s="23"/>
      <c r="K8" s="23"/>
      <c r="L8" s="23"/>
      <c r="M8" s="23"/>
      <c r="N8" s="23"/>
      <c r="O8" s="23"/>
      <c r="P8" s="23"/>
      <c r="Q8" s="23"/>
      <c r="R8" s="23"/>
      <c r="S8" s="23"/>
      <c r="T8" s="23"/>
      <c r="U8" s="23"/>
      <c r="V8" s="23"/>
      <c r="W8" s="23"/>
      <c r="X8" s="23"/>
      <c r="Y8" s="23"/>
      <c r="Z8" s="23"/>
    </row>
    <row r="9" spans="1:26" ht="70.05" customHeight="1" x14ac:dyDescent="0.25">
      <c r="A9" s="3" t="s">
        <v>33</v>
      </c>
      <c r="B9" s="3" t="s">
        <v>88</v>
      </c>
      <c r="C9" s="23"/>
      <c r="D9" s="23"/>
      <c r="E9" s="23"/>
      <c r="F9" s="23"/>
      <c r="G9" s="23"/>
      <c r="H9" s="23"/>
      <c r="I9" s="23"/>
      <c r="J9" s="23"/>
      <c r="K9" s="23"/>
      <c r="L9" s="23"/>
      <c r="M9" s="23"/>
      <c r="N9" s="23"/>
      <c r="O9" s="23"/>
      <c r="P9" s="23"/>
      <c r="Q9" s="23"/>
      <c r="R9" s="23"/>
      <c r="S9" s="23"/>
      <c r="T9" s="23"/>
      <c r="U9" s="23"/>
      <c r="V9" s="23"/>
      <c r="W9" s="23"/>
      <c r="X9" s="23"/>
      <c r="Y9" s="23"/>
      <c r="Z9" s="23"/>
    </row>
    <row r="10" spans="1:26" ht="55.05" customHeight="1" x14ac:dyDescent="0.25">
      <c r="A10" s="3" t="s">
        <v>89</v>
      </c>
      <c r="B10" s="2" t="s">
        <v>90</v>
      </c>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7.100000000000001" customHeight="1"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7.100000000000001" customHeight="1"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7.100000000000001" customHeight="1"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7.100000000000001" customHeight="1"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7.100000000000001" customHeight="1"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00000000000001" customHeight="1"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7.100000000000001" customHeight="1"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7.100000000000001" customHeight="1"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7.100000000000001" customHeight="1"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7.100000000000001" customHeight="1"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sheetData>
  <pageMargins left="0.70866141732283472" right="0.70866141732283472" top="0.74803149606299213" bottom="0.74803149606299213" header="0.31496062992125984" footer="0.31496062992125984"/>
  <pageSetup paperSize="9" scale="48"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6197F-B465-4EFF-A5E0-4B3B791D3E32}">
  <dimension ref="A1:H26"/>
  <sheetViews>
    <sheetView workbookViewId="0"/>
  </sheetViews>
  <sheetFormatPr defaultRowHeight="15" x14ac:dyDescent="0.25"/>
  <cols>
    <col min="1" max="1" width="32" customWidth="1"/>
    <col min="2" max="2" width="32.90625" customWidth="1"/>
    <col min="3" max="6" width="10.6328125" customWidth="1"/>
    <col min="7" max="7" width="8.7265625" customWidth="1"/>
  </cols>
  <sheetData>
    <row r="1" spans="1:8" ht="19.2" x14ac:dyDescent="0.35">
      <c r="A1" s="16" t="s">
        <v>78</v>
      </c>
    </row>
    <row r="2" spans="1:8" x14ac:dyDescent="0.25">
      <c r="A2" s="30" t="s">
        <v>21</v>
      </c>
      <c r="H2" s="31"/>
    </row>
    <row r="3" spans="1:8" x14ac:dyDescent="0.25">
      <c r="A3" s="29" t="str">
        <f>HYPERLINK("#'Notes'!A1", "Some cells refer to notes which can be found in the Notes worksheet.")</f>
        <v>Some cells refer to notes which can be found in the Notes worksheet.</v>
      </c>
      <c r="C3" s="8"/>
      <c r="H3" s="8"/>
    </row>
    <row r="4" spans="1:8" ht="27.6" customHeight="1" x14ac:dyDescent="0.3">
      <c r="A4" s="17" t="s">
        <v>34</v>
      </c>
      <c r="B4" s="17" t="s">
        <v>35</v>
      </c>
      <c r="C4" s="35" t="s">
        <v>36</v>
      </c>
      <c r="D4" s="35" t="s">
        <v>37</v>
      </c>
      <c r="E4" s="35" t="s">
        <v>38</v>
      </c>
      <c r="F4" s="35" t="s">
        <v>39</v>
      </c>
      <c r="G4" s="37"/>
      <c r="H4" s="8"/>
    </row>
    <row r="5" spans="1:8" ht="26.4" customHeight="1" x14ac:dyDescent="0.25">
      <c r="A5" t="s">
        <v>61</v>
      </c>
      <c r="B5" t="s">
        <v>40</v>
      </c>
      <c r="C5" s="44">
        <v>29</v>
      </c>
      <c r="D5" s="44">
        <v>27</v>
      </c>
      <c r="E5" s="44">
        <v>26</v>
      </c>
      <c r="F5" s="44">
        <v>28</v>
      </c>
      <c r="G5" s="38"/>
    </row>
    <row r="6" spans="1:8" x14ac:dyDescent="0.25">
      <c r="A6" t="s">
        <v>61</v>
      </c>
      <c r="B6" t="s">
        <v>41</v>
      </c>
      <c r="C6" s="44">
        <v>29</v>
      </c>
      <c r="D6" s="44">
        <v>31</v>
      </c>
      <c r="E6" s="44">
        <v>32</v>
      </c>
      <c r="F6" s="44">
        <v>33</v>
      </c>
      <c r="G6" s="38"/>
    </row>
    <row r="7" spans="1:8" x14ac:dyDescent="0.25">
      <c r="A7" t="s">
        <v>61</v>
      </c>
      <c r="B7" t="s">
        <v>32</v>
      </c>
      <c r="C7" s="44">
        <v>15</v>
      </c>
      <c r="D7" s="44">
        <v>15</v>
      </c>
      <c r="E7" s="44">
        <v>15</v>
      </c>
      <c r="F7" s="44">
        <v>15</v>
      </c>
      <c r="G7" s="38"/>
    </row>
    <row r="8" spans="1:8" x14ac:dyDescent="0.25">
      <c r="A8" t="s">
        <v>61</v>
      </c>
      <c r="B8" t="s">
        <v>42</v>
      </c>
      <c r="C8" s="44">
        <v>1</v>
      </c>
      <c r="D8" s="44">
        <v>1</v>
      </c>
      <c r="E8" s="44">
        <v>1</v>
      </c>
      <c r="F8" s="44">
        <v>1</v>
      </c>
      <c r="G8" s="38"/>
    </row>
    <row r="9" spans="1:8" x14ac:dyDescent="0.25">
      <c r="A9" t="s">
        <v>61</v>
      </c>
      <c r="B9" t="s">
        <v>33</v>
      </c>
      <c r="C9" s="44">
        <v>5</v>
      </c>
      <c r="D9" s="44">
        <v>4</v>
      </c>
      <c r="E9" s="44">
        <v>4</v>
      </c>
      <c r="F9" s="44">
        <v>4</v>
      </c>
      <c r="G9" s="38"/>
    </row>
    <row r="10" spans="1:8" x14ac:dyDescent="0.25">
      <c r="A10" t="s">
        <v>61</v>
      </c>
      <c r="B10" t="s">
        <v>43</v>
      </c>
      <c r="C10" s="44">
        <v>2</v>
      </c>
      <c r="D10" s="44">
        <v>2</v>
      </c>
      <c r="E10" s="44">
        <v>1</v>
      </c>
      <c r="F10" s="44">
        <v>1</v>
      </c>
      <c r="G10" s="38"/>
    </row>
    <row r="11" spans="1:8" x14ac:dyDescent="0.25">
      <c r="A11" t="s">
        <v>61</v>
      </c>
      <c r="B11" t="s">
        <v>62</v>
      </c>
      <c r="C11" s="44">
        <v>20</v>
      </c>
      <c r="D11" s="44">
        <v>21</v>
      </c>
      <c r="E11" s="44">
        <v>20</v>
      </c>
      <c r="F11" s="44">
        <v>18</v>
      </c>
      <c r="G11" s="38"/>
    </row>
    <row r="12" spans="1:8" ht="26.4" customHeight="1" x14ac:dyDescent="0.25">
      <c r="A12" t="s">
        <v>63</v>
      </c>
      <c r="B12" t="s">
        <v>40</v>
      </c>
      <c r="C12" s="34">
        <v>7782</v>
      </c>
      <c r="D12" s="34">
        <v>7344</v>
      </c>
      <c r="E12" s="34">
        <v>7322</v>
      </c>
      <c r="F12" s="34">
        <v>7846</v>
      </c>
      <c r="G12" s="38"/>
    </row>
    <row r="13" spans="1:8" x14ac:dyDescent="0.25">
      <c r="A13" t="s">
        <v>63</v>
      </c>
      <c r="B13" t="s">
        <v>41</v>
      </c>
      <c r="C13" s="34">
        <v>7775</v>
      </c>
      <c r="D13" s="34">
        <v>8433</v>
      </c>
      <c r="E13" s="34">
        <v>8863</v>
      </c>
      <c r="F13" s="34">
        <v>9105</v>
      </c>
      <c r="G13" s="38"/>
    </row>
    <row r="14" spans="1:8" x14ac:dyDescent="0.25">
      <c r="A14" t="s">
        <v>63</v>
      </c>
      <c r="B14" t="s">
        <v>32</v>
      </c>
      <c r="C14" s="34">
        <v>4112</v>
      </c>
      <c r="D14" s="34">
        <v>4139</v>
      </c>
      <c r="E14" s="34">
        <v>4010</v>
      </c>
      <c r="F14" s="34">
        <v>4178</v>
      </c>
      <c r="G14" s="38"/>
    </row>
    <row r="15" spans="1:8" x14ac:dyDescent="0.25">
      <c r="A15" t="s">
        <v>63</v>
      </c>
      <c r="B15" t="s">
        <v>42</v>
      </c>
      <c r="C15" s="34">
        <v>332</v>
      </c>
      <c r="D15" s="34">
        <v>306</v>
      </c>
      <c r="E15" s="34">
        <v>342</v>
      </c>
      <c r="F15" s="34">
        <v>382</v>
      </c>
      <c r="G15" s="38"/>
    </row>
    <row r="16" spans="1:8" x14ac:dyDescent="0.25">
      <c r="A16" t="s">
        <v>63</v>
      </c>
      <c r="B16" t="s">
        <v>33</v>
      </c>
      <c r="C16" s="34">
        <v>1237</v>
      </c>
      <c r="D16" s="34">
        <v>1202</v>
      </c>
      <c r="E16" s="34">
        <v>1203</v>
      </c>
      <c r="F16" s="34">
        <v>1189</v>
      </c>
      <c r="G16" s="38"/>
    </row>
    <row r="17" spans="1:7" x14ac:dyDescent="0.25">
      <c r="A17" t="s">
        <v>63</v>
      </c>
      <c r="B17" t="s">
        <v>43</v>
      </c>
      <c r="C17" s="34">
        <v>415</v>
      </c>
      <c r="D17" s="34">
        <v>418</v>
      </c>
      <c r="E17" s="34">
        <v>339</v>
      </c>
      <c r="F17" s="34">
        <v>269</v>
      </c>
      <c r="G17" s="38"/>
    </row>
    <row r="18" spans="1:7" x14ac:dyDescent="0.25">
      <c r="A18" t="s">
        <v>63</v>
      </c>
      <c r="B18" t="s">
        <v>62</v>
      </c>
      <c r="C18" s="34">
        <v>5456</v>
      </c>
      <c r="D18" s="34">
        <v>5657</v>
      </c>
      <c r="E18" s="34">
        <v>5566</v>
      </c>
      <c r="F18" s="34">
        <v>4913</v>
      </c>
      <c r="G18" s="38"/>
    </row>
    <row r="19" spans="1:7" ht="26.4" customHeight="1" x14ac:dyDescent="0.25">
      <c r="A19" t="s">
        <v>44</v>
      </c>
      <c r="B19" t="s">
        <v>40</v>
      </c>
      <c r="C19" s="34">
        <v>37723</v>
      </c>
      <c r="D19" s="34">
        <v>36785</v>
      </c>
      <c r="E19" s="34">
        <v>40496</v>
      </c>
      <c r="F19" s="34">
        <v>44497</v>
      </c>
      <c r="G19" s="38"/>
    </row>
    <row r="20" spans="1:7" x14ac:dyDescent="0.25">
      <c r="A20" t="s">
        <v>44</v>
      </c>
      <c r="B20" t="s">
        <v>41</v>
      </c>
      <c r="C20" s="34">
        <v>39832</v>
      </c>
      <c r="D20" s="34">
        <v>43259</v>
      </c>
      <c r="E20" s="34">
        <v>50604</v>
      </c>
      <c r="F20" s="34">
        <v>54394</v>
      </c>
      <c r="G20" s="38"/>
    </row>
    <row r="21" spans="1:7" x14ac:dyDescent="0.25">
      <c r="A21" t="s">
        <v>44</v>
      </c>
      <c r="B21" t="s">
        <v>32</v>
      </c>
      <c r="C21" s="34">
        <v>18628</v>
      </c>
      <c r="D21" s="34">
        <v>19383</v>
      </c>
      <c r="E21" s="34">
        <v>20098</v>
      </c>
      <c r="F21" s="34">
        <v>22475</v>
      </c>
      <c r="G21" s="38"/>
    </row>
    <row r="22" spans="1:7" x14ac:dyDescent="0.25">
      <c r="A22" t="s">
        <v>44</v>
      </c>
      <c r="B22" t="s">
        <v>42</v>
      </c>
      <c r="C22" s="34">
        <v>1425</v>
      </c>
      <c r="D22" s="34">
        <v>1310</v>
      </c>
      <c r="E22" s="34">
        <v>1574</v>
      </c>
      <c r="F22" s="34">
        <v>1929</v>
      </c>
      <c r="G22" s="38"/>
    </row>
    <row r="23" spans="1:7" x14ac:dyDescent="0.25">
      <c r="A23" t="s">
        <v>44</v>
      </c>
      <c r="B23" t="s">
        <v>33</v>
      </c>
      <c r="C23" s="34">
        <v>6261</v>
      </c>
      <c r="D23" s="34">
        <v>6094</v>
      </c>
      <c r="E23" s="34">
        <v>6837</v>
      </c>
      <c r="F23" s="34">
        <v>6809</v>
      </c>
      <c r="G23" s="38"/>
    </row>
    <row r="24" spans="1:7" x14ac:dyDescent="0.25">
      <c r="A24" t="s">
        <v>44</v>
      </c>
      <c r="B24" t="s">
        <v>43</v>
      </c>
      <c r="C24" s="39">
        <v>2029</v>
      </c>
      <c r="D24" s="39">
        <v>2100</v>
      </c>
      <c r="E24" s="39">
        <v>1720</v>
      </c>
      <c r="F24" s="39">
        <v>1504</v>
      </c>
      <c r="G24" s="38"/>
    </row>
    <row r="25" spans="1:7" x14ac:dyDescent="0.25">
      <c r="A25" t="s">
        <v>44</v>
      </c>
      <c r="B25" t="s">
        <v>62</v>
      </c>
      <c r="C25" s="34">
        <v>28420</v>
      </c>
      <c r="D25" s="34">
        <v>29996</v>
      </c>
      <c r="E25" s="34">
        <v>32058</v>
      </c>
      <c r="F25" s="34">
        <v>30600</v>
      </c>
      <c r="G25" s="38"/>
    </row>
    <row r="26" spans="1:7" x14ac:dyDescent="0.25">
      <c r="C26" s="36"/>
      <c r="D26" s="36"/>
      <c r="E26" s="36"/>
      <c r="F26" s="3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45B0-3056-41D3-AF75-2C62C1BB1A1F}">
  <dimension ref="A1:H22"/>
  <sheetViews>
    <sheetView workbookViewId="0"/>
  </sheetViews>
  <sheetFormatPr defaultRowHeight="15" x14ac:dyDescent="0.25"/>
  <cols>
    <col min="1" max="1" width="32.453125" customWidth="1"/>
    <col min="2" max="2" width="32.36328125" customWidth="1"/>
    <col min="3" max="6" width="10.6328125" customWidth="1"/>
    <col min="7" max="7" width="8.7265625" customWidth="1"/>
  </cols>
  <sheetData>
    <row r="1" spans="1:8" ht="19.2" x14ac:dyDescent="0.35">
      <c r="A1" s="16" t="s">
        <v>80</v>
      </c>
    </row>
    <row r="2" spans="1:8" x14ac:dyDescent="0.25">
      <c r="A2" t="s">
        <v>21</v>
      </c>
      <c r="H2" s="31"/>
    </row>
    <row r="3" spans="1:8" x14ac:dyDescent="0.25">
      <c r="A3" s="29" t="str">
        <f>HYPERLINK("#'Notes'!A1", "Some cells refer to notes which can be found in the Notes worksheet.")</f>
        <v>Some cells refer to notes which can be found in the Notes worksheet.</v>
      </c>
      <c r="C3" s="8"/>
      <c r="H3" s="8"/>
    </row>
    <row r="4" spans="1:8" ht="27.6" customHeight="1" x14ac:dyDescent="0.3">
      <c r="A4" s="17" t="s">
        <v>34</v>
      </c>
      <c r="B4" s="17" t="s">
        <v>35</v>
      </c>
      <c r="C4" s="35" t="s">
        <v>36</v>
      </c>
      <c r="D4" s="35" t="s">
        <v>37</v>
      </c>
      <c r="E4" s="35" t="s">
        <v>38</v>
      </c>
      <c r="F4" s="35" t="s">
        <v>39</v>
      </c>
      <c r="G4" s="37"/>
      <c r="H4" s="8"/>
    </row>
    <row r="5" spans="1:8" ht="26.4" customHeight="1" x14ac:dyDescent="0.25">
      <c r="A5" t="s">
        <v>61</v>
      </c>
      <c r="B5" t="s">
        <v>40</v>
      </c>
      <c r="C5" s="44">
        <v>36</v>
      </c>
      <c r="D5" s="44">
        <v>34</v>
      </c>
      <c r="E5" s="44">
        <v>33</v>
      </c>
      <c r="F5" s="44">
        <v>34</v>
      </c>
      <c r="G5" s="38"/>
    </row>
    <row r="6" spans="1:8" x14ac:dyDescent="0.25">
      <c r="A6" t="s">
        <v>61</v>
      </c>
      <c r="B6" t="s">
        <v>41</v>
      </c>
      <c r="C6" s="44">
        <v>36</v>
      </c>
      <c r="D6" s="44">
        <v>39</v>
      </c>
      <c r="E6" s="44">
        <v>40</v>
      </c>
      <c r="F6" s="44">
        <v>40</v>
      </c>
      <c r="G6" s="38"/>
    </row>
    <row r="7" spans="1:8" x14ac:dyDescent="0.25">
      <c r="A7" t="s">
        <v>61</v>
      </c>
      <c r="B7" t="s">
        <v>32</v>
      </c>
      <c r="C7" s="44">
        <v>19</v>
      </c>
      <c r="D7" s="44">
        <v>19</v>
      </c>
      <c r="E7" s="44">
        <v>18</v>
      </c>
      <c r="F7" s="44">
        <v>18</v>
      </c>
      <c r="G7" s="38"/>
    </row>
    <row r="8" spans="1:8" x14ac:dyDescent="0.25">
      <c r="A8" t="s">
        <v>61</v>
      </c>
      <c r="B8" t="s">
        <v>42</v>
      </c>
      <c r="C8" s="44">
        <v>2</v>
      </c>
      <c r="D8" s="44">
        <v>1</v>
      </c>
      <c r="E8" s="44">
        <v>2</v>
      </c>
      <c r="F8" s="44">
        <v>2</v>
      </c>
      <c r="G8" s="38"/>
    </row>
    <row r="9" spans="1:8" x14ac:dyDescent="0.25">
      <c r="A9" t="s">
        <v>61</v>
      </c>
      <c r="B9" t="s">
        <v>33</v>
      </c>
      <c r="C9" s="44">
        <v>6</v>
      </c>
      <c r="D9" s="44">
        <v>6</v>
      </c>
      <c r="E9" s="44">
        <v>5</v>
      </c>
      <c r="F9" s="44">
        <v>5</v>
      </c>
      <c r="G9" s="38"/>
    </row>
    <row r="10" spans="1:8" x14ac:dyDescent="0.25">
      <c r="A10" t="s">
        <v>61</v>
      </c>
      <c r="B10" t="s">
        <v>43</v>
      </c>
      <c r="C10" s="44">
        <v>2</v>
      </c>
      <c r="D10" s="44">
        <v>2</v>
      </c>
      <c r="E10" s="44">
        <v>2</v>
      </c>
      <c r="F10" s="44">
        <v>1</v>
      </c>
      <c r="G10" s="38"/>
    </row>
    <row r="11" spans="1:8" ht="26.4" customHeight="1" x14ac:dyDescent="0.25">
      <c r="A11" t="s">
        <v>63</v>
      </c>
      <c r="B11" t="s">
        <v>40</v>
      </c>
      <c r="C11" s="34">
        <v>7782</v>
      </c>
      <c r="D11" s="34">
        <v>7344</v>
      </c>
      <c r="E11" s="34">
        <v>7322</v>
      </c>
      <c r="F11" s="34">
        <v>7846</v>
      </c>
      <c r="G11" s="38"/>
    </row>
    <row r="12" spans="1:8" x14ac:dyDescent="0.25">
      <c r="A12" t="s">
        <v>63</v>
      </c>
      <c r="B12" t="s">
        <v>41</v>
      </c>
      <c r="C12" s="34">
        <v>7775</v>
      </c>
      <c r="D12" s="34">
        <v>8433</v>
      </c>
      <c r="E12" s="34">
        <v>8863</v>
      </c>
      <c r="F12" s="34">
        <v>9105</v>
      </c>
      <c r="G12" s="38"/>
    </row>
    <row r="13" spans="1:8" x14ac:dyDescent="0.25">
      <c r="A13" t="s">
        <v>63</v>
      </c>
      <c r="B13" t="s">
        <v>32</v>
      </c>
      <c r="C13" s="34">
        <v>4112</v>
      </c>
      <c r="D13" s="34">
        <v>4139</v>
      </c>
      <c r="E13" s="34">
        <v>4010</v>
      </c>
      <c r="F13" s="34">
        <v>4178</v>
      </c>
      <c r="G13" s="38"/>
    </row>
    <row r="14" spans="1:8" x14ac:dyDescent="0.25">
      <c r="A14" t="s">
        <v>63</v>
      </c>
      <c r="B14" t="s">
        <v>42</v>
      </c>
      <c r="C14" s="34">
        <v>332</v>
      </c>
      <c r="D14" s="34">
        <v>306</v>
      </c>
      <c r="E14" s="34">
        <v>342</v>
      </c>
      <c r="F14" s="34">
        <v>382</v>
      </c>
      <c r="G14" s="38"/>
    </row>
    <row r="15" spans="1:8" x14ac:dyDescent="0.25">
      <c r="A15" t="s">
        <v>63</v>
      </c>
      <c r="B15" t="s">
        <v>33</v>
      </c>
      <c r="C15" s="34">
        <v>1237</v>
      </c>
      <c r="D15" s="34">
        <v>1202</v>
      </c>
      <c r="E15" s="34">
        <v>1203</v>
      </c>
      <c r="F15" s="34">
        <v>1189</v>
      </c>
      <c r="G15" s="38"/>
    </row>
    <row r="16" spans="1:8" x14ac:dyDescent="0.25">
      <c r="A16" t="s">
        <v>63</v>
      </c>
      <c r="B16" t="s">
        <v>43</v>
      </c>
      <c r="C16" s="34">
        <v>415</v>
      </c>
      <c r="D16" s="34">
        <v>418</v>
      </c>
      <c r="E16" s="34">
        <v>339</v>
      </c>
      <c r="F16" s="34">
        <v>269</v>
      </c>
      <c r="G16" s="38"/>
    </row>
    <row r="17" spans="1:7" ht="26.4" customHeight="1" x14ac:dyDescent="0.25">
      <c r="A17" t="s">
        <v>44</v>
      </c>
      <c r="B17" t="s">
        <v>40</v>
      </c>
      <c r="C17" s="34">
        <v>37723</v>
      </c>
      <c r="D17" s="34">
        <v>36785</v>
      </c>
      <c r="E17" s="34">
        <v>40496</v>
      </c>
      <c r="F17" s="34">
        <v>44497</v>
      </c>
      <c r="G17" s="38"/>
    </row>
    <row r="18" spans="1:7" x14ac:dyDescent="0.25">
      <c r="A18" t="s">
        <v>44</v>
      </c>
      <c r="B18" t="s">
        <v>41</v>
      </c>
      <c r="C18" s="34">
        <v>39832</v>
      </c>
      <c r="D18" s="34">
        <v>43259</v>
      </c>
      <c r="E18" s="34">
        <v>50604</v>
      </c>
      <c r="F18" s="34">
        <v>54394</v>
      </c>
      <c r="G18" s="38"/>
    </row>
    <row r="19" spans="1:7" x14ac:dyDescent="0.25">
      <c r="A19" t="s">
        <v>44</v>
      </c>
      <c r="B19" t="s">
        <v>32</v>
      </c>
      <c r="C19" s="34">
        <v>18628</v>
      </c>
      <c r="D19" s="34">
        <v>19383</v>
      </c>
      <c r="E19" s="34">
        <v>20098</v>
      </c>
      <c r="F19" s="34">
        <v>22475</v>
      </c>
      <c r="G19" s="38"/>
    </row>
    <row r="20" spans="1:7" x14ac:dyDescent="0.25">
      <c r="A20" t="s">
        <v>44</v>
      </c>
      <c r="B20" t="s">
        <v>42</v>
      </c>
      <c r="C20" s="34">
        <v>1425</v>
      </c>
      <c r="D20" s="34">
        <v>1310</v>
      </c>
      <c r="E20" s="34">
        <v>1574</v>
      </c>
      <c r="F20" s="34">
        <v>1929</v>
      </c>
      <c r="G20" s="38"/>
    </row>
    <row r="21" spans="1:7" x14ac:dyDescent="0.25">
      <c r="A21" t="s">
        <v>44</v>
      </c>
      <c r="B21" t="s">
        <v>33</v>
      </c>
      <c r="C21" s="34">
        <v>6261</v>
      </c>
      <c r="D21" s="34">
        <v>6094</v>
      </c>
      <c r="E21" s="34">
        <v>6837</v>
      </c>
      <c r="F21" s="34">
        <v>6809</v>
      </c>
      <c r="G21" s="38"/>
    </row>
    <row r="22" spans="1:7" x14ac:dyDescent="0.25">
      <c r="A22" t="s">
        <v>44</v>
      </c>
      <c r="B22" t="s">
        <v>43</v>
      </c>
      <c r="C22" s="34">
        <v>2029</v>
      </c>
      <c r="D22" s="34">
        <v>2100</v>
      </c>
      <c r="E22" s="34">
        <v>1720</v>
      </c>
      <c r="F22" s="34">
        <v>1504</v>
      </c>
      <c r="G22" s="3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2631-EB42-4D9B-B0B2-0050695E520B}">
  <dimension ref="A1:I22"/>
  <sheetViews>
    <sheetView workbookViewId="0"/>
  </sheetViews>
  <sheetFormatPr defaultRowHeight="15" x14ac:dyDescent="0.25"/>
  <cols>
    <col min="1" max="1" width="35.453125" customWidth="1"/>
    <col min="2" max="2" width="15.81640625" customWidth="1"/>
    <col min="3" max="3" width="11.54296875" customWidth="1"/>
    <col min="4" max="7" width="10.6328125" customWidth="1"/>
    <col min="8" max="8" width="8.7265625" customWidth="1"/>
  </cols>
  <sheetData>
    <row r="1" spans="1:9" ht="19.2" x14ac:dyDescent="0.35">
      <c r="A1" s="16" t="s">
        <v>79</v>
      </c>
    </row>
    <row r="2" spans="1:9" x14ac:dyDescent="0.25">
      <c r="A2" t="s">
        <v>21</v>
      </c>
      <c r="I2" s="31"/>
    </row>
    <row r="3" spans="1:9" x14ac:dyDescent="0.25">
      <c r="A3" s="29" t="str">
        <f>HYPERLINK("#'Notes'!A1", "Some cells refer to notes which can be found in the Notes worksheet.")</f>
        <v>Some cells refer to notes which can be found in the Notes worksheet.</v>
      </c>
      <c r="D3" s="8"/>
      <c r="I3" s="8"/>
    </row>
    <row r="4" spans="1:9" ht="27.6" customHeight="1" x14ac:dyDescent="0.3">
      <c r="A4" s="17" t="s">
        <v>34</v>
      </c>
      <c r="B4" s="17" t="s">
        <v>45</v>
      </c>
      <c r="C4" s="17" t="s">
        <v>46</v>
      </c>
      <c r="D4" s="35" t="s">
        <v>36</v>
      </c>
      <c r="E4" s="35" t="s">
        <v>37</v>
      </c>
      <c r="F4" s="35" t="s">
        <v>38</v>
      </c>
      <c r="G4" s="35" t="s">
        <v>39</v>
      </c>
      <c r="H4" s="37"/>
    </row>
    <row r="5" spans="1:9" x14ac:dyDescent="0.25">
      <c r="A5" t="s">
        <v>56</v>
      </c>
      <c r="B5" t="s">
        <v>47</v>
      </c>
      <c r="C5" t="s">
        <v>48</v>
      </c>
      <c r="D5" s="44">
        <v>81</v>
      </c>
      <c r="E5" s="44">
        <v>80</v>
      </c>
      <c r="F5" s="44">
        <v>81</v>
      </c>
      <c r="G5" s="44">
        <v>83</v>
      </c>
      <c r="H5" s="38"/>
    </row>
    <row r="6" spans="1:9" x14ac:dyDescent="0.25">
      <c r="A6" t="s">
        <v>56</v>
      </c>
      <c r="B6" t="s">
        <v>47</v>
      </c>
      <c r="C6" t="s">
        <v>49</v>
      </c>
      <c r="D6" s="44">
        <v>79</v>
      </c>
      <c r="E6" s="44">
        <v>78</v>
      </c>
      <c r="F6" s="44">
        <v>79</v>
      </c>
      <c r="G6" s="44">
        <v>82</v>
      </c>
      <c r="H6" s="38"/>
    </row>
    <row r="7" spans="1:9" x14ac:dyDescent="0.25">
      <c r="A7" t="s">
        <v>56</v>
      </c>
      <c r="B7" t="s">
        <v>50</v>
      </c>
      <c r="C7" t="s">
        <v>48</v>
      </c>
      <c r="D7" s="44">
        <v>78</v>
      </c>
      <c r="E7" s="44">
        <v>78</v>
      </c>
      <c r="F7" s="44">
        <v>78</v>
      </c>
      <c r="G7" s="44">
        <v>81</v>
      </c>
      <c r="H7" s="38"/>
    </row>
    <row r="8" spans="1:9" x14ac:dyDescent="0.25">
      <c r="A8" t="s">
        <v>56</v>
      </c>
      <c r="B8" t="s">
        <v>50</v>
      </c>
      <c r="C8" t="s">
        <v>49</v>
      </c>
      <c r="D8" s="44">
        <v>71</v>
      </c>
      <c r="E8" s="44">
        <v>71</v>
      </c>
      <c r="F8" s="44">
        <v>72</v>
      </c>
      <c r="G8" s="44">
        <v>76</v>
      </c>
      <c r="H8" s="38"/>
    </row>
    <row r="9" spans="1:9" x14ac:dyDescent="0.25">
      <c r="A9" t="s">
        <v>56</v>
      </c>
      <c r="B9" t="s">
        <v>51</v>
      </c>
      <c r="C9" t="s">
        <v>48</v>
      </c>
      <c r="D9" s="44">
        <v>92</v>
      </c>
      <c r="E9" s="44">
        <v>91</v>
      </c>
      <c r="F9" s="44">
        <v>91</v>
      </c>
      <c r="G9" s="44">
        <v>90</v>
      </c>
      <c r="H9" s="38"/>
    </row>
    <row r="10" spans="1:9" x14ac:dyDescent="0.25">
      <c r="A10" t="s">
        <v>56</v>
      </c>
      <c r="B10" t="s">
        <v>51</v>
      </c>
      <c r="C10" t="s">
        <v>49</v>
      </c>
      <c r="D10" s="44">
        <v>91</v>
      </c>
      <c r="E10" s="44">
        <v>90</v>
      </c>
      <c r="F10" s="44">
        <v>90</v>
      </c>
      <c r="G10" s="44">
        <v>90</v>
      </c>
      <c r="H10" s="38"/>
    </row>
    <row r="11" spans="1:9" ht="26.4" customHeight="1" x14ac:dyDescent="0.25">
      <c r="A11" t="s">
        <v>69</v>
      </c>
      <c r="B11" t="s">
        <v>47</v>
      </c>
      <c r="C11" t="s">
        <v>48</v>
      </c>
      <c r="D11" s="34">
        <v>10942</v>
      </c>
      <c r="E11" s="34">
        <v>11187</v>
      </c>
      <c r="F11" s="34">
        <v>11159</v>
      </c>
      <c r="G11" s="34">
        <v>11409</v>
      </c>
      <c r="H11" s="38"/>
    </row>
    <row r="12" spans="1:9" x14ac:dyDescent="0.25">
      <c r="A12" t="s">
        <v>69</v>
      </c>
      <c r="B12" t="s">
        <v>47</v>
      </c>
      <c r="C12" t="s">
        <v>49</v>
      </c>
      <c r="D12" s="34">
        <v>10712</v>
      </c>
      <c r="E12" s="34">
        <v>10654</v>
      </c>
      <c r="F12" s="34">
        <v>10919</v>
      </c>
      <c r="G12" s="34">
        <v>11560</v>
      </c>
      <c r="H12" s="38"/>
    </row>
    <row r="13" spans="1:9" x14ac:dyDescent="0.25">
      <c r="A13" t="s">
        <v>69</v>
      </c>
      <c r="B13" t="s">
        <v>50</v>
      </c>
      <c r="C13" t="s">
        <v>48</v>
      </c>
      <c r="D13" s="34">
        <v>7986</v>
      </c>
      <c r="E13" s="34">
        <v>8266</v>
      </c>
      <c r="F13" s="34">
        <v>8266</v>
      </c>
      <c r="G13" s="34">
        <v>8401</v>
      </c>
      <c r="H13" s="38"/>
    </row>
    <row r="14" spans="1:9" x14ac:dyDescent="0.25">
      <c r="A14" t="s">
        <v>69</v>
      </c>
      <c r="B14" t="s">
        <v>50</v>
      </c>
      <c r="C14" t="s">
        <v>49</v>
      </c>
      <c r="D14" s="34">
        <v>5375</v>
      </c>
      <c r="E14" s="34">
        <v>5478</v>
      </c>
      <c r="F14" s="34">
        <v>5719</v>
      </c>
      <c r="G14" s="34">
        <v>5928</v>
      </c>
      <c r="H14" s="38"/>
    </row>
    <row r="15" spans="1:9" x14ac:dyDescent="0.25">
      <c r="A15" t="s">
        <v>69</v>
      </c>
      <c r="B15" t="s">
        <v>51</v>
      </c>
      <c r="C15" t="s">
        <v>48</v>
      </c>
      <c r="D15" s="34">
        <v>2165</v>
      </c>
      <c r="E15" s="34">
        <v>2099</v>
      </c>
      <c r="F15" s="34">
        <v>2165</v>
      </c>
      <c r="G15" s="34">
        <v>2230</v>
      </c>
      <c r="H15" s="38"/>
    </row>
    <row r="16" spans="1:9" x14ac:dyDescent="0.25">
      <c r="A16" t="s">
        <v>69</v>
      </c>
      <c r="B16" t="s">
        <v>51</v>
      </c>
      <c r="C16" t="s">
        <v>49</v>
      </c>
      <c r="D16" s="34">
        <v>4115</v>
      </c>
      <c r="E16" s="34">
        <v>3952</v>
      </c>
      <c r="F16" s="34">
        <v>4089</v>
      </c>
      <c r="G16" s="34">
        <v>4402</v>
      </c>
      <c r="H16" s="38"/>
    </row>
    <row r="17" spans="1:8" ht="26.4" customHeight="1" x14ac:dyDescent="0.25">
      <c r="A17" t="s">
        <v>70</v>
      </c>
      <c r="B17" t="s">
        <v>47</v>
      </c>
      <c r="C17" t="s">
        <v>48</v>
      </c>
      <c r="D17" s="34">
        <v>49991</v>
      </c>
      <c r="E17" s="34">
        <v>51887</v>
      </c>
      <c r="F17" s="34">
        <v>57688</v>
      </c>
      <c r="G17" s="34">
        <v>62053</v>
      </c>
      <c r="H17" s="38"/>
    </row>
    <row r="18" spans="1:8" x14ac:dyDescent="0.25">
      <c r="A18" t="s">
        <v>70</v>
      </c>
      <c r="B18" t="s">
        <v>47</v>
      </c>
      <c r="C18" t="s">
        <v>49</v>
      </c>
      <c r="D18" s="34">
        <v>55907</v>
      </c>
      <c r="E18" s="34">
        <v>57044</v>
      </c>
      <c r="F18" s="34">
        <v>63641</v>
      </c>
      <c r="G18" s="34">
        <v>69555</v>
      </c>
      <c r="H18" s="38"/>
    </row>
    <row r="19" spans="1:8" x14ac:dyDescent="0.25">
      <c r="A19" t="s">
        <v>70</v>
      </c>
      <c r="B19" t="s">
        <v>50</v>
      </c>
      <c r="C19" t="s">
        <v>48</v>
      </c>
      <c r="D19" s="34">
        <v>37416</v>
      </c>
      <c r="E19" s="34">
        <v>38951</v>
      </c>
      <c r="F19" s="34">
        <v>43622</v>
      </c>
      <c r="G19" s="34">
        <v>46714</v>
      </c>
      <c r="H19" s="38"/>
    </row>
    <row r="20" spans="1:8" x14ac:dyDescent="0.25">
      <c r="A20" t="s">
        <v>70</v>
      </c>
      <c r="B20" t="s">
        <v>50</v>
      </c>
      <c r="C20" t="s">
        <v>49</v>
      </c>
      <c r="D20" s="34">
        <v>28677</v>
      </c>
      <c r="E20" s="34">
        <v>29749</v>
      </c>
      <c r="F20" s="34">
        <v>33392</v>
      </c>
      <c r="G20" s="34">
        <v>36256</v>
      </c>
      <c r="H20" s="38"/>
    </row>
    <row r="21" spans="1:8" x14ac:dyDescent="0.25">
      <c r="A21" t="s">
        <v>70</v>
      </c>
      <c r="B21" t="s">
        <v>51</v>
      </c>
      <c r="C21" t="s">
        <v>48</v>
      </c>
      <c r="D21" s="34">
        <v>9490</v>
      </c>
      <c r="E21" s="34">
        <v>9636</v>
      </c>
      <c r="F21" s="34">
        <v>10856</v>
      </c>
      <c r="G21" s="34">
        <v>11656</v>
      </c>
      <c r="H21" s="38"/>
    </row>
    <row r="22" spans="1:8" x14ac:dyDescent="0.25">
      <c r="A22" t="s">
        <v>70</v>
      </c>
      <c r="B22" t="s">
        <v>51</v>
      </c>
      <c r="C22" t="s">
        <v>49</v>
      </c>
      <c r="D22" s="34">
        <v>21429</v>
      </c>
      <c r="E22" s="34">
        <v>21339</v>
      </c>
      <c r="F22" s="34">
        <v>24385</v>
      </c>
      <c r="G22" s="34">
        <v>26498</v>
      </c>
      <c r="H22" s="3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6660-D17F-418B-B6E8-C61D01FFA4E8}">
  <dimension ref="A1:L16"/>
  <sheetViews>
    <sheetView workbookViewId="0"/>
  </sheetViews>
  <sheetFormatPr defaultRowHeight="15" x14ac:dyDescent="0.25"/>
  <cols>
    <col min="1" max="1" width="31.1796875" customWidth="1"/>
    <col min="2" max="2" width="15.81640625" customWidth="1"/>
    <col min="3" max="3" width="11.54296875" customWidth="1"/>
    <col min="4" max="7" width="10.6328125" customWidth="1"/>
    <col min="8" max="8" width="8.7265625" customWidth="1"/>
  </cols>
  <sheetData>
    <row r="1" spans="1:12" ht="19.2" x14ac:dyDescent="0.35">
      <c r="A1" s="16" t="s">
        <v>83</v>
      </c>
    </row>
    <row r="2" spans="1:12" x14ac:dyDescent="0.25">
      <c r="A2" t="s">
        <v>21</v>
      </c>
      <c r="I2" s="8"/>
    </row>
    <row r="3" spans="1:12" x14ac:dyDescent="0.25">
      <c r="A3" s="29" t="str">
        <f>HYPERLINK("#'Notes'!A1", "Some cells refer to notes which can be found in the Notes worksheet.")</f>
        <v>Some cells refer to notes which can be found in the Notes worksheet.</v>
      </c>
      <c r="I3" s="31"/>
    </row>
    <row r="4" spans="1:12" ht="27.6" customHeight="1" x14ac:dyDescent="0.3">
      <c r="A4" s="17" t="s">
        <v>34</v>
      </c>
      <c r="B4" s="17" t="s">
        <v>45</v>
      </c>
      <c r="C4" s="17" t="s">
        <v>46</v>
      </c>
      <c r="D4" s="35" t="s">
        <v>36</v>
      </c>
      <c r="E4" s="35" t="s">
        <v>37</v>
      </c>
      <c r="F4" s="35" t="s">
        <v>38</v>
      </c>
      <c r="G4" s="35" t="s">
        <v>39</v>
      </c>
      <c r="H4" s="37"/>
      <c r="I4" s="31"/>
    </row>
    <row r="5" spans="1:12" x14ac:dyDescent="0.25">
      <c r="A5" t="s">
        <v>57</v>
      </c>
      <c r="B5" t="s">
        <v>50</v>
      </c>
      <c r="C5" t="s">
        <v>48</v>
      </c>
      <c r="D5" s="44">
        <v>6</v>
      </c>
      <c r="E5" s="44">
        <v>6</v>
      </c>
      <c r="F5" s="44">
        <v>6</v>
      </c>
      <c r="G5" s="44">
        <v>6</v>
      </c>
      <c r="H5" s="38"/>
      <c r="I5" s="8"/>
    </row>
    <row r="6" spans="1:12" x14ac:dyDescent="0.25">
      <c r="A6" t="s">
        <v>57</v>
      </c>
      <c r="B6" t="s">
        <v>50</v>
      </c>
      <c r="C6" t="s">
        <v>49</v>
      </c>
      <c r="D6" s="44">
        <v>5</v>
      </c>
      <c r="E6" s="44">
        <v>5</v>
      </c>
      <c r="F6" s="44">
        <v>5</v>
      </c>
      <c r="G6" s="44">
        <v>5</v>
      </c>
      <c r="H6" s="38"/>
    </row>
    <row r="7" spans="1:12" x14ac:dyDescent="0.25">
      <c r="A7" t="s">
        <v>57</v>
      </c>
      <c r="B7" t="s">
        <v>51</v>
      </c>
      <c r="C7" t="s">
        <v>48</v>
      </c>
      <c r="D7" s="44">
        <v>27</v>
      </c>
      <c r="E7" s="44">
        <v>27</v>
      </c>
      <c r="F7" s="44">
        <v>27</v>
      </c>
      <c r="G7" s="44">
        <v>27</v>
      </c>
      <c r="H7" s="38"/>
      <c r="I7" s="33"/>
      <c r="J7" s="33"/>
      <c r="K7" s="33"/>
      <c r="L7" s="33"/>
    </row>
    <row r="8" spans="1:12" x14ac:dyDescent="0.25">
      <c r="A8" t="s">
        <v>57</v>
      </c>
      <c r="B8" t="s">
        <v>51</v>
      </c>
      <c r="C8" t="s">
        <v>49</v>
      </c>
      <c r="D8" s="44">
        <v>28</v>
      </c>
      <c r="E8" s="44">
        <v>27</v>
      </c>
      <c r="F8" s="44">
        <v>25</v>
      </c>
      <c r="G8" s="44">
        <v>26</v>
      </c>
      <c r="H8" s="38"/>
      <c r="I8" s="33"/>
      <c r="J8" s="33"/>
      <c r="K8" s="33"/>
      <c r="L8" s="33"/>
    </row>
    <row r="9" spans="1:12" ht="26.4" customHeight="1" x14ac:dyDescent="0.25">
      <c r="A9" t="s">
        <v>63</v>
      </c>
      <c r="B9" t="s">
        <v>50</v>
      </c>
      <c r="C9" t="s">
        <v>48</v>
      </c>
      <c r="D9" s="34">
        <v>7938</v>
      </c>
      <c r="E9" s="34">
        <v>8205</v>
      </c>
      <c r="F9" s="34">
        <v>8220</v>
      </c>
      <c r="G9" s="34">
        <v>8350</v>
      </c>
      <c r="H9" s="38"/>
      <c r="I9" s="33"/>
      <c r="J9" s="33"/>
      <c r="K9" s="33"/>
      <c r="L9" s="33"/>
    </row>
    <row r="10" spans="1:12" x14ac:dyDescent="0.25">
      <c r="A10" t="s">
        <v>63</v>
      </c>
      <c r="B10" t="s">
        <v>50</v>
      </c>
      <c r="C10" t="s">
        <v>49</v>
      </c>
      <c r="D10" s="34">
        <v>5249</v>
      </c>
      <c r="E10" s="34">
        <v>5350</v>
      </c>
      <c r="F10" s="34">
        <v>5613</v>
      </c>
      <c r="G10" s="34">
        <v>5815</v>
      </c>
      <c r="H10" s="38"/>
      <c r="I10" s="33"/>
      <c r="J10" s="33"/>
      <c r="K10" s="33"/>
      <c r="L10" s="33"/>
    </row>
    <row r="11" spans="1:12" x14ac:dyDescent="0.25">
      <c r="A11" t="s">
        <v>63</v>
      </c>
      <c r="B11" t="s">
        <v>51</v>
      </c>
      <c r="C11" t="s">
        <v>48</v>
      </c>
      <c r="D11" s="34">
        <v>2143</v>
      </c>
      <c r="E11" s="34">
        <v>2078</v>
      </c>
      <c r="F11" s="34">
        <v>2145</v>
      </c>
      <c r="G11" s="34">
        <v>2209</v>
      </c>
      <c r="H11" s="38"/>
    </row>
    <row r="12" spans="1:12" x14ac:dyDescent="0.25">
      <c r="A12" t="s">
        <v>63</v>
      </c>
      <c r="B12" t="s">
        <v>51</v>
      </c>
      <c r="C12" t="s">
        <v>49</v>
      </c>
      <c r="D12" s="34">
        <v>3953</v>
      </c>
      <c r="E12" s="34">
        <v>3824</v>
      </c>
      <c r="F12" s="34">
        <v>3970</v>
      </c>
      <c r="G12" s="34">
        <v>4276</v>
      </c>
      <c r="H12" s="38"/>
    </row>
    <row r="13" spans="1:12" ht="26.4" customHeight="1" x14ac:dyDescent="0.25">
      <c r="A13" t="s">
        <v>44</v>
      </c>
      <c r="B13" t="s">
        <v>50</v>
      </c>
      <c r="C13" t="s">
        <v>48</v>
      </c>
      <c r="D13" s="34">
        <v>37137</v>
      </c>
      <c r="E13" s="34">
        <v>38565</v>
      </c>
      <c r="F13" s="34">
        <v>43307</v>
      </c>
      <c r="G13" s="34">
        <v>46346</v>
      </c>
      <c r="H13" s="38"/>
    </row>
    <row r="14" spans="1:12" x14ac:dyDescent="0.25">
      <c r="A14" t="s">
        <v>44</v>
      </c>
      <c r="B14" t="s">
        <v>50</v>
      </c>
      <c r="C14" t="s">
        <v>49</v>
      </c>
      <c r="D14" s="34">
        <v>27864</v>
      </c>
      <c r="E14" s="34">
        <v>28931</v>
      </c>
      <c r="F14" s="34">
        <v>32666</v>
      </c>
      <c r="G14" s="34">
        <v>35451</v>
      </c>
      <c r="H14" s="38"/>
    </row>
    <row r="15" spans="1:12" x14ac:dyDescent="0.25">
      <c r="A15" t="s">
        <v>44</v>
      </c>
      <c r="B15" t="s">
        <v>51</v>
      </c>
      <c r="C15" t="s">
        <v>48</v>
      </c>
      <c r="D15" s="34">
        <v>9372</v>
      </c>
      <c r="E15" s="34">
        <v>9520</v>
      </c>
      <c r="F15" s="34">
        <v>10745</v>
      </c>
      <c r="G15" s="34">
        <v>11532</v>
      </c>
      <c r="H15" s="38"/>
    </row>
    <row r="16" spans="1:12" x14ac:dyDescent="0.25">
      <c r="A16" t="s">
        <v>44</v>
      </c>
      <c r="B16" t="s">
        <v>51</v>
      </c>
      <c r="C16" t="s">
        <v>49</v>
      </c>
      <c r="D16" s="34">
        <v>20349</v>
      </c>
      <c r="E16" s="34">
        <v>20479</v>
      </c>
      <c r="F16" s="34">
        <v>23521</v>
      </c>
      <c r="G16" s="34">
        <v>25573</v>
      </c>
      <c r="H16" s="3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13780</ReferenceId>
    <Notes xmlns="1e572c8d-6813-4013-8a4a-be491ac59459" xsi:nil="true"/>
    <TrackerId xmlns="1e572c8d-6813-4013-8a4a-be491ac59459">TRCK-4065</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4A3650-9BB1-473B-9EF2-2AC24E1318C9}"/>
</file>

<file path=customXml/itemProps2.xml><?xml version="1.0" encoding="utf-8"?>
<ds:datastoreItem xmlns:ds="http://schemas.openxmlformats.org/officeDocument/2006/customXml" ds:itemID="{8F0B7E53-A75B-4068-9CCD-9533DA887810}">
  <ds:schemaRefs>
    <ds:schemaRef ds:uri="http://schemas.microsoft.com/office/2006/metadata/properties"/>
    <ds:schemaRef ds:uri="http://schemas.microsoft.com/office/infopath/2007/PartnerControls"/>
    <ds:schemaRef ds:uri="eb8c0be1-eb5f-4b09-9aad-2bd5a3d4f116"/>
    <ds:schemaRef ds:uri="c445cd86-7455-41e8-9082-fe67077a530f"/>
  </ds:schemaRefs>
</ds:datastoreItem>
</file>

<file path=customXml/itemProps3.xml><?xml version="1.0" encoding="utf-8"?>
<ds:datastoreItem xmlns:ds="http://schemas.openxmlformats.org/officeDocument/2006/customXml" ds:itemID="{02AA1DDF-D650-4492-9FB7-9F5725504FF5}"/>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Notes</vt:lpstr>
      <vt:lpstr>Glossary </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Hearn, Katie</dc:creator>
  <cp:keywords/>
  <dc:description/>
  <cp:lastModifiedBy>Hearn, Katie</cp:lastModifiedBy>
  <cp:revision/>
  <dcterms:created xsi:type="dcterms:W3CDTF">2026-02-27T14:03:45Z</dcterms:created>
  <dcterms:modified xsi:type="dcterms:W3CDTF">2026-03-05T18:36:06Z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